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1373F22-E57C-458F-9075-C882C68E3E85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90" i="1"/>
  <c r="Q1090" i="1" s="1"/>
  <c r="R1090" i="1" s="1"/>
  <c r="S1090" i="1" s="1"/>
  <c r="T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18" i="5"/>
  <c r="C102" i="5"/>
  <c r="D31" i="4"/>
  <c r="C122" i="4"/>
  <c r="C133" i="4" s="1"/>
  <c r="M3" i="6"/>
  <c r="C81" i="4"/>
  <c r="C52" i="5"/>
  <c r="C118" i="2"/>
  <c r="C116" i="2"/>
  <c r="K3" i="6"/>
  <c r="D26" i="5"/>
  <c r="C122" i="5"/>
  <c r="C133" i="5" s="1"/>
  <c r="C56" i="4"/>
  <c r="D136" i="2"/>
  <c r="C136" i="2"/>
  <c r="C138" i="2"/>
  <c r="C2" i="1" l="1"/>
  <c r="D2" i="1"/>
  <c r="C116" i="4"/>
  <c r="C122" i="3"/>
  <c r="C133" i="3" s="1"/>
  <c r="C136" i="3" s="1"/>
  <c r="R1089" i="1"/>
  <c r="D136" i="5"/>
  <c r="C136" i="5"/>
  <c r="D136" i="4"/>
  <c r="C136" i="4"/>
  <c r="C118" i="3"/>
  <c r="C116" i="3"/>
  <c r="C138" i="5" l="1"/>
  <c r="D136" i="3"/>
  <c r="C138" i="3" s="1"/>
  <c r="C138" i="4"/>
  <c r="R1088" i="1"/>
  <c r="S1089" i="1"/>
  <c r="T1089" i="1" s="1"/>
  <c r="S1088" i="1" l="1"/>
  <c r="T1088" i="1" s="1"/>
  <c r="R1087" i="1"/>
  <c r="R1086" i="1" l="1"/>
  <c r="S1087" i="1"/>
  <c r="T1087" i="1" s="1"/>
  <c r="R1085" i="1" l="1"/>
  <c r="S1086" i="1"/>
  <c r="T1086" i="1" s="1"/>
  <c r="S1085" i="1" l="1"/>
  <c r="T1085" i="1" s="1"/>
  <c r="R1084" i="1"/>
  <c r="S1084" i="1" l="1"/>
  <c r="T1084" i="1" s="1"/>
  <c r="R1083" i="1"/>
  <c r="R1082" i="1" l="1"/>
  <c r="S1083" i="1"/>
  <c r="T1083" i="1" s="1"/>
  <c r="R1081" i="1" l="1"/>
  <c r="S1082" i="1"/>
  <c r="T1082" i="1" s="1"/>
  <c r="S1081" i="1" l="1"/>
  <c r="T1081" i="1" s="1"/>
  <c r="R1080" i="1"/>
  <c r="R1079" i="1" l="1"/>
  <c r="S1080" i="1"/>
  <c r="T1080" i="1" s="1"/>
  <c r="S1079" i="1" l="1"/>
  <c r="T1079" i="1" s="1"/>
  <c r="R1078" i="1"/>
  <c r="S1078" i="1" l="1"/>
  <c r="T1078" i="1" s="1"/>
  <c r="R1077" i="1"/>
  <c r="S1077" i="1" l="1"/>
  <c r="T1077" i="1" s="1"/>
  <c r="R1076" i="1"/>
  <c r="S1076" i="1" l="1"/>
  <c r="T1076" i="1" s="1"/>
  <c r="R1075" i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S1069" i="1" l="1"/>
  <c r="T1069" i="1" s="1"/>
  <c r="R1068" i="1"/>
  <c r="S1068" i="1" l="1"/>
  <c r="T1068" i="1" s="1"/>
  <c r="R1067" i="1"/>
  <c r="R1066" i="1" l="1"/>
  <c r="S1067" i="1"/>
  <c r="T1067" i="1" s="1"/>
  <c r="R1065" i="1" l="1"/>
  <c r="S1066" i="1"/>
  <c r="T1066" i="1" s="1"/>
  <c r="R1064" i="1" l="1"/>
  <c r="S1065" i="1"/>
  <c r="T1065" i="1" s="1"/>
  <c r="S1064" i="1" l="1"/>
  <c r="T1064" i="1" s="1"/>
  <c r="R1063" i="1"/>
  <c r="S1063" i="1" l="1"/>
  <c r="T1063" i="1" s="1"/>
  <c r="R1062" i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S1058" i="1" l="1"/>
  <c r="T1058" i="1" s="1"/>
  <c r="R1057" i="1"/>
  <c r="S1057" i="1" l="1"/>
  <c r="T1057" i="1" s="1"/>
  <c r="R1056" i="1"/>
  <c r="S1056" i="1" l="1"/>
  <c r="T1056" i="1" s="1"/>
  <c r="R1055" i="1"/>
  <c r="S1055" i="1" l="1"/>
  <c r="T1055" i="1" s="1"/>
  <c r="R1054" i="1"/>
  <c r="S1054" i="1" l="1"/>
  <c r="T1054" i="1" s="1"/>
  <c r="R1053" i="1"/>
  <c r="R1052" i="1" l="1"/>
  <c r="S1053" i="1"/>
  <c r="T1053" i="1" s="1"/>
  <c r="S1052" i="1" l="1"/>
  <c r="T1052" i="1" s="1"/>
  <c r="R1051" i="1"/>
  <c r="R1050" i="1" l="1"/>
  <c r="S1051" i="1"/>
  <c r="T1051" i="1" s="1"/>
  <c r="S1050" i="1" l="1"/>
  <c r="T1050" i="1" s="1"/>
  <c r="R1049" i="1"/>
  <c r="R1048" i="1" l="1"/>
  <c r="S1049" i="1"/>
  <c r="T1049" i="1" s="1"/>
  <c r="S1048" i="1" l="1"/>
  <c r="T1048" i="1" s="1"/>
  <c r="R1047" i="1"/>
  <c r="S1047" i="1" l="1"/>
  <c r="T1047" i="1" s="1"/>
  <c r="R1046" i="1"/>
  <c r="S1046" i="1" l="1"/>
  <c r="T1046" i="1" s="1"/>
  <c r="R1045" i="1"/>
  <c r="R1044" i="1" l="1"/>
  <c r="S1045" i="1"/>
  <c r="T1045" i="1" s="1"/>
  <c r="R1043" i="1" l="1"/>
  <c r="S1044" i="1"/>
  <c r="T1044" i="1" s="1"/>
  <c r="S1043" i="1" l="1"/>
  <c r="T1043" i="1" s="1"/>
  <c r="R1042" i="1"/>
  <c r="R1041" i="1" l="1"/>
  <c r="S1042" i="1"/>
  <c r="T1042" i="1" s="1"/>
  <c r="R1040" i="1" l="1"/>
  <c r="S1041" i="1"/>
  <c r="T1041" i="1" s="1"/>
  <c r="S1040" i="1" l="1"/>
  <c r="T1040" i="1" s="1"/>
  <c r="R1039" i="1"/>
  <c r="S1039" i="1" l="1"/>
  <c r="T1039" i="1" s="1"/>
  <c r="R1038" i="1"/>
  <c r="R1037" i="1" l="1"/>
  <c r="S1038" i="1"/>
  <c r="T1038" i="1" s="1"/>
  <c r="R1036" i="1" l="1"/>
  <c r="S1037" i="1"/>
  <c r="T1037" i="1" s="1"/>
  <c r="R1035" i="1" l="1"/>
  <c r="S1036" i="1"/>
  <c r="T1036" i="1" s="1"/>
  <c r="S1035" i="1" l="1"/>
  <c r="T1035" i="1" s="1"/>
  <c r="R1034" i="1"/>
  <c r="S1034" i="1" l="1"/>
  <c r="T1034" i="1" s="1"/>
  <c r="R1033" i="1"/>
  <c r="S1033" i="1" l="1"/>
  <c r="T1033" i="1" s="1"/>
  <c r="R1032" i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S1028" i="1" l="1"/>
  <c r="T1028" i="1" s="1"/>
  <c r="R1027" i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S1022" i="1" l="1"/>
  <c r="T1022" i="1" s="1"/>
  <c r="R1021" i="1"/>
  <c r="R1020" i="1" l="1"/>
  <c r="S1021" i="1"/>
  <c r="T1021" i="1" s="1"/>
  <c r="R1019" i="1" l="1"/>
  <c r="S1020" i="1"/>
  <c r="T1020" i="1" s="1"/>
  <c r="S1019" i="1" l="1"/>
  <c r="T1019" i="1" s="1"/>
  <c r="R1018" i="1"/>
  <c r="S1018" i="1" l="1"/>
  <c r="T1018" i="1" s="1"/>
  <c r="R1017" i="1"/>
  <c r="R1016" i="1" l="1"/>
  <c r="S1017" i="1"/>
  <c r="T1017" i="1" s="1"/>
  <c r="S1016" i="1" l="1"/>
  <c r="T1016" i="1" s="1"/>
  <c r="R1015" i="1"/>
  <c r="S1015" i="1" l="1"/>
  <c r="T1015" i="1" s="1"/>
  <c r="R1014" i="1"/>
  <c r="S1014" i="1" l="1"/>
  <c r="T1014" i="1" s="1"/>
  <c r="R1013" i="1"/>
  <c r="S1013" i="1" l="1"/>
  <c r="T1013" i="1" s="1"/>
  <c r="R1012" i="1"/>
  <c r="S1012" i="1" l="1"/>
  <c r="T1012" i="1" s="1"/>
  <c r="R1011" i="1"/>
  <c r="R1010" i="1" l="1"/>
  <c r="S1011" i="1"/>
  <c r="T1011" i="1" s="1"/>
  <c r="S1010" i="1" l="1"/>
  <c r="T1010" i="1" s="1"/>
  <c r="R1009" i="1"/>
  <c r="S1009" i="1" l="1"/>
  <c r="T1009" i="1" s="1"/>
  <c r="R1008" i="1"/>
  <c r="R1007" i="1" l="1"/>
  <c r="S1008" i="1"/>
  <c r="T1008" i="1" s="1"/>
  <c r="R1006" i="1" l="1"/>
  <c r="S1007" i="1"/>
  <c r="T1007" i="1" s="1"/>
  <c r="S1006" i="1" l="1"/>
  <c r="T1006" i="1" s="1"/>
  <c r="R1005" i="1"/>
  <c r="S1005" i="1" l="1"/>
  <c r="T1005" i="1" s="1"/>
  <c r="R1004" i="1"/>
  <c r="R1003" i="1" l="1"/>
  <c r="S1004" i="1"/>
  <c r="T1004" i="1" s="1"/>
  <c r="S1003" i="1" l="1"/>
  <c r="T1003" i="1" s="1"/>
  <c r="R1002" i="1"/>
  <c r="S1002" i="1" l="1"/>
  <c r="T1002" i="1" s="1"/>
  <c r="R1001" i="1"/>
  <c r="S1001" i="1" l="1"/>
  <c r="T1001" i="1" s="1"/>
  <c r="R1000" i="1"/>
  <c r="S1000" i="1" l="1"/>
  <c r="T1000" i="1" s="1"/>
  <c r="R999" i="1"/>
  <c r="S999" i="1" l="1"/>
  <c r="T999" i="1" s="1"/>
  <c r="R998" i="1"/>
  <c r="R997" i="1" l="1"/>
  <c r="S998" i="1"/>
  <c r="T998" i="1" s="1"/>
  <c r="S997" i="1" l="1"/>
  <c r="T997" i="1" s="1"/>
  <c r="R996" i="1"/>
  <c r="R995" i="1" l="1"/>
  <c r="S996" i="1"/>
  <c r="T996" i="1" s="1"/>
  <c r="S995" i="1" l="1"/>
  <c r="T995" i="1" s="1"/>
  <c r="R994" i="1"/>
  <c r="S994" i="1" l="1"/>
  <c r="T994" i="1" s="1"/>
  <c r="R993" i="1"/>
  <c r="R992" i="1" l="1"/>
  <c r="S993" i="1"/>
  <c r="T993" i="1" s="1"/>
  <c r="R991" i="1" l="1"/>
  <c r="S992" i="1"/>
  <c r="T992" i="1" s="1"/>
  <c r="S991" i="1" l="1"/>
  <c r="T991" i="1" s="1"/>
  <c r="R990" i="1"/>
  <c r="R989" i="1" l="1"/>
  <c r="S990" i="1"/>
  <c r="T990" i="1" s="1"/>
  <c r="S989" i="1" l="1"/>
  <c r="T989" i="1" s="1"/>
  <c r="R988" i="1"/>
  <c r="R987" i="1" l="1"/>
  <c r="S988" i="1"/>
  <c r="T988" i="1" s="1"/>
  <c r="S987" i="1" l="1"/>
  <c r="T987" i="1" s="1"/>
  <c r="R986" i="1"/>
  <c r="S986" i="1" l="1"/>
  <c r="T986" i="1" s="1"/>
  <c r="R985" i="1"/>
  <c r="S985" i="1" l="1"/>
  <c r="T985" i="1" s="1"/>
  <c r="R984" i="1"/>
  <c r="R983" i="1" l="1"/>
  <c r="S984" i="1"/>
  <c r="T984" i="1" s="1"/>
  <c r="S983" i="1" l="1"/>
  <c r="T983" i="1" s="1"/>
  <c r="R982" i="1"/>
  <c r="R981" i="1" l="1"/>
  <c r="S982" i="1"/>
  <c r="T982" i="1" s="1"/>
  <c r="R980" i="1" l="1"/>
  <c r="S981" i="1"/>
  <c r="T981" i="1" s="1"/>
  <c r="S980" i="1" l="1"/>
  <c r="T980" i="1" s="1"/>
  <c r="R979" i="1"/>
  <c r="R978" i="1" l="1"/>
  <c r="S979" i="1"/>
  <c r="T979" i="1" s="1"/>
  <c r="R977" i="1" l="1"/>
  <c r="S978" i="1"/>
  <c r="T978" i="1" s="1"/>
  <c r="S977" i="1" l="1"/>
  <c r="T977" i="1" s="1"/>
  <c r="R976" i="1"/>
  <c r="R975" i="1" l="1"/>
  <c r="S976" i="1"/>
  <c r="T976" i="1" s="1"/>
  <c r="S975" i="1" l="1"/>
  <c r="T975" i="1" s="1"/>
  <c r="R974" i="1"/>
  <c r="S974" i="1" l="1"/>
  <c r="T974" i="1" s="1"/>
  <c r="R973" i="1"/>
  <c r="R972" i="1" l="1"/>
  <c r="S973" i="1"/>
  <c r="T973" i="1" s="1"/>
  <c r="R971" i="1" l="1"/>
  <c r="S972" i="1"/>
  <c r="T972" i="1" s="1"/>
  <c r="R970" i="1" l="1"/>
  <c r="S971" i="1"/>
  <c r="T971" i="1" s="1"/>
  <c r="S970" i="1" l="1"/>
  <c r="T970" i="1" s="1"/>
  <c r="R969" i="1"/>
  <c r="S969" i="1" l="1"/>
  <c r="T969" i="1" s="1"/>
  <c r="R968" i="1"/>
  <c r="R967" i="1" l="1"/>
  <c r="S968" i="1"/>
  <c r="T968" i="1" s="1"/>
  <c r="R966" i="1" l="1"/>
  <c r="S967" i="1"/>
  <c r="T967" i="1" s="1"/>
  <c r="R965" i="1" l="1"/>
  <c r="S966" i="1"/>
  <c r="T966" i="1" s="1"/>
  <c r="S965" i="1" l="1"/>
  <c r="T965" i="1" s="1"/>
  <c r="R964" i="1"/>
  <c r="S964" i="1" l="1"/>
  <c r="T964" i="1" s="1"/>
  <c r="R963" i="1"/>
  <c r="S963" i="1" l="1"/>
  <c r="T963" i="1" s="1"/>
  <c r="R962" i="1"/>
  <c r="R961" i="1" l="1"/>
  <c r="S962" i="1"/>
  <c r="T962" i="1" s="1"/>
  <c r="S961" i="1" l="1"/>
  <c r="T961" i="1" s="1"/>
  <c r="R960" i="1"/>
  <c r="S960" i="1" l="1"/>
  <c r="T960" i="1" s="1"/>
  <c r="R959" i="1"/>
  <c r="R958" i="1" l="1"/>
  <c r="S959" i="1"/>
  <c r="T959" i="1" s="1"/>
  <c r="R957" i="1" l="1"/>
  <c r="S958" i="1"/>
  <c r="T958" i="1" s="1"/>
  <c r="R956" i="1" l="1"/>
  <c r="S957" i="1"/>
  <c r="T957" i="1" s="1"/>
  <c r="S956" i="1" l="1"/>
  <c r="T956" i="1" s="1"/>
  <c r="R955" i="1"/>
  <c r="S955" i="1" l="1"/>
  <c r="T955" i="1" s="1"/>
  <c r="R954" i="1"/>
  <c r="R953" i="1" l="1"/>
  <c r="S954" i="1"/>
  <c r="T954" i="1" s="1"/>
  <c r="S953" i="1" l="1"/>
  <c r="T953" i="1" s="1"/>
  <c r="R952" i="1"/>
  <c r="S952" i="1" l="1"/>
  <c r="T952" i="1" s="1"/>
  <c r="R951" i="1"/>
  <c r="R950" i="1" l="1"/>
  <c r="S951" i="1"/>
  <c r="T951" i="1" s="1"/>
  <c r="S950" i="1" l="1"/>
  <c r="T950" i="1" s="1"/>
  <c r="R949" i="1"/>
  <c r="S949" i="1" l="1"/>
  <c r="T949" i="1" s="1"/>
  <c r="R948" i="1"/>
  <c r="R947" i="1" l="1"/>
  <c r="S948" i="1"/>
  <c r="T948" i="1" s="1"/>
  <c r="R946" i="1" l="1"/>
  <c r="S947" i="1"/>
  <c r="T947" i="1" s="1"/>
  <c r="S946" i="1" l="1"/>
  <c r="T946" i="1" s="1"/>
  <c r="R945" i="1"/>
  <c r="R944" i="1" l="1"/>
  <c r="S945" i="1"/>
  <c r="T945" i="1" s="1"/>
  <c r="S944" i="1" l="1"/>
  <c r="T944" i="1" s="1"/>
  <c r="R943" i="1"/>
  <c r="S943" i="1" l="1"/>
  <c r="T943" i="1" s="1"/>
  <c r="R942" i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S932" i="1" l="1"/>
  <c r="T932" i="1" s="1"/>
  <c r="R931" i="1"/>
  <c r="R930" i="1" l="1"/>
  <c r="S931" i="1"/>
  <c r="T931" i="1" s="1"/>
  <c r="S930" i="1" l="1"/>
  <c r="T930" i="1" s="1"/>
  <c r="R929" i="1"/>
  <c r="R928" i="1" l="1"/>
  <c r="S929" i="1"/>
  <c r="T929" i="1" s="1"/>
  <c r="R927" i="1" l="1"/>
  <c r="S928" i="1"/>
  <c r="T928" i="1" s="1"/>
  <c r="S927" i="1" l="1"/>
  <c r="T927" i="1" s="1"/>
  <c r="R926" i="1"/>
  <c r="S926" i="1" l="1"/>
  <c r="T926" i="1" s="1"/>
  <c r="R925" i="1"/>
  <c r="S925" i="1" l="1"/>
  <c r="T925" i="1" s="1"/>
  <c r="R924" i="1"/>
  <c r="S924" i="1" l="1"/>
  <c r="T924" i="1" s="1"/>
  <c r="R923" i="1"/>
  <c r="S923" i="1" l="1"/>
  <c r="T923" i="1" s="1"/>
  <c r="R922" i="1"/>
  <c r="S922" i="1" l="1"/>
  <c r="T922" i="1" s="1"/>
  <c r="R921" i="1"/>
  <c r="R920" i="1" l="1"/>
  <c r="S921" i="1"/>
  <c r="T921" i="1" s="1"/>
  <c r="S920" i="1" l="1"/>
  <c r="T920" i="1" s="1"/>
  <c r="R919" i="1"/>
  <c r="S919" i="1" l="1"/>
  <c r="T919" i="1" s="1"/>
  <c r="R918" i="1"/>
  <c r="S918" i="1" l="1"/>
  <c r="T918" i="1" s="1"/>
  <c r="R917" i="1"/>
  <c r="S917" i="1" l="1"/>
  <c r="T917" i="1" s="1"/>
  <c r="R916" i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S912" i="1" l="1"/>
  <c r="T912" i="1" s="1"/>
  <c r="R911" i="1"/>
  <c r="S911" i="1" l="1"/>
  <c r="T911" i="1" s="1"/>
  <c r="R910" i="1"/>
  <c r="R909" i="1" l="1"/>
  <c r="S910" i="1"/>
  <c r="T910" i="1" s="1"/>
  <c r="R908" i="1" l="1"/>
  <c r="S909" i="1"/>
  <c r="T909" i="1" s="1"/>
  <c r="S908" i="1" l="1"/>
  <c r="T908" i="1" s="1"/>
  <c r="R907" i="1"/>
  <c r="S907" i="1" l="1"/>
  <c r="T907" i="1" s="1"/>
  <c r="R906" i="1"/>
  <c r="S906" i="1" l="1"/>
  <c r="T906" i="1" s="1"/>
  <c r="R905" i="1"/>
  <c r="S905" i="1" l="1"/>
  <c r="T905" i="1" s="1"/>
  <c r="R904" i="1"/>
  <c r="R903" i="1" l="1"/>
  <c r="S904" i="1"/>
  <c r="T904" i="1" s="1"/>
  <c r="R902" i="1" l="1"/>
  <c r="S903" i="1"/>
  <c r="T903" i="1" s="1"/>
  <c r="S902" i="1" l="1"/>
  <c r="T902" i="1" s="1"/>
  <c r="R901" i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S896" i="1" l="1"/>
  <c r="T896" i="1" s="1"/>
  <c r="R895" i="1"/>
  <c r="R894" i="1" l="1"/>
  <c r="S895" i="1"/>
  <c r="T895" i="1" s="1"/>
  <c r="S894" i="1" l="1"/>
  <c r="T894" i="1" s="1"/>
  <c r="R893" i="1"/>
  <c r="R892" i="1" l="1"/>
  <c r="S893" i="1"/>
  <c r="T893" i="1" s="1"/>
  <c r="S892" i="1" l="1"/>
  <c r="T892" i="1" s="1"/>
  <c r="R891" i="1"/>
  <c r="R890" i="1" l="1"/>
  <c r="S891" i="1"/>
  <c r="T891" i="1" s="1"/>
  <c r="R889" i="1" l="1"/>
  <c r="S890" i="1"/>
  <c r="T890" i="1" s="1"/>
  <c r="S889" i="1" l="1"/>
  <c r="T889" i="1" s="1"/>
  <c r="R888" i="1"/>
  <c r="R887" i="1" l="1"/>
  <c r="S888" i="1"/>
  <c r="T888" i="1" s="1"/>
  <c r="R886" i="1" l="1"/>
  <c r="S887" i="1"/>
  <c r="T887" i="1" s="1"/>
  <c r="R885" i="1" l="1"/>
  <c r="S886" i="1"/>
  <c r="T886" i="1" s="1"/>
  <c r="S885" i="1" l="1"/>
  <c r="T885" i="1" s="1"/>
  <c r="R884" i="1"/>
  <c r="R883" i="1" l="1"/>
  <c r="S884" i="1"/>
  <c r="T884" i="1" s="1"/>
  <c r="S883" i="1" l="1"/>
  <c r="T883" i="1" s="1"/>
  <c r="R882" i="1"/>
  <c r="R881" i="1" l="1"/>
  <c r="S882" i="1"/>
  <c r="T882" i="1" s="1"/>
  <c r="R880" i="1" l="1"/>
  <c r="S881" i="1"/>
  <c r="T881" i="1" s="1"/>
  <c r="S880" i="1" l="1"/>
  <c r="T880" i="1" s="1"/>
  <c r="R879" i="1"/>
  <c r="S879" i="1" l="1"/>
  <c r="T879" i="1" s="1"/>
  <c r="R878" i="1"/>
  <c r="S878" i="1" l="1"/>
  <c r="T878" i="1" s="1"/>
  <c r="R877" i="1"/>
  <c r="S877" i="1" l="1"/>
  <c r="T877" i="1" s="1"/>
  <c r="R876" i="1"/>
  <c r="S876" i="1" l="1"/>
  <c r="T876" i="1" s="1"/>
  <c r="R875" i="1"/>
  <c r="S875" i="1" l="1"/>
  <c r="T875" i="1" s="1"/>
  <c r="R874" i="1"/>
  <c r="S874" i="1" l="1"/>
  <c r="T874" i="1" s="1"/>
  <c r="R873" i="1"/>
  <c r="R872" i="1" l="1"/>
  <c r="S873" i="1"/>
  <c r="T873" i="1" s="1"/>
  <c r="S872" i="1" l="1"/>
  <c r="T872" i="1" s="1"/>
  <c r="R871" i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S867" i="1" l="1"/>
  <c r="T867" i="1" s="1"/>
  <c r="R866" i="1"/>
  <c r="R865" i="1" l="1"/>
  <c r="S866" i="1"/>
  <c r="T866" i="1" s="1"/>
  <c r="S865" i="1" l="1"/>
  <c r="T865" i="1" s="1"/>
  <c r="R864" i="1"/>
  <c r="S864" i="1" l="1"/>
  <c r="T864" i="1" s="1"/>
  <c r="R863" i="1"/>
  <c r="R862" i="1" l="1"/>
  <c r="S863" i="1"/>
  <c r="T863" i="1" s="1"/>
  <c r="R861" i="1" l="1"/>
  <c r="S862" i="1"/>
  <c r="T862" i="1" s="1"/>
  <c r="S861" i="1" l="1"/>
  <c r="T861" i="1" s="1"/>
  <c r="R860" i="1"/>
  <c r="S860" i="1" l="1"/>
  <c r="T860" i="1" s="1"/>
  <c r="R859" i="1"/>
  <c r="R858" i="1" l="1"/>
  <c r="S859" i="1"/>
  <c r="T859" i="1" s="1"/>
  <c r="S858" i="1" l="1"/>
  <c r="T858" i="1" s="1"/>
  <c r="R857" i="1"/>
  <c r="S857" i="1" l="1"/>
  <c r="T857" i="1" s="1"/>
  <c r="R856" i="1"/>
  <c r="R855" i="1" l="1"/>
  <c r="S856" i="1"/>
  <c r="T856" i="1" s="1"/>
  <c r="R854" i="1" l="1"/>
  <c r="S855" i="1"/>
  <c r="T855" i="1" s="1"/>
  <c r="R853" i="1" l="1"/>
  <c r="S854" i="1"/>
  <c r="T854" i="1" s="1"/>
  <c r="S853" i="1" l="1"/>
  <c r="T853" i="1" s="1"/>
  <c r="R852" i="1"/>
  <c r="R851" i="1" l="1"/>
  <c r="S852" i="1"/>
  <c r="T852" i="1" s="1"/>
  <c r="R850" i="1" l="1"/>
  <c r="S851" i="1"/>
  <c r="T851" i="1" s="1"/>
  <c r="R849" i="1" l="1"/>
  <c r="S850" i="1"/>
  <c r="T850" i="1" s="1"/>
  <c r="S849" i="1" l="1"/>
  <c r="T849" i="1" s="1"/>
  <c r="R848" i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S843" i="1" l="1"/>
  <c r="T843" i="1" s="1"/>
  <c r="R842" i="1"/>
  <c r="R841" i="1" l="1"/>
  <c r="S842" i="1"/>
  <c r="T842" i="1" s="1"/>
  <c r="R840" i="1" l="1"/>
  <c r="S841" i="1"/>
  <c r="T841" i="1" s="1"/>
  <c r="S840" i="1" l="1"/>
  <c r="T840" i="1" s="1"/>
  <c r="R839" i="1"/>
  <c r="R838" i="1" l="1"/>
  <c r="S839" i="1"/>
  <c r="T839" i="1" s="1"/>
  <c r="R837" i="1" l="1"/>
  <c r="S838" i="1"/>
  <c r="T838" i="1" s="1"/>
  <c r="S837" i="1" l="1"/>
  <c r="T837" i="1" s="1"/>
  <c r="R836" i="1"/>
  <c r="R835" i="1" l="1"/>
  <c r="S836" i="1"/>
  <c r="T836" i="1" s="1"/>
  <c r="S835" i="1" l="1"/>
  <c r="T835" i="1" s="1"/>
  <c r="R834" i="1"/>
  <c r="R833" i="1" l="1"/>
  <c r="S834" i="1"/>
  <c r="T834" i="1" s="1"/>
  <c r="R832" i="1" l="1"/>
  <c r="S833" i="1"/>
  <c r="T833" i="1" s="1"/>
  <c r="S832" i="1" l="1"/>
  <c r="T832" i="1" s="1"/>
  <c r="R831" i="1"/>
  <c r="R830" i="1" l="1"/>
  <c r="S831" i="1"/>
  <c r="T831" i="1" s="1"/>
  <c r="S830" i="1" l="1"/>
  <c r="T830" i="1" s="1"/>
  <c r="R829" i="1"/>
  <c r="S829" i="1" l="1"/>
  <c r="T829" i="1" s="1"/>
  <c r="R828" i="1"/>
  <c r="S828" i="1" l="1"/>
  <c r="T828" i="1" s="1"/>
  <c r="R827" i="1"/>
  <c r="S827" i="1" l="1"/>
  <c r="T827" i="1" s="1"/>
  <c r="R826" i="1"/>
  <c r="R825" i="1" l="1"/>
  <c r="S826" i="1"/>
  <c r="T826" i="1" s="1"/>
  <c r="R824" i="1" l="1"/>
  <c r="S825" i="1"/>
  <c r="T825" i="1" s="1"/>
  <c r="R823" i="1" l="1"/>
  <c r="S824" i="1"/>
  <c r="T824" i="1" s="1"/>
  <c r="S823" i="1" l="1"/>
  <c r="T823" i="1" s="1"/>
  <c r="R822" i="1"/>
  <c r="S822" i="1" l="1"/>
  <c r="T822" i="1" s="1"/>
  <c r="R821" i="1"/>
  <c r="R820" i="1" l="1"/>
  <c r="S821" i="1"/>
  <c r="T821" i="1" s="1"/>
  <c r="S820" i="1" l="1"/>
  <c r="T820" i="1" s="1"/>
  <c r="R819" i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S813" i="1" l="1"/>
  <c r="T813" i="1" s="1"/>
  <c r="R812" i="1"/>
  <c r="R811" i="1" l="1"/>
  <c r="S812" i="1"/>
  <c r="T812" i="1" s="1"/>
  <c r="R810" i="1" l="1"/>
  <c r="S811" i="1"/>
  <c r="T811" i="1" s="1"/>
  <c r="S810" i="1" l="1"/>
  <c r="T810" i="1" s="1"/>
  <c r="R809" i="1"/>
  <c r="R808" i="1" l="1"/>
  <c r="S809" i="1"/>
  <c r="T809" i="1" s="1"/>
  <c r="R807" i="1" l="1"/>
  <c r="S808" i="1"/>
  <c r="T808" i="1" s="1"/>
  <c r="R806" i="1" l="1"/>
  <c r="S807" i="1"/>
  <c r="T807" i="1" s="1"/>
  <c r="S806" i="1" l="1"/>
  <c r="T806" i="1" s="1"/>
  <c r="R805" i="1"/>
  <c r="S805" i="1" l="1"/>
  <c r="T805" i="1" s="1"/>
  <c r="R804" i="1"/>
  <c r="R803" i="1" l="1"/>
  <c r="S804" i="1"/>
  <c r="T804" i="1" s="1"/>
  <c r="R802" i="1" l="1"/>
  <c r="S803" i="1"/>
  <c r="T803" i="1" s="1"/>
  <c r="R801" i="1" l="1"/>
  <c r="S802" i="1"/>
  <c r="T802" i="1" s="1"/>
  <c r="S801" i="1" l="1"/>
  <c r="T801" i="1" s="1"/>
  <c r="R800" i="1"/>
  <c r="R799" i="1" l="1"/>
  <c r="S800" i="1"/>
  <c r="T800" i="1" s="1"/>
  <c r="R798" i="1" l="1"/>
  <c r="S799" i="1"/>
  <c r="T799" i="1" s="1"/>
  <c r="S798" i="1" l="1"/>
  <c r="T798" i="1" s="1"/>
  <c r="R797" i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S792" i="1" l="1"/>
  <c r="T792" i="1" s="1"/>
  <c r="R791" i="1"/>
  <c r="R790" i="1" l="1"/>
  <c r="S791" i="1"/>
  <c r="T791" i="1" s="1"/>
  <c r="R789" i="1" l="1"/>
  <c r="S790" i="1"/>
  <c r="T790" i="1" s="1"/>
  <c r="S789" i="1" l="1"/>
  <c r="T789" i="1" s="1"/>
  <c r="R788" i="1"/>
  <c r="R787" i="1" l="1"/>
  <c r="S788" i="1"/>
  <c r="T788" i="1" s="1"/>
  <c r="R786" i="1" l="1"/>
  <c r="S787" i="1"/>
  <c r="T787" i="1" s="1"/>
  <c r="R785" i="1" l="1"/>
  <c r="S786" i="1"/>
  <c r="T786" i="1" s="1"/>
  <c r="S785" i="1" l="1"/>
  <c r="T785" i="1" s="1"/>
  <c r="R784" i="1"/>
  <c r="R783" i="1" l="1"/>
  <c r="S784" i="1"/>
  <c r="T784" i="1" s="1"/>
  <c r="R782" i="1" l="1"/>
  <c r="S783" i="1"/>
  <c r="T783" i="1" s="1"/>
  <c r="R781" i="1" l="1"/>
  <c r="S782" i="1"/>
  <c r="T782" i="1" s="1"/>
  <c r="S781" i="1" l="1"/>
  <c r="T781" i="1" s="1"/>
  <c r="R780" i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S774" i="1" l="1"/>
  <c r="T774" i="1" s="1"/>
  <c r="R773" i="1"/>
  <c r="S773" i="1" l="1"/>
  <c r="T773" i="1" s="1"/>
  <c r="R772" i="1"/>
  <c r="S772" i="1" l="1"/>
  <c r="T772" i="1" s="1"/>
  <c r="R771" i="1"/>
  <c r="S771" i="1" l="1"/>
  <c r="T771" i="1" s="1"/>
  <c r="R770" i="1"/>
  <c r="S770" i="1" l="1"/>
  <c r="T770" i="1" s="1"/>
  <c r="R769" i="1"/>
  <c r="R768" i="1" l="1"/>
  <c r="S769" i="1"/>
  <c r="T769" i="1" s="1"/>
  <c r="R767" i="1" l="1"/>
  <c r="S768" i="1"/>
  <c r="T768" i="1" s="1"/>
  <c r="S767" i="1" l="1"/>
  <c r="T767" i="1" s="1"/>
  <c r="R766" i="1"/>
  <c r="R765" i="1" l="1"/>
  <c r="S766" i="1"/>
  <c r="T766" i="1" s="1"/>
  <c r="S765" i="1" l="1"/>
  <c r="T765" i="1" s="1"/>
  <c r="R764" i="1"/>
  <c r="R763" i="1" l="1"/>
  <c r="S764" i="1"/>
  <c r="T764" i="1" s="1"/>
  <c r="S763" i="1" l="1"/>
  <c r="T763" i="1" s="1"/>
  <c r="R762" i="1"/>
  <c r="S762" i="1" l="1"/>
  <c r="T762" i="1" s="1"/>
  <c r="R761" i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S757" i="1" l="1"/>
  <c r="T757" i="1" s="1"/>
  <c r="R756" i="1"/>
  <c r="S756" i="1" l="1"/>
  <c r="T756" i="1" s="1"/>
  <c r="R755" i="1"/>
  <c r="R754" i="1" l="1"/>
  <c r="S755" i="1"/>
  <c r="T755" i="1" s="1"/>
  <c r="R753" i="1" l="1"/>
  <c r="S754" i="1"/>
  <c r="T754" i="1" s="1"/>
  <c r="R752" i="1" l="1"/>
  <c r="S753" i="1"/>
  <c r="T753" i="1" s="1"/>
  <c r="S752" i="1" l="1"/>
  <c r="T752" i="1" s="1"/>
  <c r="R751" i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S745" i="1" l="1"/>
  <c r="T745" i="1" s="1"/>
  <c r="R744" i="1"/>
  <c r="R743" i="1" l="1"/>
  <c r="S744" i="1"/>
  <c r="T744" i="1" s="1"/>
  <c r="S743" i="1" l="1"/>
  <c r="T743" i="1" s="1"/>
  <c r="R742" i="1"/>
  <c r="R741" i="1" l="1"/>
  <c r="S742" i="1"/>
  <c r="T742" i="1" s="1"/>
  <c r="S741" i="1" l="1"/>
  <c r="T741" i="1" s="1"/>
  <c r="R740" i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S732" i="1" l="1"/>
  <c r="T732" i="1" s="1"/>
  <c r="R731" i="1"/>
  <c r="S731" i="1" l="1"/>
  <c r="T731" i="1" s="1"/>
  <c r="R730" i="1"/>
  <c r="S730" i="1" l="1"/>
  <c r="T730" i="1" s="1"/>
  <c r="R729" i="1"/>
  <c r="S729" i="1" l="1"/>
  <c r="T729" i="1" s="1"/>
  <c r="R728" i="1"/>
  <c r="S728" i="1" l="1"/>
  <c r="T728" i="1" s="1"/>
  <c r="R727" i="1"/>
  <c r="R726" i="1" l="1"/>
  <c r="S727" i="1"/>
  <c r="T727" i="1" s="1"/>
  <c r="S726" i="1" l="1"/>
  <c r="T726" i="1" s="1"/>
  <c r="R725" i="1"/>
  <c r="R724" i="1" l="1"/>
  <c r="S725" i="1"/>
  <c r="T725" i="1" s="1"/>
  <c r="S724" i="1" l="1"/>
  <c r="T724" i="1" s="1"/>
  <c r="R723" i="1"/>
  <c r="R722" i="1" l="1"/>
  <c r="S723" i="1"/>
  <c r="T723" i="1" s="1"/>
  <c r="R721" i="1" l="1"/>
  <c r="S722" i="1"/>
  <c r="T722" i="1" s="1"/>
  <c r="S721" i="1" l="1"/>
  <c r="T721" i="1" s="1"/>
  <c r="R720" i="1"/>
  <c r="R719" i="1" l="1"/>
  <c r="S720" i="1"/>
  <c r="T720" i="1" s="1"/>
  <c r="R718" i="1" l="1"/>
  <c r="S719" i="1"/>
  <c r="T719" i="1" s="1"/>
  <c r="S718" i="1" l="1"/>
  <c r="T718" i="1" s="1"/>
  <c r="R717" i="1"/>
  <c r="S717" i="1" l="1"/>
  <c r="T717" i="1" s="1"/>
  <c r="R716" i="1"/>
  <c r="R715" i="1" l="1"/>
  <c r="S716" i="1"/>
  <c r="T716" i="1" s="1"/>
  <c r="R714" i="1" l="1"/>
  <c r="S715" i="1"/>
  <c r="T715" i="1" s="1"/>
  <c r="S714" i="1" l="1"/>
  <c r="T714" i="1" s="1"/>
  <c r="R713" i="1"/>
  <c r="R712" i="1" l="1"/>
  <c r="S713" i="1"/>
  <c r="T713" i="1" s="1"/>
  <c r="S712" i="1" l="1"/>
  <c r="T712" i="1" s="1"/>
  <c r="R711" i="1"/>
  <c r="S711" i="1" l="1"/>
  <c r="T711" i="1" s="1"/>
  <c r="R710" i="1"/>
  <c r="S710" i="1" l="1"/>
  <c r="T710" i="1" s="1"/>
  <c r="R709" i="1"/>
  <c r="S709" i="1" l="1"/>
  <c r="T709" i="1" s="1"/>
  <c r="R708" i="1"/>
  <c r="R707" i="1" l="1"/>
  <c r="S708" i="1"/>
  <c r="T708" i="1" s="1"/>
  <c r="S707" i="1" l="1"/>
  <c r="T707" i="1" s="1"/>
  <c r="R706" i="1"/>
  <c r="S706" i="1" l="1"/>
  <c r="T706" i="1" s="1"/>
  <c r="R705" i="1"/>
  <c r="S705" i="1" l="1"/>
  <c r="T705" i="1" s="1"/>
  <c r="R704" i="1"/>
  <c r="R703" i="1" l="1"/>
  <c r="S704" i="1"/>
  <c r="T704" i="1" s="1"/>
  <c r="S703" i="1" l="1"/>
  <c r="T703" i="1" s="1"/>
  <c r="R702" i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S696" i="1" l="1"/>
  <c r="T696" i="1" s="1"/>
  <c r="R695" i="1"/>
  <c r="R694" i="1" l="1"/>
  <c r="S695" i="1"/>
  <c r="T695" i="1" s="1"/>
  <c r="S694" i="1" l="1"/>
  <c r="T694" i="1" s="1"/>
  <c r="R693" i="1"/>
  <c r="R692" i="1" l="1"/>
  <c r="S693" i="1"/>
  <c r="T693" i="1" s="1"/>
  <c r="S692" i="1" l="1"/>
  <c r="T692" i="1" s="1"/>
  <c r="R691" i="1"/>
  <c r="R690" i="1" l="1"/>
  <c r="S691" i="1"/>
  <c r="T691" i="1" s="1"/>
  <c r="S690" i="1" l="1"/>
  <c r="T690" i="1" s="1"/>
  <c r="R689" i="1"/>
  <c r="R688" i="1" l="1"/>
  <c r="S689" i="1"/>
  <c r="T689" i="1" s="1"/>
  <c r="S688" i="1" l="1"/>
  <c r="T688" i="1" s="1"/>
  <c r="R687" i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S683" i="1" l="1"/>
  <c r="T683" i="1" s="1"/>
  <c r="R682" i="1"/>
  <c r="S682" i="1" l="1"/>
  <c r="T682" i="1" s="1"/>
  <c r="R681" i="1"/>
  <c r="R680" i="1" l="1"/>
  <c r="S681" i="1"/>
  <c r="T681" i="1" s="1"/>
  <c r="S680" i="1" l="1"/>
  <c r="T680" i="1" s="1"/>
  <c r="R679" i="1"/>
  <c r="R678" i="1" l="1"/>
  <c r="S679" i="1"/>
  <c r="T679" i="1" s="1"/>
  <c r="S678" i="1" l="1"/>
  <c r="T678" i="1" s="1"/>
  <c r="R677" i="1"/>
  <c r="S677" i="1" l="1"/>
  <c r="T677" i="1" s="1"/>
  <c r="R676" i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S665" i="1" l="1"/>
  <c r="T665" i="1" s="1"/>
  <c r="R664" i="1"/>
  <c r="S664" i="1" l="1"/>
  <c r="T664" i="1" s="1"/>
  <c r="R663" i="1"/>
  <c r="S663" i="1" l="1"/>
  <c r="T663" i="1" s="1"/>
  <c r="R662" i="1"/>
  <c r="R661" i="1" l="1"/>
  <c r="S662" i="1"/>
  <c r="T662" i="1" s="1"/>
  <c r="S661" i="1" l="1"/>
  <c r="T661" i="1" s="1"/>
  <c r="R660" i="1"/>
  <c r="R659" i="1" l="1"/>
  <c r="S660" i="1"/>
  <c r="T660" i="1" s="1"/>
  <c r="S659" i="1" l="1"/>
  <c r="T659" i="1" s="1"/>
  <c r="R658" i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S654" i="1" l="1"/>
  <c r="T654" i="1" s="1"/>
  <c r="R653" i="1"/>
  <c r="R652" i="1" l="1"/>
  <c r="S653" i="1"/>
  <c r="T653" i="1" s="1"/>
  <c r="S652" i="1" l="1"/>
  <c r="T652" i="1" s="1"/>
  <c r="R651" i="1"/>
  <c r="R650" i="1" l="1"/>
  <c r="S651" i="1"/>
  <c r="T651" i="1" s="1"/>
  <c r="S650" i="1" l="1"/>
  <c r="T650" i="1" s="1"/>
  <c r="R649" i="1"/>
  <c r="S649" i="1" l="1"/>
  <c r="T649" i="1" s="1"/>
  <c r="R648" i="1"/>
  <c r="R647" i="1" l="1"/>
  <c r="S648" i="1"/>
  <c r="T648" i="1" s="1"/>
  <c r="R646" i="1" l="1"/>
  <c r="S647" i="1"/>
  <c r="T647" i="1" s="1"/>
  <c r="S646" i="1" l="1"/>
  <c r="T646" i="1" s="1"/>
  <c r="R645" i="1"/>
  <c r="S645" i="1" l="1"/>
  <c r="T645" i="1" s="1"/>
  <c r="R644" i="1"/>
  <c r="R643" i="1" l="1"/>
  <c r="S644" i="1"/>
  <c r="T644" i="1" s="1"/>
  <c r="S643" i="1" l="1"/>
  <c r="T643" i="1" s="1"/>
  <c r="R642" i="1"/>
  <c r="R641" i="1" l="1"/>
  <c r="S642" i="1"/>
  <c r="T642" i="1" s="1"/>
  <c r="S641" i="1" l="1"/>
  <c r="T641" i="1" s="1"/>
  <c r="R640" i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S635" i="1" l="1"/>
  <c r="T635" i="1" s="1"/>
  <c r="R634" i="1"/>
  <c r="S634" i="1" l="1"/>
  <c r="T634" i="1" s="1"/>
  <c r="R633" i="1"/>
  <c r="S633" i="1" l="1"/>
  <c r="T633" i="1" s="1"/>
  <c r="R632" i="1"/>
  <c r="R631" i="1" l="1"/>
  <c r="S632" i="1"/>
  <c r="T632" i="1" s="1"/>
  <c r="S631" i="1" l="1"/>
  <c r="T631" i="1" s="1"/>
  <c r="R630" i="1"/>
  <c r="R629" i="1" l="1"/>
  <c r="S630" i="1"/>
  <c r="T630" i="1" s="1"/>
  <c r="S629" i="1" l="1"/>
  <c r="T629" i="1" s="1"/>
  <c r="R628" i="1"/>
  <c r="R627" i="1" l="1"/>
  <c r="S628" i="1"/>
  <c r="T628" i="1" s="1"/>
  <c r="R626" i="1" l="1"/>
  <c r="S627" i="1"/>
  <c r="T627" i="1" s="1"/>
  <c r="R625" i="1" l="1"/>
  <c r="S626" i="1"/>
  <c r="T626" i="1" s="1"/>
  <c r="S625" i="1" l="1"/>
  <c r="T625" i="1" s="1"/>
  <c r="R624" i="1"/>
  <c r="S624" i="1" l="1"/>
  <c r="T624" i="1" s="1"/>
  <c r="R623" i="1"/>
  <c r="R622" i="1" l="1"/>
  <c r="S623" i="1"/>
  <c r="T623" i="1" s="1"/>
  <c r="R621" i="1" l="1"/>
  <c r="S622" i="1"/>
  <c r="T622" i="1" s="1"/>
  <c r="S621" i="1" l="1"/>
  <c r="T621" i="1" s="1"/>
  <c r="R620" i="1"/>
  <c r="S620" i="1" l="1"/>
  <c r="T620" i="1" s="1"/>
  <c r="R619" i="1"/>
  <c r="S619" i="1" l="1"/>
  <c r="T619" i="1" s="1"/>
  <c r="R618" i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S611" i="1" l="1"/>
  <c r="T611" i="1" s="1"/>
  <c r="R610" i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S606" i="1" l="1"/>
  <c r="T606" i="1" s="1"/>
  <c r="R605" i="1"/>
  <c r="S605" i="1" l="1"/>
  <c r="T605" i="1" s="1"/>
  <c r="R604" i="1"/>
  <c r="R603" i="1" l="1"/>
  <c r="S604" i="1"/>
  <c r="T604" i="1" s="1"/>
  <c r="S603" i="1" l="1"/>
  <c r="T603" i="1" s="1"/>
  <c r="R602" i="1"/>
  <c r="S602" i="1" l="1"/>
  <c r="T602" i="1" s="1"/>
  <c r="R601" i="1"/>
  <c r="S601" i="1" l="1"/>
  <c r="T601" i="1" s="1"/>
  <c r="R600" i="1"/>
  <c r="S600" i="1" l="1"/>
  <c r="T600" i="1" s="1"/>
  <c r="R599" i="1"/>
  <c r="S599" i="1" l="1"/>
  <c r="T599" i="1" s="1"/>
  <c r="R598" i="1"/>
  <c r="S598" i="1" l="1"/>
  <c r="T598" i="1" s="1"/>
  <c r="R597" i="1"/>
  <c r="R596" i="1" l="1"/>
  <c r="S597" i="1"/>
  <c r="T597" i="1" s="1"/>
  <c r="S596" i="1" l="1"/>
  <c r="T596" i="1" s="1"/>
  <c r="R595" i="1"/>
  <c r="R594" i="1" l="1"/>
  <c r="S595" i="1"/>
  <c r="T595" i="1" s="1"/>
  <c r="S594" i="1" l="1"/>
  <c r="T594" i="1" s="1"/>
  <c r="R593" i="1"/>
  <c r="S593" i="1" l="1"/>
  <c r="T593" i="1" s="1"/>
  <c r="R592" i="1"/>
  <c r="R591" i="1" l="1"/>
  <c r="S592" i="1"/>
  <c r="T592" i="1" s="1"/>
  <c r="S591" i="1" l="1"/>
  <c r="T591" i="1" s="1"/>
  <c r="R590" i="1"/>
  <c r="R589" i="1" l="1"/>
  <c r="S590" i="1"/>
  <c r="T590" i="1" s="1"/>
  <c r="S589" i="1" l="1"/>
  <c r="T589" i="1" s="1"/>
  <c r="R588" i="1"/>
  <c r="S588" i="1" l="1"/>
  <c r="T588" i="1" s="1"/>
  <c r="R587" i="1"/>
  <c r="S587" i="1" l="1"/>
  <c r="T587" i="1" s="1"/>
  <c r="R586" i="1"/>
  <c r="R585" i="1" l="1"/>
  <c r="S586" i="1"/>
  <c r="T586" i="1" s="1"/>
  <c r="R584" i="1" l="1"/>
  <c r="S585" i="1"/>
  <c r="T585" i="1" s="1"/>
  <c r="R583" i="1" l="1"/>
  <c r="S584" i="1"/>
  <c r="T584" i="1" s="1"/>
  <c r="S583" i="1" l="1"/>
  <c r="T583" i="1" s="1"/>
  <c r="R582" i="1"/>
  <c r="R581" i="1" l="1"/>
  <c r="S582" i="1"/>
  <c r="T582" i="1" s="1"/>
  <c r="R580" i="1" l="1"/>
  <c r="S581" i="1"/>
  <c r="T581" i="1" s="1"/>
  <c r="R579" i="1" l="1"/>
  <c r="S580" i="1"/>
  <c r="T580" i="1" s="1"/>
  <c r="S579" i="1" l="1"/>
  <c r="T579" i="1" s="1"/>
  <c r="R578" i="1"/>
  <c r="S578" i="1" l="1"/>
  <c r="T578" i="1" s="1"/>
  <c r="R577" i="1"/>
  <c r="S577" i="1" l="1"/>
  <c r="T577" i="1" s="1"/>
  <c r="R576" i="1"/>
  <c r="R575" i="1" l="1"/>
  <c r="S576" i="1"/>
  <c r="T576" i="1" s="1"/>
  <c r="S575" i="1" l="1"/>
  <c r="T575" i="1" s="1"/>
  <c r="R574" i="1"/>
  <c r="S574" i="1" l="1"/>
  <c r="T574" i="1" s="1"/>
  <c r="R573" i="1"/>
  <c r="R572" i="1" l="1"/>
  <c r="S573" i="1"/>
  <c r="T573" i="1" s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S567" i="1" l="1"/>
  <c r="T567" i="1" s="1"/>
  <c r="R566" i="1"/>
  <c r="R565" i="1" l="1"/>
  <c r="S566" i="1"/>
  <c r="T566" i="1" s="1"/>
  <c r="R564" i="1" l="1"/>
  <c r="S565" i="1"/>
  <c r="T565" i="1" s="1"/>
  <c r="S564" i="1" l="1"/>
  <c r="T564" i="1" s="1"/>
  <c r="R563" i="1"/>
  <c r="S563" i="1" l="1"/>
  <c r="T563" i="1" s="1"/>
  <c r="R562" i="1"/>
  <c r="S562" i="1" l="1"/>
  <c r="T562" i="1" s="1"/>
  <c r="R561" i="1"/>
  <c r="S561" i="1" l="1"/>
  <c r="T561" i="1" s="1"/>
  <c r="R560" i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S551" i="1" l="1"/>
  <c r="T551" i="1" s="1"/>
  <c r="R550" i="1"/>
  <c r="R549" i="1" l="1"/>
  <c r="S550" i="1"/>
  <c r="T550" i="1" s="1"/>
  <c r="S549" i="1" l="1"/>
  <c r="T549" i="1" s="1"/>
  <c r="R548" i="1"/>
  <c r="R547" i="1" l="1"/>
  <c r="S548" i="1"/>
  <c r="T548" i="1" s="1"/>
  <c r="S547" i="1" l="1"/>
  <c r="T547" i="1" s="1"/>
  <c r="R546" i="1"/>
  <c r="R545" i="1" l="1"/>
  <c r="S546" i="1"/>
  <c r="T546" i="1" s="1"/>
  <c r="R544" i="1" l="1"/>
  <c r="S545" i="1"/>
  <c r="T545" i="1" s="1"/>
  <c r="S544" i="1" l="1"/>
  <c r="T544" i="1" s="1"/>
  <c r="R543" i="1"/>
  <c r="R542" i="1" l="1"/>
  <c r="S543" i="1"/>
  <c r="T543" i="1" s="1"/>
  <c r="S542" i="1" l="1"/>
  <c r="T542" i="1" s="1"/>
  <c r="R541" i="1"/>
  <c r="R540" i="1" l="1"/>
  <c r="S541" i="1"/>
  <c r="T541" i="1" s="1"/>
  <c r="R539" i="1" l="1"/>
  <c r="S540" i="1"/>
  <c r="T540" i="1" s="1"/>
  <c r="S539" i="1" l="1"/>
  <c r="T539" i="1" s="1"/>
  <c r="R538" i="1"/>
  <c r="R537" i="1" l="1"/>
  <c r="S538" i="1"/>
  <c r="T538" i="1" s="1"/>
  <c r="R536" i="1" l="1"/>
  <c r="S537" i="1"/>
  <c r="T537" i="1" s="1"/>
  <c r="R535" i="1" l="1"/>
  <c r="S536" i="1"/>
  <c r="T536" i="1" s="1"/>
  <c r="S535" i="1" l="1"/>
  <c r="T535" i="1" s="1"/>
  <c r="R534" i="1"/>
  <c r="S534" i="1" l="1"/>
  <c r="T534" i="1" s="1"/>
  <c r="R533" i="1"/>
  <c r="R532" i="1" l="1"/>
  <c r="S533" i="1"/>
  <c r="T533" i="1" s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S528" i="1" l="1"/>
  <c r="T528" i="1" s="1"/>
  <c r="R527" i="1"/>
  <c r="R526" i="1" l="1"/>
  <c r="S527" i="1"/>
  <c r="T527" i="1" s="1"/>
  <c r="S526" i="1" l="1"/>
  <c r="T526" i="1" s="1"/>
  <c r="R525" i="1"/>
  <c r="R524" i="1" l="1"/>
  <c r="S525" i="1"/>
  <c r="T525" i="1" s="1"/>
  <c r="S524" i="1" l="1"/>
  <c r="T524" i="1" s="1"/>
  <c r="R523" i="1"/>
  <c r="S523" i="1" l="1"/>
  <c r="T523" i="1" s="1"/>
  <c r="R522" i="1"/>
  <c r="S522" i="1" l="1"/>
  <c r="T522" i="1" s="1"/>
  <c r="R521" i="1"/>
  <c r="R520" i="1" l="1"/>
  <c r="S521" i="1"/>
  <c r="T521" i="1" s="1"/>
  <c r="R519" i="1" l="1"/>
  <c r="S520" i="1"/>
  <c r="T520" i="1" s="1"/>
  <c r="R518" i="1" l="1"/>
  <c r="S519" i="1"/>
  <c r="T519" i="1" s="1"/>
  <c r="S518" i="1" l="1"/>
  <c r="T518" i="1" s="1"/>
  <c r="R517" i="1"/>
  <c r="R516" i="1" l="1"/>
  <c r="S517" i="1"/>
  <c r="T517" i="1" s="1"/>
  <c r="S516" i="1" l="1"/>
  <c r="T516" i="1" s="1"/>
  <c r="R515" i="1"/>
  <c r="S515" i="1" l="1"/>
  <c r="T515" i="1" s="1"/>
  <c r="R514" i="1"/>
  <c r="S514" i="1" l="1"/>
  <c r="T514" i="1" s="1"/>
  <c r="R513" i="1"/>
  <c r="S513" i="1" l="1"/>
  <c r="T513" i="1" s="1"/>
  <c r="R512" i="1"/>
  <c r="R511" i="1" l="1"/>
  <c r="S512" i="1"/>
  <c r="T512" i="1" s="1"/>
  <c r="S511" i="1" l="1"/>
  <c r="T511" i="1" s="1"/>
  <c r="R510" i="1"/>
  <c r="S510" i="1" l="1"/>
  <c r="T510" i="1" s="1"/>
  <c r="R509" i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S504" i="1" l="1"/>
  <c r="T504" i="1" s="1"/>
  <c r="R503" i="1"/>
  <c r="S503" i="1" l="1"/>
  <c r="T503" i="1" s="1"/>
  <c r="R502" i="1"/>
  <c r="S502" i="1" l="1"/>
  <c r="T502" i="1" s="1"/>
  <c r="R501" i="1"/>
  <c r="S501" i="1" l="1"/>
  <c r="T501" i="1" s="1"/>
  <c r="R500" i="1"/>
  <c r="S500" i="1" l="1"/>
  <c r="T500" i="1" s="1"/>
  <c r="R499" i="1"/>
  <c r="R498" i="1" l="1"/>
  <c r="S499" i="1"/>
  <c r="T499" i="1" s="1"/>
  <c r="S498" i="1" l="1"/>
  <c r="T498" i="1" s="1"/>
  <c r="R497" i="1"/>
  <c r="S497" i="1" l="1"/>
  <c r="T497" i="1" s="1"/>
  <c r="R496" i="1"/>
  <c r="R495" i="1" l="1"/>
  <c r="S496" i="1"/>
  <c r="T496" i="1" s="1"/>
  <c r="S495" i="1" l="1"/>
  <c r="T495" i="1" s="1"/>
  <c r="R494" i="1"/>
  <c r="R493" i="1" l="1"/>
  <c r="S494" i="1"/>
  <c r="T494" i="1" s="1"/>
  <c r="S493" i="1" l="1"/>
  <c r="T493" i="1" s="1"/>
  <c r="R492" i="1"/>
  <c r="S492" i="1" l="1"/>
  <c r="T492" i="1" s="1"/>
  <c r="R491" i="1"/>
  <c r="R490" i="1" l="1"/>
  <c r="S491" i="1"/>
  <c r="T491" i="1" s="1"/>
  <c r="S490" i="1" l="1"/>
  <c r="T490" i="1" s="1"/>
  <c r="R489" i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R484" i="1" l="1"/>
  <c r="S485" i="1"/>
  <c r="T485" i="1" s="1"/>
  <c r="S484" i="1" l="1"/>
  <c r="T484" i="1" s="1"/>
  <c r="R483" i="1"/>
  <c r="S483" i="1" l="1"/>
  <c r="T483" i="1" s="1"/>
  <c r="R482" i="1"/>
  <c r="S482" i="1" l="1"/>
  <c r="T482" i="1" s="1"/>
  <c r="R481" i="1"/>
  <c r="S481" i="1" l="1"/>
  <c r="T481" i="1" s="1"/>
  <c r="R480" i="1"/>
  <c r="R479" i="1" l="1"/>
  <c r="S480" i="1"/>
  <c r="T480" i="1" s="1"/>
  <c r="S479" i="1" l="1"/>
  <c r="T479" i="1" s="1"/>
  <c r="R478" i="1"/>
  <c r="R477" i="1" l="1"/>
  <c r="S478" i="1"/>
  <c r="T478" i="1" s="1"/>
  <c r="S477" i="1" l="1"/>
  <c r="T477" i="1" s="1"/>
  <c r="R476" i="1"/>
  <c r="R475" i="1" l="1"/>
  <c r="S476" i="1"/>
  <c r="T476" i="1" s="1"/>
  <c r="R474" i="1" l="1"/>
  <c r="S475" i="1"/>
  <c r="T475" i="1" s="1"/>
  <c r="S474" i="1" l="1"/>
  <c r="T474" i="1" s="1"/>
  <c r="R473" i="1"/>
  <c r="R472" i="1" l="1"/>
  <c r="S473" i="1"/>
  <c r="T473" i="1" s="1"/>
  <c r="R471" i="1" l="1"/>
  <c r="S472" i="1"/>
  <c r="T472" i="1" s="1"/>
  <c r="S471" i="1" l="1"/>
  <c r="T471" i="1" s="1"/>
  <c r="R470" i="1"/>
  <c r="S470" i="1" l="1"/>
  <c r="T470" i="1" s="1"/>
  <c r="R469" i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S464" i="1" l="1"/>
  <c r="T464" i="1" s="1"/>
  <c r="R463" i="1"/>
  <c r="R462" i="1" l="1"/>
  <c r="S463" i="1"/>
  <c r="T463" i="1" s="1"/>
  <c r="S462" i="1" l="1"/>
  <c r="T462" i="1" s="1"/>
  <c r="R461" i="1"/>
  <c r="R460" i="1" l="1"/>
  <c r="S461" i="1"/>
  <c r="T461" i="1" s="1"/>
  <c r="S460" i="1" l="1"/>
  <c r="T460" i="1" s="1"/>
  <c r="R459" i="1"/>
  <c r="S459" i="1" l="1"/>
  <c r="T459" i="1" s="1"/>
  <c r="R458" i="1"/>
  <c r="R457" i="1" l="1"/>
  <c r="S458" i="1"/>
  <c r="T458" i="1" s="1"/>
  <c r="S457" i="1" l="1"/>
  <c r="T457" i="1" s="1"/>
  <c r="R456" i="1"/>
  <c r="R455" i="1" l="1"/>
  <c r="S456" i="1"/>
  <c r="T456" i="1" s="1"/>
  <c r="R454" i="1" l="1"/>
  <c r="S455" i="1"/>
  <c r="T455" i="1" s="1"/>
  <c r="S454" i="1" l="1"/>
  <c r="T454" i="1" s="1"/>
  <c r="R453" i="1"/>
  <c r="R452" i="1" l="1"/>
  <c r="S453" i="1"/>
  <c r="T453" i="1" s="1"/>
  <c r="R451" i="1" l="1"/>
  <c r="S452" i="1"/>
  <c r="T452" i="1" s="1"/>
  <c r="R450" i="1" l="1"/>
  <c r="S451" i="1"/>
  <c r="T451" i="1" s="1"/>
  <c r="S450" i="1" l="1"/>
  <c r="T450" i="1" s="1"/>
  <c r="R449" i="1"/>
  <c r="R448" i="1" l="1"/>
  <c r="S449" i="1"/>
  <c r="T449" i="1" s="1"/>
  <c r="R447" i="1" l="1"/>
  <c r="S448" i="1"/>
  <c r="T448" i="1" s="1"/>
  <c r="R446" i="1" l="1"/>
  <c r="S447" i="1"/>
  <c r="T447" i="1" s="1"/>
  <c r="S446" i="1" l="1"/>
  <c r="T446" i="1" s="1"/>
  <c r="R445" i="1"/>
  <c r="S445" i="1" l="1"/>
  <c r="T445" i="1" s="1"/>
  <c r="R444" i="1"/>
  <c r="S444" i="1" l="1"/>
  <c r="T444" i="1" s="1"/>
  <c r="R443" i="1"/>
  <c r="S443" i="1" l="1"/>
  <c r="T443" i="1" s="1"/>
  <c r="R442" i="1"/>
  <c r="S442" i="1" l="1"/>
  <c r="T442" i="1" s="1"/>
  <c r="R441" i="1"/>
  <c r="S441" i="1" l="1"/>
  <c r="T441" i="1" s="1"/>
  <c r="R440" i="1"/>
  <c r="S440" i="1" l="1"/>
  <c r="T440" i="1" s="1"/>
  <c r="R439" i="1"/>
  <c r="S439" i="1" l="1"/>
  <c r="T439" i="1" s="1"/>
  <c r="R438" i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S431" i="1" l="1"/>
  <c r="T431" i="1" s="1"/>
  <c r="R430" i="1"/>
  <c r="S430" i="1" l="1"/>
  <c r="T430" i="1" s="1"/>
  <c r="R429" i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S424" i="1" l="1"/>
  <c r="T424" i="1" s="1"/>
  <c r="R423" i="1"/>
  <c r="S423" i="1" l="1"/>
  <c r="T423" i="1" s="1"/>
  <c r="R422" i="1"/>
  <c r="S422" i="1" l="1"/>
  <c r="T422" i="1" s="1"/>
  <c r="R421" i="1"/>
  <c r="R420" i="1" l="1"/>
  <c r="S421" i="1"/>
  <c r="T421" i="1" s="1"/>
  <c r="R419" i="1" l="1"/>
  <c r="S420" i="1"/>
  <c r="T420" i="1" s="1"/>
  <c r="S419" i="1" l="1"/>
  <c r="T419" i="1" s="1"/>
  <c r="R418" i="1"/>
  <c r="R417" i="1" l="1"/>
  <c r="S418" i="1"/>
  <c r="T418" i="1" s="1"/>
  <c r="S417" i="1" l="1"/>
  <c r="T417" i="1" s="1"/>
  <c r="R416" i="1"/>
  <c r="S416" i="1" l="1"/>
  <c r="T416" i="1" s="1"/>
  <c r="R415" i="1"/>
  <c r="S415" i="1" l="1"/>
  <c r="T415" i="1" s="1"/>
  <c r="R414" i="1"/>
  <c r="R413" i="1" l="1"/>
  <c r="S414" i="1"/>
  <c r="T414" i="1" s="1"/>
  <c r="R412" i="1" l="1"/>
  <c r="S413" i="1"/>
  <c r="T413" i="1" s="1"/>
  <c r="S412" i="1" l="1"/>
  <c r="T412" i="1" s="1"/>
  <c r="R411" i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S406" i="1" l="1"/>
  <c r="T406" i="1" s="1"/>
  <c r="R405" i="1"/>
  <c r="S405" i="1" l="1"/>
  <c r="T405" i="1" s="1"/>
  <c r="R404" i="1"/>
  <c r="S404" i="1" l="1"/>
  <c r="T404" i="1" s="1"/>
  <c r="R403" i="1"/>
  <c r="S403" i="1" l="1"/>
  <c r="T403" i="1" s="1"/>
  <c r="R402" i="1"/>
  <c r="S402" i="1" l="1"/>
  <c r="T402" i="1" s="1"/>
  <c r="R401" i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S397" i="1" l="1"/>
  <c r="T397" i="1" s="1"/>
  <c r="R396" i="1"/>
  <c r="R395" i="1" l="1"/>
  <c r="S396" i="1"/>
  <c r="T396" i="1" s="1"/>
  <c r="R394" i="1" l="1"/>
  <c r="S395" i="1"/>
  <c r="T395" i="1" s="1"/>
  <c r="S394" i="1" l="1"/>
  <c r="T394" i="1" s="1"/>
  <c r="R393" i="1"/>
  <c r="S393" i="1" l="1"/>
  <c r="T393" i="1" s="1"/>
  <c r="R392" i="1"/>
  <c r="R391" i="1" l="1"/>
  <c r="S392" i="1"/>
  <c r="T392" i="1" s="1"/>
  <c r="R390" i="1" l="1"/>
  <c r="S391" i="1"/>
  <c r="T391" i="1" s="1"/>
  <c r="R389" i="1" l="1"/>
  <c r="S390" i="1"/>
  <c r="T390" i="1" s="1"/>
  <c r="S389" i="1" l="1"/>
  <c r="T389" i="1" s="1"/>
  <c r="R388" i="1"/>
  <c r="R387" i="1" l="1"/>
  <c r="S388" i="1"/>
  <c r="T388" i="1" s="1"/>
  <c r="R386" i="1" l="1"/>
  <c r="S387" i="1"/>
  <c r="T387" i="1" s="1"/>
  <c r="R385" i="1" l="1"/>
  <c r="S386" i="1"/>
  <c r="T386" i="1" s="1"/>
  <c r="S385" i="1" l="1"/>
  <c r="T385" i="1" s="1"/>
  <c r="R384" i="1"/>
  <c r="S384" i="1" l="1"/>
  <c r="T384" i="1" s="1"/>
  <c r="R383" i="1"/>
  <c r="S383" i="1" l="1"/>
  <c r="T383" i="1" s="1"/>
  <c r="R382" i="1"/>
  <c r="S382" i="1" l="1"/>
  <c r="T382" i="1" s="1"/>
  <c r="R381" i="1"/>
  <c r="S381" i="1" l="1"/>
  <c r="T381" i="1" s="1"/>
  <c r="R380" i="1"/>
  <c r="S380" i="1" l="1"/>
  <c r="T380" i="1" s="1"/>
  <c r="R379" i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S375" i="1" l="1"/>
  <c r="T375" i="1" s="1"/>
  <c r="R374" i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S368" i="1" l="1"/>
  <c r="T368" i="1" s="1"/>
  <c r="R367" i="1"/>
  <c r="R366" i="1" l="1"/>
  <c r="S367" i="1"/>
  <c r="T367" i="1" s="1"/>
  <c r="S366" i="1" l="1"/>
  <c r="T366" i="1" s="1"/>
  <c r="R365" i="1"/>
  <c r="S365" i="1" l="1"/>
  <c r="T365" i="1" s="1"/>
  <c r="R364" i="1"/>
  <c r="R363" i="1" l="1"/>
  <c r="S364" i="1"/>
  <c r="T364" i="1" s="1"/>
  <c r="S363" i="1" l="1"/>
  <c r="T363" i="1" s="1"/>
  <c r="R362" i="1"/>
  <c r="S362" i="1" l="1"/>
  <c r="T362" i="1" s="1"/>
  <c r="R361" i="1"/>
  <c r="S361" i="1" l="1"/>
  <c r="T361" i="1" s="1"/>
  <c r="R360" i="1"/>
  <c r="R359" i="1" l="1"/>
  <c r="S360" i="1"/>
  <c r="T360" i="1" s="1"/>
  <c r="R358" i="1" l="1"/>
  <c r="S359" i="1"/>
  <c r="T359" i="1" s="1"/>
  <c r="S358" i="1" l="1"/>
  <c r="T358" i="1" s="1"/>
  <c r="R357" i="1"/>
  <c r="R356" i="1" l="1"/>
  <c r="S357" i="1"/>
  <c r="T357" i="1" s="1"/>
  <c r="S356" i="1" l="1"/>
  <c r="T356" i="1" s="1"/>
  <c r="R355" i="1"/>
  <c r="R354" i="1" l="1"/>
  <c r="S355" i="1"/>
  <c r="T355" i="1" s="1"/>
  <c r="S354" i="1" l="1"/>
  <c r="T354" i="1" s="1"/>
  <c r="R353" i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S349" i="1" l="1"/>
  <c r="T349" i="1" s="1"/>
  <c r="R348" i="1"/>
  <c r="R347" i="1" l="1"/>
  <c r="S348" i="1"/>
  <c r="T348" i="1" s="1"/>
  <c r="S347" i="1" l="1"/>
  <c r="T347" i="1" s="1"/>
  <c r="R346" i="1"/>
  <c r="R345" i="1" l="1"/>
  <c r="S346" i="1"/>
  <c r="T346" i="1" s="1"/>
  <c r="S345" i="1" l="1"/>
  <c r="T345" i="1" s="1"/>
  <c r="R344" i="1"/>
  <c r="S344" i="1" l="1"/>
  <c r="T344" i="1" s="1"/>
  <c r="R343" i="1"/>
  <c r="S343" i="1" l="1"/>
  <c r="T343" i="1" s="1"/>
  <c r="R342" i="1"/>
  <c r="S342" i="1" l="1"/>
  <c r="T342" i="1" s="1"/>
  <c r="R341" i="1"/>
  <c r="R340" i="1" l="1"/>
  <c r="S341" i="1"/>
  <c r="T341" i="1" s="1"/>
  <c r="S340" i="1" l="1"/>
  <c r="T340" i="1" s="1"/>
  <c r="R339" i="1"/>
  <c r="R338" i="1" l="1"/>
  <c r="S339" i="1"/>
  <c r="T339" i="1" s="1"/>
  <c r="R337" i="1" l="1"/>
  <c r="S338" i="1"/>
  <c r="T338" i="1" s="1"/>
  <c r="R336" i="1" l="1"/>
  <c r="S337" i="1"/>
  <c r="T337" i="1" s="1"/>
  <c r="S336" i="1" l="1"/>
  <c r="T336" i="1" s="1"/>
  <c r="R335" i="1"/>
  <c r="R334" i="1" l="1"/>
  <c r="S335" i="1"/>
  <c r="T335" i="1" s="1"/>
  <c r="S334" i="1" l="1"/>
  <c r="T334" i="1" s="1"/>
  <c r="R333" i="1"/>
  <c r="R332" i="1" l="1"/>
  <c r="S333" i="1"/>
  <c r="T333" i="1" s="1"/>
  <c r="R331" i="1" l="1"/>
  <c r="S332" i="1"/>
  <c r="T332" i="1" s="1"/>
  <c r="S331" i="1" l="1"/>
  <c r="T331" i="1" s="1"/>
  <c r="R330" i="1"/>
  <c r="S330" i="1" l="1"/>
  <c r="T330" i="1" s="1"/>
  <c r="R329" i="1"/>
  <c r="R328" i="1" l="1"/>
  <c r="S329" i="1"/>
  <c r="T329" i="1" s="1"/>
  <c r="R327" i="1" l="1"/>
  <c r="S328" i="1"/>
  <c r="T328" i="1" s="1"/>
  <c r="S327" i="1" l="1"/>
  <c r="T327" i="1" s="1"/>
  <c r="R326" i="1"/>
  <c r="R325" i="1" l="1"/>
  <c r="S326" i="1"/>
  <c r="T326" i="1" s="1"/>
  <c r="S325" i="1" l="1"/>
  <c r="T325" i="1" s="1"/>
  <c r="R324" i="1"/>
  <c r="R323" i="1" l="1"/>
  <c r="S324" i="1"/>
  <c r="T324" i="1" s="1"/>
  <c r="S323" i="1" l="1"/>
  <c r="T323" i="1" s="1"/>
  <c r="R322" i="1"/>
  <c r="S322" i="1" l="1"/>
  <c r="T322" i="1" s="1"/>
  <c r="R321" i="1"/>
  <c r="S321" i="1" l="1"/>
  <c r="T321" i="1" s="1"/>
  <c r="R320" i="1"/>
  <c r="R319" i="1" l="1"/>
  <c r="S320" i="1"/>
  <c r="T320" i="1" s="1"/>
  <c r="S319" i="1" l="1"/>
  <c r="T319" i="1" s="1"/>
  <c r="R318" i="1"/>
  <c r="S318" i="1" l="1"/>
  <c r="T318" i="1" s="1"/>
  <c r="R317" i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S313" i="1" l="1"/>
  <c r="T313" i="1" s="1"/>
  <c r="R312" i="1"/>
  <c r="R311" i="1" l="1"/>
  <c r="S312" i="1"/>
  <c r="T312" i="1" s="1"/>
  <c r="R310" i="1" l="1"/>
  <c r="S311" i="1"/>
  <c r="T311" i="1" s="1"/>
  <c r="S310" i="1" l="1"/>
  <c r="T310" i="1" s="1"/>
  <c r="R309" i="1"/>
  <c r="R308" i="1" l="1"/>
  <c r="S309" i="1"/>
  <c r="T309" i="1" s="1"/>
  <c r="S308" i="1" l="1"/>
  <c r="T308" i="1" s="1"/>
  <c r="R307" i="1"/>
  <c r="S307" i="1" l="1"/>
  <c r="T307" i="1" s="1"/>
  <c r="R306" i="1"/>
  <c r="R305" i="1" l="1"/>
  <c r="S306" i="1"/>
  <c r="T306" i="1" s="1"/>
  <c r="R304" i="1" l="1"/>
  <c r="S305" i="1"/>
  <c r="T305" i="1" s="1"/>
  <c r="S304" i="1" l="1"/>
  <c r="T304" i="1" s="1"/>
  <c r="R303" i="1"/>
  <c r="R302" i="1" l="1"/>
  <c r="S303" i="1"/>
  <c r="T303" i="1" s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R296" i="1" l="1"/>
  <c r="S297" i="1"/>
  <c r="T297" i="1" s="1"/>
  <c r="S296" i="1" l="1"/>
  <c r="T296" i="1" s="1"/>
  <c r="R295" i="1"/>
  <c r="S295" i="1" l="1"/>
  <c r="T295" i="1" s="1"/>
  <c r="R294" i="1"/>
  <c r="S294" i="1" l="1"/>
  <c r="T294" i="1" s="1"/>
  <c r="R293" i="1"/>
  <c r="R292" i="1" l="1"/>
  <c r="S293" i="1"/>
  <c r="T293" i="1" s="1"/>
  <c r="S292" i="1" l="1"/>
  <c r="T292" i="1" s="1"/>
  <c r="R291" i="1"/>
  <c r="R290" i="1" l="1"/>
  <c r="S291" i="1"/>
  <c r="T291" i="1" s="1"/>
  <c r="S290" i="1" l="1"/>
  <c r="T290" i="1" s="1"/>
  <c r="R289" i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R281" i="1" l="1"/>
  <c r="S282" i="1"/>
  <c r="T282" i="1" s="1"/>
  <c r="S281" i="1" l="1"/>
  <c r="T281" i="1" s="1"/>
  <c r="R280" i="1"/>
  <c r="S280" i="1" l="1"/>
  <c r="T280" i="1" s="1"/>
  <c r="R279" i="1"/>
  <c r="S279" i="1" l="1"/>
  <c r="T279" i="1" s="1"/>
  <c r="R278" i="1"/>
  <c r="S278" i="1" l="1"/>
  <c r="T278" i="1" s="1"/>
  <c r="R277" i="1"/>
  <c r="R276" i="1" l="1"/>
  <c r="S277" i="1"/>
  <c r="T277" i="1" s="1"/>
  <c r="S276" i="1" l="1"/>
  <c r="T276" i="1" s="1"/>
  <c r="R275" i="1"/>
  <c r="R274" i="1" l="1"/>
  <c r="S275" i="1"/>
  <c r="T275" i="1" s="1"/>
  <c r="S274" i="1" l="1"/>
  <c r="T274" i="1" s="1"/>
  <c r="R273" i="1"/>
  <c r="R272" i="1" l="1"/>
  <c r="S273" i="1"/>
  <c r="T273" i="1" s="1"/>
  <c r="S272" i="1" l="1"/>
  <c r="T272" i="1" s="1"/>
  <c r="R271" i="1"/>
  <c r="S271" i="1" l="1"/>
  <c r="T271" i="1" s="1"/>
  <c r="R270" i="1"/>
  <c r="S270" i="1" l="1"/>
  <c r="T270" i="1" s="1"/>
  <c r="R269" i="1"/>
  <c r="S269" i="1" l="1"/>
  <c r="T269" i="1" s="1"/>
  <c r="R268" i="1"/>
  <c r="S268" i="1" l="1"/>
  <c r="T268" i="1" s="1"/>
  <c r="R267" i="1"/>
  <c r="S267" i="1" l="1"/>
  <c r="T267" i="1" s="1"/>
  <c r="R266" i="1"/>
  <c r="S266" i="1" l="1"/>
  <c r="T266" i="1" s="1"/>
  <c r="R265" i="1"/>
  <c r="S265" i="1" l="1"/>
  <c r="T265" i="1" s="1"/>
  <c r="R264" i="1"/>
  <c r="R263" i="1" l="1"/>
  <c r="S264" i="1"/>
  <c r="T264" i="1" s="1"/>
  <c r="S263" i="1" l="1"/>
  <c r="T263" i="1" s="1"/>
  <c r="R262" i="1"/>
  <c r="S262" i="1" l="1"/>
  <c r="T262" i="1" s="1"/>
  <c r="R261" i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S257" i="1" l="1"/>
  <c r="T257" i="1" s="1"/>
  <c r="R256" i="1"/>
  <c r="R255" i="1" l="1"/>
  <c r="S256" i="1"/>
  <c r="T256" i="1" s="1"/>
  <c r="R254" i="1" l="1"/>
  <c r="S255" i="1"/>
  <c r="T255" i="1" s="1"/>
  <c r="R253" i="1" l="1"/>
  <c r="S254" i="1"/>
  <c r="T254" i="1" s="1"/>
  <c r="S253" i="1" l="1"/>
  <c r="T253" i="1" s="1"/>
  <c r="R252" i="1"/>
  <c r="R251" i="1" l="1"/>
  <c r="S252" i="1"/>
  <c r="T252" i="1" s="1"/>
  <c r="S251" i="1" l="1"/>
  <c r="T251" i="1" s="1"/>
  <c r="R250" i="1"/>
  <c r="R249" i="1" l="1"/>
  <c r="S250" i="1"/>
  <c r="T250" i="1" s="1"/>
  <c r="S249" i="1" l="1"/>
  <c r="T249" i="1" s="1"/>
  <c r="R248" i="1"/>
  <c r="S248" i="1" l="1"/>
  <c r="T248" i="1" s="1"/>
  <c r="R247" i="1"/>
  <c r="R246" i="1" l="1"/>
  <c r="S247" i="1"/>
  <c r="T247" i="1" s="1"/>
  <c r="R245" i="1" l="1"/>
  <c r="S246" i="1"/>
  <c r="T246" i="1" s="1"/>
  <c r="R244" i="1" l="1"/>
  <c r="S245" i="1"/>
  <c r="T245" i="1" s="1"/>
  <c r="S244" i="1" l="1"/>
  <c r="T244" i="1" s="1"/>
  <c r="R243" i="1"/>
  <c r="S243" i="1" l="1"/>
  <c r="T243" i="1" s="1"/>
  <c r="R242" i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S238" i="1" l="1"/>
  <c r="T238" i="1" s="1"/>
  <c r="R237" i="1"/>
  <c r="R236" i="1" l="1"/>
  <c r="S237" i="1"/>
  <c r="T237" i="1" s="1"/>
  <c r="S236" i="1" l="1"/>
  <c r="T236" i="1" s="1"/>
  <c r="R235" i="1"/>
  <c r="S235" i="1" l="1"/>
  <c r="T235" i="1" s="1"/>
  <c r="R234" i="1"/>
  <c r="S234" i="1" l="1"/>
  <c r="T234" i="1" s="1"/>
  <c r="R233" i="1"/>
  <c r="R232" i="1" l="1"/>
  <c r="S233" i="1"/>
  <c r="T233" i="1" s="1"/>
  <c r="S232" i="1" l="1"/>
  <c r="T232" i="1" s="1"/>
  <c r="R231" i="1"/>
  <c r="R230" i="1" l="1"/>
  <c r="S231" i="1"/>
  <c r="T231" i="1" s="1"/>
  <c r="S230" i="1" l="1"/>
  <c r="T230" i="1" s="1"/>
  <c r="R229" i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S218" i="1" l="1"/>
  <c r="T218" i="1" s="1"/>
  <c r="R217" i="1"/>
  <c r="S217" i="1" l="1"/>
  <c r="T217" i="1" s="1"/>
  <c r="R216" i="1"/>
  <c r="S216" i="1" l="1"/>
  <c r="T216" i="1" s="1"/>
  <c r="R215" i="1"/>
  <c r="R214" i="1" l="1"/>
  <c r="S215" i="1"/>
  <c r="T215" i="1" s="1"/>
  <c r="S214" i="1" l="1"/>
  <c r="T214" i="1" s="1"/>
  <c r="R213" i="1"/>
  <c r="S213" i="1" l="1"/>
  <c r="T213" i="1" s="1"/>
  <c r="R212" i="1"/>
  <c r="R211" i="1" l="1"/>
  <c r="S212" i="1"/>
  <c r="T212" i="1" s="1"/>
  <c r="R210" i="1" l="1"/>
  <c r="S211" i="1"/>
  <c r="T211" i="1" s="1"/>
  <c r="S210" i="1" l="1"/>
  <c r="T210" i="1" s="1"/>
  <c r="R209" i="1"/>
  <c r="S209" i="1" l="1"/>
  <c r="T209" i="1" s="1"/>
  <c r="R208" i="1"/>
  <c r="S208" i="1" l="1"/>
  <c r="T208" i="1" s="1"/>
  <c r="R207" i="1"/>
  <c r="S207" i="1" l="1"/>
  <c r="T207" i="1" s="1"/>
  <c r="R206" i="1"/>
  <c r="S206" i="1" l="1"/>
  <c r="T206" i="1" s="1"/>
  <c r="R205" i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S201" i="1" l="1"/>
  <c r="T201" i="1" s="1"/>
  <c r="R200" i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R195" i="1" l="1"/>
  <c r="S196" i="1"/>
  <c r="T196" i="1" s="1"/>
  <c r="S195" i="1" l="1"/>
  <c r="T195" i="1" s="1"/>
  <c r="R194" i="1"/>
  <c r="S194" i="1" l="1"/>
  <c r="T194" i="1" s="1"/>
  <c r="R193" i="1"/>
  <c r="S193" i="1" l="1"/>
  <c r="T193" i="1" s="1"/>
  <c r="R192" i="1"/>
  <c r="S192" i="1" l="1"/>
  <c r="T192" i="1" s="1"/>
  <c r="R191" i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S186" i="1" l="1"/>
  <c r="T186" i="1" s="1"/>
  <c r="R185" i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S169" i="1" l="1"/>
  <c r="T169" i="1" s="1"/>
  <c r="R168" i="1"/>
  <c r="R167" i="1" l="1"/>
  <c r="S168" i="1"/>
  <c r="T168" i="1" s="1"/>
  <c r="R166" i="1" l="1"/>
  <c r="S167" i="1"/>
  <c r="T167" i="1" s="1"/>
  <c r="S166" i="1" l="1"/>
  <c r="T166" i="1" s="1"/>
  <c r="R165" i="1"/>
  <c r="S165" i="1" l="1"/>
  <c r="T165" i="1" s="1"/>
  <c r="R164" i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S158" i="1" l="1"/>
  <c r="T158" i="1" s="1"/>
  <c r="R157" i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S150" i="1" l="1"/>
  <c r="T150" i="1" s="1"/>
  <c r="R149" i="1"/>
  <c r="S149" i="1" l="1"/>
  <c r="T149" i="1" s="1"/>
  <c r="R148" i="1"/>
  <c r="S148" i="1" l="1"/>
  <c r="T148" i="1" s="1"/>
  <c r="R147" i="1"/>
  <c r="S147" i="1" l="1"/>
  <c r="T147" i="1" s="1"/>
  <c r="R146" i="1"/>
  <c r="S146" i="1" l="1"/>
  <c r="T146" i="1" s="1"/>
  <c r="R145" i="1"/>
  <c r="R144" i="1" l="1"/>
  <c r="S145" i="1"/>
  <c r="T145" i="1" s="1"/>
  <c r="S144" i="1" l="1"/>
  <c r="T144" i="1" s="1"/>
  <c r="R143" i="1"/>
  <c r="R142" i="1" l="1"/>
  <c r="S143" i="1"/>
  <c r="T143" i="1" s="1"/>
  <c r="R141" i="1" l="1"/>
  <c r="S142" i="1"/>
  <c r="T142" i="1" s="1"/>
  <c r="S141" i="1" l="1"/>
  <c r="T141" i="1" s="1"/>
  <c r="R140" i="1"/>
  <c r="R139" i="1" l="1"/>
  <c r="S140" i="1"/>
  <c r="T140" i="1" s="1"/>
  <c r="S139" i="1" l="1"/>
  <c r="T139" i="1" s="1"/>
  <c r="R138" i="1"/>
  <c r="R137" i="1" l="1"/>
  <c r="S138" i="1"/>
  <c r="T138" i="1" s="1"/>
  <c r="S137" i="1" l="1"/>
  <c r="T137" i="1" s="1"/>
  <c r="R136" i="1"/>
  <c r="S136" i="1" l="1"/>
  <c r="T136" i="1" s="1"/>
  <c r="R135" i="1"/>
  <c r="R134" i="1" l="1"/>
  <c r="S135" i="1"/>
  <c r="T135" i="1" s="1"/>
  <c r="S134" i="1" l="1"/>
  <c r="T134" i="1" s="1"/>
  <c r="R133" i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S129" i="1" l="1"/>
  <c r="T129" i="1" s="1"/>
  <c r="R128" i="1"/>
  <c r="R127" i="1" l="1"/>
  <c r="S128" i="1"/>
  <c r="T128" i="1" s="1"/>
  <c r="S127" i="1" l="1"/>
  <c r="T127" i="1" s="1"/>
  <c r="R126" i="1"/>
  <c r="S126" i="1" l="1"/>
  <c r="T126" i="1" s="1"/>
  <c r="R125" i="1"/>
  <c r="R124" i="1" l="1"/>
  <c r="S125" i="1"/>
  <c r="T125" i="1" s="1"/>
  <c r="R123" i="1" l="1"/>
  <c r="S124" i="1"/>
  <c r="T124" i="1" s="1"/>
  <c r="S123" i="1" l="1"/>
  <c r="T123" i="1" s="1"/>
  <c r="R122" i="1"/>
  <c r="S122" i="1" l="1"/>
  <c r="T122" i="1" s="1"/>
  <c r="R121" i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S112" i="1" l="1"/>
  <c r="T112" i="1" s="1"/>
  <c r="R111" i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S102" i="1" l="1"/>
  <c r="T102" i="1" s="1"/>
  <c r="R101" i="1"/>
  <c r="S101" i="1" l="1"/>
  <c r="T101" i="1" s="1"/>
  <c r="R100" i="1"/>
  <c r="R99" i="1" l="1"/>
  <c r="S100" i="1"/>
  <c r="T100" i="1" s="1"/>
  <c r="R98" i="1" l="1"/>
  <c r="S99" i="1"/>
  <c r="T99" i="1" s="1"/>
  <c r="R97" i="1" l="1"/>
  <c r="S98" i="1"/>
  <c r="T98" i="1" s="1"/>
  <c r="S97" i="1" l="1"/>
  <c r="T97" i="1" s="1"/>
  <c r="R96" i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S90" i="1" l="1"/>
  <c r="T90" i="1" s="1"/>
  <c r="R89" i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R81" i="1" l="1"/>
  <c r="S82" i="1"/>
  <c r="T82" i="1" s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S73" i="1" l="1"/>
  <c r="T73" i="1" s="1"/>
  <c r="R72" i="1"/>
  <c r="S72" i="1" l="1"/>
  <c r="T72" i="1" s="1"/>
  <c r="R71" i="1"/>
  <c r="S71" i="1" l="1"/>
  <c r="T71" i="1" s="1"/>
  <c r="R70" i="1"/>
  <c r="R69" i="1" l="1"/>
  <c r="S70" i="1"/>
  <c r="T70" i="1" s="1"/>
  <c r="R68" i="1" l="1"/>
  <c r="S69" i="1"/>
  <c r="T69" i="1" s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S58" i="1" l="1"/>
  <c r="T58" i="1" s="1"/>
  <c r="R57" i="1"/>
  <c r="R56" i="1" l="1"/>
  <c r="S57" i="1"/>
  <c r="T57" i="1" s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R47" i="1" l="1"/>
  <c r="S48" i="1"/>
  <c r="T48" i="1" s="1"/>
  <c r="R46" i="1" l="1"/>
  <c r="S47" i="1"/>
  <c r="T47" i="1" s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R38" i="1" l="1"/>
  <c r="S39" i="1"/>
  <c r="T39" i="1" s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S34" i="1" l="1"/>
  <c r="T34" i="1" s="1"/>
  <c r="R33" i="1"/>
  <c r="R32" i="1" l="1"/>
  <c r="S33" i="1"/>
  <c r="T33" i="1" s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S23" i="1" l="1"/>
  <c r="T23" i="1" s="1"/>
  <c r="R22" i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<sst xmlns="http://schemas.openxmlformats.org/spreadsheetml/2006/main" count="7828" uniqueCount="34">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</sst>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2.1720000000000002</c:v>
                </c:pt>
                <c:pt idx="1">
                  <c:v>2.2130000000000001</c:v>
                </c:pt>
                <c:pt idx="2">
                  <c:v>2.2229999999999999</c:v>
                </c:pt>
                <c:pt idx="3">
                  <c:v>2.1989999999999998</c:v>
                </c:pt>
                <c:pt idx="4">
                  <c:v>2.2730000000000001</c:v>
                </c:pt>
                <c:pt idx="5">
                  <c:v>2.222</c:v>
                </c:pt>
                <c:pt idx="6">
                  <c:v>2.37</c:v>
                </c:pt>
                <c:pt idx="7">
                  <c:v>2.6360000000000001</c:v>
                </c:pt>
                <c:pt idx="8">
                  <c:v>2.7389999999999999</c:v>
                </c:pt>
                <c:pt idx="9">
                  <c:v>2.8250000000000002</c:v>
                </c:pt>
                <c:pt idx="10">
                  <c:v>2.8330000000000002</c:v>
                </c:pt>
                <c:pt idx="11">
                  <c:v>2.903</c:v>
                </c:pt>
                <c:pt idx="12">
                  <c:v>2.9089999999999998</c:v>
                </c:pt>
                <c:pt idx="13">
                  <c:v>2.863</c:v>
                </c:pt>
                <c:pt idx="14">
                  <c:v>2.7890000000000001</c:v>
                </c:pt>
                <c:pt idx="15">
                  <c:v>2.8860000000000001</c:v>
                </c:pt>
                <c:pt idx="16">
                  <c:v>2.7690000000000001</c:v>
                </c:pt>
                <c:pt idx="17">
                  <c:v>2.702</c:v>
                </c:pt>
                <c:pt idx="18">
                  <c:v>2.7930000000000001</c:v>
                </c:pt>
                <c:pt idx="19">
                  <c:v>2.7509999999999999</c:v>
                </c:pt>
                <c:pt idx="20">
                  <c:v>2.839</c:v>
                </c:pt>
                <c:pt idx="21">
                  <c:v>2.9220000000000002</c:v>
                </c:pt>
                <c:pt idx="22">
                  <c:v>2.8959999999999999</c:v>
                </c:pt>
                <c:pt idx="23">
                  <c:v>3.1680000000000001</c:v>
                </c:pt>
                <c:pt idx="24">
                  <c:v>3.1949999999999998</c:v>
                </c:pt>
                <c:pt idx="25">
                  <c:v>3.2509999999999999</c:v>
                </c:pt>
                <c:pt idx="26">
                  <c:v>3.157</c:v>
                </c:pt>
                <c:pt idx="27">
                  <c:v>3.0339999999999998</c:v>
                </c:pt>
                <c:pt idx="28">
                  <c:v>3.077</c:v>
                </c:pt>
                <c:pt idx="29">
                  <c:v>3.0310000000000001</c:v>
                </c:pt>
                <c:pt idx="30">
                  <c:v>3.129</c:v>
                </c:pt>
                <c:pt idx="31">
                  <c:v>3.391</c:v>
                </c:pt>
                <c:pt idx="32">
                  <c:v>3.395</c:v>
                </c:pt>
                <c:pt idx="33">
                  <c:v>3.4079999999999999</c:v>
                </c:pt>
                <c:pt idx="34">
                  <c:v>3.3769999999999998</c:v>
                </c:pt>
                <c:pt idx="35">
                  <c:v>3.5019999999999998</c:v>
                </c:pt>
                <c:pt idx="36">
                  <c:v>3.35</c:v>
                </c:pt>
                <c:pt idx="37">
                  <c:v>3.3109999999999999</c:v>
                </c:pt>
                <c:pt idx="38">
                  <c:v>3.1880000000000002</c:v>
                </c:pt>
                <c:pt idx="39">
                  <c:v>3.1869999999999998</c:v>
                </c:pt>
                <c:pt idx="40">
                  <c:v>3.242</c:v>
                </c:pt>
                <c:pt idx="41">
                  <c:v>3.1509999999999998</c:v>
                </c:pt>
                <c:pt idx="42">
                  <c:v>3.21</c:v>
                </c:pt>
                <c:pt idx="43">
                  <c:v>3.3620000000000001</c:v>
                </c:pt>
                <c:pt idx="44">
                  <c:v>3.3530000000000002</c:v>
                </c:pt>
                <c:pt idx="45">
                  <c:v>3.0910000000000002</c:v>
                </c:pt>
                <c:pt idx="46">
                  <c:v>3.3330000000000002</c:v>
                </c:pt>
                <c:pt idx="47">
                  <c:v>3.0750000000000002</c:v>
                </c:pt>
                <c:pt idx="48">
                  <c:v>3.04</c:v>
                </c:pt>
                <c:pt idx="49">
                  <c:v>3.2189999999999999</c:v>
                </c:pt>
                <c:pt idx="50">
                  <c:v>3.6480000000000001</c:v>
                </c:pt>
                <c:pt idx="51">
                  <c:v>3.222</c:v>
                </c:pt>
                <c:pt idx="52">
                  <c:v>3.2730000000000001</c:v>
                </c:pt>
                <c:pt idx="53">
                  <c:v>3.032</c:v>
                </c:pt>
                <c:pt idx="54">
                  <c:v>3.1440000000000001</c:v>
                </c:pt>
                <c:pt idx="55">
                  <c:v>3.7909999999999999</c:v>
                </c:pt>
                <c:pt idx="56">
                  <c:v>3.964</c:v>
                </c:pt>
                <c:pt idx="57">
                  <c:v>3.9910000000000001</c:v>
                </c:pt>
                <c:pt idx="58">
                  <c:v>4.0039999999999996</c:v>
                </c:pt>
                <c:pt idx="59">
                  <c:v>4.0019999999999998</c:v>
                </c:pt>
                <c:pt idx="60">
                  <c:v>3.9660000000000002</c:v>
                </c:pt>
                <c:pt idx="61">
                  <c:v>3.8980000000000001</c:v>
                </c:pt>
                <c:pt idx="62">
                  <c:v>3.8519999999999999</c:v>
                </c:pt>
                <c:pt idx="63">
                  <c:v>4.2510000000000003</c:v>
                </c:pt>
                <c:pt idx="64">
                  <c:v>4.1760000000000002</c:v>
                </c:pt>
                <c:pt idx="65">
                  <c:v>4.2320000000000002</c:v>
                </c:pt>
                <c:pt idx="66">
                  <c:v>4.1340000000000003</c:v>
                </c:pt>
                <c:pt idx="67">
                  <c:v>4.2430000000000003</c:v>
                </c:pt>
                <c:pt idx="68">
                  <c:v>4.3410000000000002</c:v>
                </c:pt>
                <c:pt idx="69">
                  <c:v>4.2880000000000003</c:v>
                </c:pt>
                <c:pt idx="70">
                  <c:v>4.0869999999999997</c:v>
                </c:pt>
                <c:pt idx="71">
                  <c:v>4.3680000000000003</c:v>
                </c:pt>
                <c:pt idx="72">
                  <c:v>4.327</c:v>
                </c:pt>
                <c:pt idx="73">
                  <c:v>4.8070000000000004</c:v>
                </c:pt>
                <c:pt idx="74">
                  <c:v>4.9569999999999999</c:v>
                </c:pt>
                <c:pt idx="75">
                  <c:v>5.0090000000000003</c:v>
                </c:pt>
                <c:pt idx="76">
                  <c:v>4.8490000000000002</c:v>
                </c:pt>
                <c:pt idx="77">
                  <c:v>4.9219999999999997</c:v>
                </c:pt>
                <c:pt idx="78">
                  <c:v>4.8410000000000002</c:v>
                </c:pt>
                <c:pt idx="79">
                  <c:v>5.2089999999999996</c:v>
                </c:pt>
                <c:pt idx="80">
                  <c:v>4.859</c:v>
                </c:pt>
                <c:pt idx="81">
                  <c:v>4.5990000000000002</c:v>
                </c:pt>
                <c:pt idx="82">
                  <c:v>4.4459999999999997</c:v>
                </c:pt>
                <c:pt idx="83">
                  <c:v>4.5019999999999998</c:v>
                </c:pt>
                <c:pt idx="84">
                  <c:v>4.5419999999999998</c:v>
                </c:pt>
                <c:pt idx="85">
                  <c:v>4.7069999999999999</c:v>
                </c:pt>
                <c:pt idx="86">
                  <c:v>4.7009999999999996</c:v>
                </c:pt>
                <c:pt idx="87">
                  <c:v>4.6390000000000002</c:v>
                </c:pt>
                <c:pt idx="88">
                  <c:v>4.6369999999999996</c:v>
                </c:pt>
                <c:pt idx="89">
                  <c:v>4.4800000000000004</c:v>
                </c:pt>
                <c:pt idx="90">
                  <c:v>4.5019999999999998</c:v>
                </c:pt>
                <c:pt idx="91">
                  <c:v>4.4009999999999998</c:v>
                </c:pt>
                <c:pt idx="92">
                  <c:v>4.149</c:v>
                </c:pt>
                <c:pt idx="93">
                  <c:v>4.7160000000000002</c:v>
                </c:pt>
                <c:pt idx="94">
                  <c:v>4.8179999999999996</c:v>
                </c:pt>
                <c:pt idx="95">
                  <c:v>4.7439999999999998</c:v>
                </c:pt>
                <c:pt idx="96">
                  <c:v>4.7469999999999999</c:v>
                </c:pt>
                <c:pt idx="97">
                  <c:v>4.6139999999999999</c:v>
                </c:pt>
                <c:pt idx="98">
                  <c:v>4.6660000000000004</c:v>
                </c:pt>
                <c:pt idx="99">
                  <c:v>4.8250000000000002</c:v>
                </c:pt>
                <c:pt idx="100">
                  <c:v>4.4589999999999996</c:v>
                </c:pt>
                <c:pt idx="101">
                  <c:v>4.4210000000000003</c:v>
                </c:pt>
                <c:pt idx="102">
                  <c:v>4.4119999999999999</c:v>
                </c:pt>
                <c:pt idx="103">
                  <c:v>4.57</c:v>
                </c:pt>
                <c:pt idx="104">
                  <c:v>4.6429999999999998</c:v>
                </c:pt>
                <c:pt idx="105">
                  <c:v>4.6230000000000002</c:v>
                </c:pt>
                <c:pt idx="106">
                  <c:v>4.6040000000000001</c:v>
                </c:pt>
                <c:pt idx="107">
                  <c:v>4.4950000000000001</c:v>
                </c:pt>
                <c:pt idx="108">
                  <c:v>4.55</c:v>
                </c:pt>
                <c:pt idx="109">
                  <c:v>4.577</c:v>
                </c:pt>
                <c:pt idx="110">
                  <c:v>5</c:v>
                </c:pt>
                <c:pt idx="111">
                  <c:v>4.6470000000000002</c:v>
                </c:pt>
                <c:pt idx="112">
                  <c:v>4.7220000000000004</c:v>
                </c:pt>
                <c:pt idx="113">
                  <c:v>4.7480000000000002</c:v>
                </c:pt>
                <c:pt idx="114">
                  <c:v>4.7300000000000004</c:v>
                </c:pt>
                <c:pt idx="115">
                  <c:v>4.5830000000000002</c:v>
                </c:pt>
                <c:pt idx="116">
                  <c:v>4.6459999999999999</c:v>
                </c:pt>
                <c:pt idx="117">
                  <c:v>4.3220000000000001</c:v>
                </c:pt>
                <c:pt idx="118">
                  <c:v>4.2750000000000004</c:v>
                </c:pt>
                <c:pt idx="119">
                  <c:v>3.9380000000000002</c:v>
                </c:pt>
                <c:pt idx="120">
                  <c:v>3.7450000000000001</c:v>
                </c:pt>
                <c:pt idx="121">
                  <c:v>3.6829999999999998</c:v>
                </c:pt>
                <c:pt idx="122">
                  <c:v>3.8290000000000002</c:v>
                </c:pt>
                <c:pt idx="123">
                  <c:v>3.9710000000000001</c:v>
                </c:pt>
                <c:pt idx="124">
                  <c:v>4.0110000000000001</c:v>
                </c:pt>
                <c:pt idx="125">
                  <c:v>4.0279999999999996</c:v>
                </c:pt>
                <c:pt idx="126">
                  <c:v>4.3739999999999997</c:v>
                </c:pt>
                <c:pt idx="127">
                  <c:v>4.3</c:v>
                </c:pt>
                <c:pt idx="128">
                  <c:v>3.8860000000000001</c:v>
                </c:pt>
                <c:pt idx="129">
                  <c:v>4.5259999999999998</c:v>
                </c:pt>
                <c:pt idx="130">
                  <c:v>4.9089999999999998</c:v>
                </c:pt>
                <c:pt idx="131">
                  <c:v>5.4660000000000002</c:v>
                </c:pt>
                <c:pt idx="132">
                  <c:v>5.2510000000000003</c:v>
                </c:pt>
                <c:pt idx="133">
                  <c:v>5.016</c:v>
                </c:pt>
                <c:pt idx="134">
                  <c:v>5.1029999999999998</c:v>
                </c:pt>
                <c:pt idx="135">
                  <c:v>4.8639999999999999</c:v>
                </c:pt>
                <c:pt idx="136">
                  <c:v>4.7409999999999997</c:v>
                </c:pt>
                <c:pt idx="137">
                  <c:v>4.8780000000000001</c:v>
                </c:pt>
                <c:pt idx="138">
                  <c:v>4.6740000000000004</c:v>
                </c:pt>
                <c:pt idx="139">
                  <c:v>4.5670000000000002</c:v>
                </c:pt>
                <c:pt idx="140">
                  <c:v>4.8150000000000004</c:v>
                </c:pt>
                <c:pt idx="141">
                  <c:v>4.7450000000000001</c:v>
                </c:pt>
                <c:pt idx="142">
                  <c:v>4.8869999999999996</c:v>
                </c:pt>
                <c:pt idx="143">
                  <c:v>6.2160000000000002</c:v>
                </c:pt>
                <c:pt idx="144">
                  <c:v>6.2939999999999996</c:v>
                </c:pt>
                <c:pt idx="145">
                  <c:v>5.6920000000000002</c:v>
                </c:pt>
                <c:pt idx="146">
                  <c:v>5.6710000000000003</c:v>
                </c:pt>
                <c:pt idx="147">
                  <c:v>5.2560000000000002</c:v>
                </c:pt>
                <c:pt idx="148">
                  <c:v>5.3120000000000003</c:v>
                </c:pt>
                <c:pt idx="149">
                  <c:v>5.0369999999999999</c:v>
                </c:pt>
                <c:pt idx="150">
                  <c:v>4.82</c:v>
                </c:pt>
                <c:pt idx="151">
                  <c:v>5.0590000000000002</c:v>
                </c:pt>
                <c:pt idx="152">
                  <c:v>5.008</c:v>
                </c:pt>
                <c:pt idx="153">
                  <c:v>5.09</c:v>
                </c:pt>
                <c:pt idx="154">
                  <c:v>4.74</c:v>
                </c:pt>
                <c:pt idx="155">
                  <c:v>5.2093999999999996</c:v>
                </c:pt>
                <c:pt idx="156">
                  <c:v>5.0583</c:v>
                </c:pt>
                <c:pt idx="157">
                  <c:v>5.5928000000000004</c:v>
                </c:pt>
                <c:pt idx="158">
                  <c:v>5.4596999999999998</c:v>
                </c:pt>
                <c:pt idx="159">
                  <c:v>5.3544999999999998</c:v>
                </c:pt>
                <c:pt idx="160">
                  <c:v>5.4560000000000004</c:v>
                </c:pt>
                <c:pt idx="161">
                  <c:v>5.2541000000000002</c:v>
                </c:pt>
                <c:pt idx="162">
                  <c:v>4.9800000000000004</c:v>
                </c:pt>
                <c:pt idx="163">
                  <c:v>5.0603999999999996</c:v>
                </c:pt>
                <c:pt idx="164">
                  <c:v>5.5170000000000003</c:v>
                </c:pt>
                <c:pt idx="165">
                  <c:v>5.6931000000000003</c:v>
                </c:pt>
                <c:pt idx="166">
                  <c:v>5.4805999999999999</c:v>
                </c:pt>
                <c:pt idx="167">
                  <c:v>5.1582999999999997</c:v>
                </c:pt>
                <c:pt idx="168">
                  <c:v>4.6588000000000003</c:v>
                </c:pt>
                <c:pt idx="169">
                  <c:v>4.75</c:v>
                </c:pt>
                <c:pt idx="170">
                  <c:v>4.5972999999999997</c:v>
                </c:pt>
                <c:pt idx="171">
                  <c:v>4.5323000000000002</c:v>
                </c:pt>
                <c:pt idx="172">
                  <c:v>4.2948000000000004</c:v>
                </c:pt>
                <c:pt idx="173">
                  <c:v>4.5918999999999999</c:v>
                </c:pt>
                <c:pt idx="174">
                  <c:v>4.3190999999999997</c:v>
                </c:pt>
                <c:pt idx="175">
                  <c:v>4.1875999999999998</c:v>
                </c:pt>
                <c:pt idx="176">
                  <c:v>4.1142000000000003</c:v>
                </c:pt>
                <c:pt idx="177">
                  <c:v>4.0244999999999997</c:v>
                </c:pt>
                <c:pt idx="178">
                  <c:v>4.0270000000000001</c:v>
                </c:pt>
                <c:pt idx="179">
                  <c:v>3.9413999999999998</c:v>
                </c:pt>
                <c:pt idx="180">
                  <c:v>4.0679999999999996</c:v>
                </c:pt>
                <c:pt idx="181">
                  <c:v>4.0683999999999996</c:v>
                </c:pt>
                <c:pt idx="182">
                  <c:v>3.9666999999999999</c:v>
                </c:pt>
                <c:pt idx="183">
                  <c:v>3.9195000000000002</c:v>
                </c:pt>
                <c:pt idx="184">
                  <c:v>3.7555999999999998</c:v>
                </c:pt>
                <c:pt idx="185">
                  <c:v>3.6795</c:v>
                </c:pt>
                <c:pt idx="186">
                  <c:v>3.6587000000000001</c:v>
                </c:pt>
                <c:pt idx="187">
                  <c:v>3.6674000000000002</c:v>
                </c:pt>
                <c:pt idx="188">
                  <c:v>3.6341000000000001</c:v>
                </c:pt>
                <c:pt idx="189">
                  <c:v>3.5647000000000002</c:v>
                </c:pt>
                <c:pt idx="190">
                  <c:v>3.5026000000000002</c:v>
                </c:pt>
                <c:pt idx="191">
                  <c:v>3.2595999999999998</c:v>
                </c:pt>
                <c:pt idx="192">
                  <c:v>3.4369999999999998</c:v>
                </c:pt>
                <c:pt idx="193">
                  <c:v>3.6353</c:v>
                </c:pt>
                <c:pt idx="194">
                  <c:v>3.6562000000000001</c:v>
                </c:pt>
                <c:pt idx="195">
                  <c:v>3.6528999999999998</c:v>
                </c:pt>
                <c:pt idx="196">
                  <c:v>3.6707000000000001</c:v>
                </c:pt>
                <c:pt idx="197">
                  <c:v>3.7982999999999998</c:v>
                </c:pt>
                <c:pt idx="198">
                  <c:v>3.8908999999999998</c:v>
                </c:pt>
                <c:pt idx="199">
                  <c:v>4.1872999999999996</c:v>
                </c:pt>
                <c:pt idx="200">
                  <c:v>4.0766</c:v>
                </c:pt>
                <c:pt idx="201">
                  <c:v>3.9632999999999998</c:v>
                </c:pt>
                <c:pt idx="202">
                  <c:v>4.2173999999999996</c:v>
                </c:pt>
                <c:pt idx="203">
                  <c:v>3.5958999999999999</c:v>
                </c:pt>
                <c:pt idx="204">
                  <c:v>3.8249</c:v>
                </c:pt>
                <c:pt idx="205">
                  <c:v>3.8776000000000002</c:v>
                </c:pt>
                <c:pt idx="206">
                  <c:v>3.8100999999999998</c:v>
                </c:pt>
                <c:pt idx="207">
                  <c:v>4.0609999999999999</c:v>
                </c:pt>
                <c:pt idx="208">
                  <c:v>4.0503999999999998</c:v>
                </c:pt>
                <c:pt idx="209">
                  <c:v>3.9224000000000001</c:v>
                </c:pt>
                <c:pt idx="210">
                  <c:v>3.9226999999999999</c:v>
                </c:pt>
                <c:pt idx="211">
                  <c:v>4.1383000000000001</c:v>
                </c:pt>
                <c:pt idx="212">
                  <c:v>4.1288999999999998</c:v>
                </c:pt>
                <c:pt idx="213">
                  <c:v>3.8506999999999998</c:v>
                </c:pt>
                <c:pt idx="214">
                  <c:v>3.7766000000000002</c:v>
                </c:pt>
                <c:pt idx="215">
                  <c:v>3.5712000000000002</c:v>
                </c:pt>
                <c:pt idx="216">
                  <c:v>3.5333000000000001</c:v>
                </c:pt>
                <c:pt idx="217">
                  <c:v>3.9239999999999999</c:v>
                </c:pt>
                <c:pt idx="218">
                  <c:v>3.6732</c:v>
                </c:pt>
                <c:pt idx="219">
                  <c:v>3.3868999999999998</c:v>
                </c:pt>
                <c:pt idx="220">
                  <c:v>3.5181</c:v>
                </c:pt>
                <c:pt idx="221">
                  <c:v>4.5068999999999999</c:v>
                </c:pt>
                <c:pt idx="222">
                  <c:v>4.4596999999999998</c:v>
                </c:pt>
                <c:pt idx="223">
                  <c:v>4.5640000000000001</c:v>
                </c:pt>
                <c:pt idx="224">
                  <c:v>4.8724999999999996</c:v>
                </c:pt>
                <c:pt idx="225">
                  <c:v>4.8657000000000004</c:v>
                </c:pt>
                <c:pt idx="226">
                  <c:v>5.1807999999999996</c:v>
                </c:pt>
                <c:pt idx="227">
                  <c:v>5.2991999999999999</c:v>
                </c:pt>
                <c:pt idx="228">
                  <c:v>5.0873999999999997</c:v>
                </c:pt>
                <c:pt idx="229">
                  <c:v>4.8301999999999996</c:v>
                </c:pt>
                <c:pt idx="230">
                  <c:v>4.9157000000000002</c:v>
                </c:pt>
                <c:pt idx="231">
                  <c:v>5.0799000000000003</c:v>
                </c:pt>
                <c:pt idx="232">
                  <c:v>5.3403999999999998</c:v>
                </c:pt>
                <c:pt idx="233">
                  <c:v>5.0502000000000002</c:v>
                </c:pt>
                <c:pt idx="234">
                  <c:v>5.1894</c:v>
                </c:pt>
                <c:pt idx="235">
                  <c:v>5.8456999999999999</c:v>
                </c:pt>
                <c:pt idx="236">
                  <c:v>5.7775999999999996</c:v>
                </c:pt>
                <c:pt idx="237">
                  <c:v>6.0141999999999998</c:v>
                </c:pt>
                <c:pt idx="238">
                  <c:v>6.5335000000000001</c:v>
                </c:pt>
                <c:pt idx="239">
                  <c:v>6.3695000000000004</c:v>
                </c:pt>
                <c:pt idx="240">
                  <c:v>6.3068999999999997</c:v>
                </c:pt>
                <c:pt idx="241">
                  <c:v>6.6296999999999997</c:v>
                </c:pt>
                <c:pt idx="242">
                  <c:v>6.0358000000000001</c:v>
                </c:pt>
                <c:pt idx="243">
                  <c:v>6.0225</c:v>
                </c:pt>
                <c:pt idx="244">
                  <c:v>6.1130000000000004</c:v>
                </c:pt>
                <c:pt idx="245">
                  <c:v>7.0209999999999999</c:v>
                </c:pt>
                <c:pt idx="246">
                  <c:v>6.4314999999999998</c:v>
                </c:pt>
                <c:pt idx="247">
                  <c:v>5.6925999999999997</c:v>
                </c:pt>
                <c:pt idx="248">
                  <c:v>5.6421000000000001</c:v>
                </c:pt>
                <c:pt idx="249">
                  <c:v>4.2923</c:v>
                </c:pt>
                <c:pt idx="250">
                  <c:v>5.1017999999999999</c:v>
                </c:pt>
                <c:pt idx="251">
                  <c:v>5.5587</c:v>
                </c:pt>
                <c:pt idx="252">
                  <c:v>6.6505999999999998</c:v>
                </c:pt>
                <c:pt idx="253">
                  <c:v>5.6863000000000001</c:v>
                </c:pt>
                <c:pt idx="254">
                  <c:v>9.3232999999999997</c:v>
                </c:pt>
                <c:pt idx="255">
                  <c:v>9.1405999999999992</c:v>
                </c:pt>
                <c:pt idx="256">
                  <c:v>10.109299999999999</c:v>
                </c:pt>
                <c:pt idx="257">
                  <c:v>10.236499999999999</c:v>
                </c:pt>
                <c:pt idx="258">
                  <c:v>11.1496</c:v>
                </c:pt>
                <c:pt idx="259">
                  <c:v>10.576000000000001</c:v>
                </c:pt>
                <c:pt idx="260">
                  <c:v>10.3536</c:v>
                </c:pt>
                <c:pt idx="261">
                  <c:v>14.516400000000001</c:v>
                </c:pt>
                <c:pt idx="262">
                  <c:v>9.2670999999999992</c:v>
                </c:pt>
                <c:pt idx="263">
                  <c:v>10.5283</c:v>
                </c:pt>
                <c:pt idx="264">
                  <c:v>10.3392</c:v>
                </c:pt>
                <c:pt idx="265">
                  <c:v>10.3757</c:v>
                </c:pt>
                <c:pt idx="266">
                  <c:v>11.4643</c:v>
                </c:pt>
                <c:pt idx="267">
                  <c:v>8.7204999999999995</c:v>
                </c:pt>
                <c:pt idx="268">
                  <c:v>6.34</c:v>
                </c:pt>
                <c:pt idx="269">
                  <c:v>6.8056000000000001</c:v>
                </c:pt>
                <c:pt idx="270">
                  <c:v>6.5255000000000001</c:v>
                </c:pt>
                <c:pt idx="271">
                  <c:v>6.6128999999999998</c:v>
                </c:pt>
                <c:pt idx="272">
                  <c:v>6.4490999999999996</c:v>
                </c:pt>
                <c:pt idx="273">
                  <c:v>5.8948999999999998</c:v>
                </c:pt>
                <c:pt idx="274">
                  <c:v>5.9530000000000003</c:v>
                </c:pt>
                <c:pt idx="275">
                  <c:v>6.0625999999999998</c:v>
                </c:pt>
                <c:pt idx="276">
                  <c:v>5.8627000000000002</c:v>
                </c:pt>
                <c:pt idx="277">
                  <c:v>4.9992000000000001</c:v>
                </c:pt>
                <c:pt idx="278">
                  <c:v>5.085</c:v>
                </c:pt>
                <c:pt idx="279">
                  <c:v>5.5746000000000002</c:v>
                </c:pt>
                <c:pt idx="280">
                  <c:v>5.8550000000000004</c:v>
                </c:pt>
                <c:pt idx="281">
                  <c:v>6.3226000000000004</c:v>
                </c:pt>
                <c:pt idx="282">
                  <c:v>6.6943999999999999</c:v>
                </c:pt>
                <c:pt idx="283">
                  <c:v>6.6005000000000003</c:v>
                </c:pt>
                <c:pt idx="284">
                  <c:v>7.2854000000000001</c:v>
                </c:pt>
                <c:pt idx="285">
                  <c:v>7.7858999999999998</c:v>
                </c:pt>
                <c:pt idx="286">
                  <c:v>8.4974000000000007</c:v>
                </c:pt>
                <c:pt idx="287">
                  <c:v>7.8872999999999998</c:v>
                </c:pt>
                <c:pt idx="288">
                  <c:v>7.6651999999999996</c:v>
                </c:pt>
                <c:pt idx="289">
                  <c:v>7.3815999999999997</c:v>
                </c:pt>
                <c:pt idx="290">
                  <c:v>6.4775</c:v>
                </c:pt>
                <c:pt idx="291">
                  <c:v>6.7266000000000004</c:v>
                </c:pt>
                <c:pt idx="292">
                  <c:v>6.6136999999999997</c:v>
                </c:pt>
                <c:pt idx="293">
                  <c:v>6.2072000000000003</c:v>
                </c:pt>
                <c:pt idx="294">
                  <c:v>6.4420000000000002</c:v>
                </c:pt>
                <c:pt idx="295">
                  <c:v>5.8823999999999996</c:v>
                </c:pt>
                <c:pt idx="296">
                  <c:v>6.6436000000000002</c:v>
                </c:pt>
                <c:pt idx="297">
                  <c:v>6.6959</c:v>
                </c:pt>
                <c:pt idx="298">
                  <c:v>6.28</c:v>
                </c:pt>
                <c:pt idx="299">
                  <c:v>5.4107000000000003</c:v>
                </c:pt>
                <c:pt idx="300">
                  <c:v>6.2557</c:v>
                </c:pt>
                <c:pt idx="301">
                  <c:v>5.5946999999999996</c:v>
                </c:pt>
                <c:pt idx="302">
                  <c:v>4.8021000000000003</c:v>
                </c:pt>
                <c:pt idx="303">
                  <c:v>4.3361000000000001</c:v>
                </c:pt>
                <c:pt idx="304">
                  <c:v>4.2785000000000002</c:v>
                </c:pt>
                <c:pt idx="305">
                  <c:v>4.1105999999999998</c:v>
                </c:pt>
                <c:pt idx="306">
                  <c:v>4.0911999999999997</c:v>
                </c:pt>
                <c:pt idx="307">
                  <c:v>4.1848999999999998</c:v>
                </c:pt>
                <c:pt idx="308">
                  <c:v>3.6745000000000001</c:v>
                </c:pt>
                <c:pt idx="309">
                  <c:v>3.6938</c:v>
                </c:pt>
                <c:pt idx="310">
                  <c:v>4.0899000000000001</c:v>
                </c:pt>
                <c:pt idx="311">
                  <c:v>4.0777000000000001</c:v>
                </c:pt>
                <c:pt idx="312">
                  <c:v>4.1536</c:v>
                </c:pt>
                <c:pt idx="313">
                  <c:v>4.3277999999999999</c:v>
                </c:pt>
                <c:pt idx="314">
                  <c:v>4.1375000000000002</c:v>
                </c:pt>
                <c:pt idx="315">
                  <c:v>4.1433999999999997</c:v>
                </c:pt>
                <c:pt idx="316">
                  <c:v>4.0867000000000004</c:v>
                </c:pt>
                <c:pt idx="317">
                  <c:v>4.0660999999999996</c:v>
                </c:pt>
                <c:pt idx="318">
                  <c:v>3.8169</c:v>
                </c:pt>
                <c:pt idx="319">
                  <c:v>3.9256000000000002</c:v>
                </c:pt>
                <c:pt idx="320">
                  <c:v>4.2816000000000001</c:v>
                </c:pt>
                <c:pt idx="321">
                  <c:v>3.7827999999999999</c:v>
                </c:pt>
                <c:pt idx="322">
                  <c:v>3.9531999999999998</c:v>
                </c:pt>
                <c:pt idx="323">
                  <c:v>3.9910000000000001</c:v>
                </c:pt>
                <c:pt idx="324">
                  <c:v>4.1673</c:v>
                </c:pt>
                <c:pt idx="325">
                  <c:v>3.8980999999999999</c:v>
                </c:pt>
                <c:pt idx="326">
                  <c:v>3.831</c:v>
                </c:pt>
                <c:pt idx="327">
                  <c:v>3.7206999999999999</c:v>
                </c:pt>
                <c:pt idx="328">
                  <c:v>3.6903999999999999</c:v>
                </c:pt>
                <c:pt idx="329">
                  <c:v>3.7483</c:v>
                </c:pt>
                <c:pt idx="330">
                  <c:v>3.8258000000000001</c:v>
                </c:pt>
                <c:pt idx="331">
                  <c:v>3.6709999999999998</c:v>
                </c:pt>
                <c:pt idx="332">
                  <c:v>3.7048999999999999</c:v>
                </c:pt>
                <c:pt idx="333">
                  <c:v>3.4765000000000001</c:v>
                </c:pt>
                <c:pt idx="334">
                  <c:v>3.6715</c:v>
                </c:pt>
                <c:pt idx="335">
                  <c:v>3.5476999999999999</c:v>
                </c:pt>
                <c:pt idx="336">
                  <c:v>3.6711</c:v>
                </c:pt>
                <c:pt idx="337">
                  <c:v>3.8892000000000002</c:v>
                </c:pt>
                <c:pt idx="338">
                  <c:v>3.8521000000000001</c:v>
                </c:pt>
                <c:pt idx="339">
                  <c:v>4.6877000000000004</c:v>
                </c:pt>
                <c:pt idx="340">
                  <c:v>5.1007999999999996</c:v>
                </c:pt>
                <c:pt idx="341">
                  <c:v>4.8390000000000004</c:v>
                </c:pt>
                <c:pt idx="342">
                  <c:v>5.2267000000000001</c:v>
                </c:pt>
                <c:pt idx="343">
                  <c:v>4.8146000000000004</c:v>
                </c:pt>
                <c:pt idx="344">
                  <c:v>4.8441000000000001</c:v>
                </c:pt>
                <c:pt idx="345">
                  <c:v>4.6447000000000003</c:v>
                </c:pt>
                <c:pt idx="346">
                  <c:v>4.7148000000000003</c:v>
                </c:pt>
                <c:pt idx="347">
                  <c:v>5.0667</c:v>
                </c:pt>
                <c:pt idx="348">
                  <c:v>5.5561999999999996</c:v>
                </c:pt>
                <c:pt idx="349">
                  <c:v>4.7488999999999999</c:v>
                </c:pt>
                <c:pt idx="350">
                  <c:v>4.5833000000000004</c:v>
                </c:pt>
                <c:pt idx="351">
                  <c:v>4.1260000000000003</c:v>
                </c:pt>
                <c:pt idx="352">
                  <c:v>4.1631</c:v>
                </c:pt>
                <c:pt idx="353">
                  <c:v>3.5937000000000001</c:v>
                </c:pt>
                <c:pt idx="354">
                  <c:v>3.44</c:v>
                </c:pt>
                <c:pt idx="355">
                  <c:v>3.2092000000000001</c:v>
                </c:pt>
                <c:pt idx="356">
                  <c:v>3.3128000000000002</c:v>
                </c:pt>
                <c:pt idx="357">
                  <c:v>3.0226000000000002</c:v>
                </c:pt>
                <c:pt idx="358">
                  <c:v>3.0665</c:v>
                </c:pt>
                <c:pt idx="359">
                  <c:v>2.9979</c:v>
                </c:pt>
                <c:pt idx="360">
                  <c:v>3.0550000000000002</c:v>
                </c:pt>
                <c:pt idx="361">
                  <c:v>2.9297</c:v>
                </c:pt>
                <c:pt idx="362">
                  <c:v>2.9319000000000002</c:v>
                </c:pt>
                <c:pt idx="363">
                  <c:v>2.7231999999999998</c:v>
                </c:pt>
                <c:pt idx="364">
                  <c:v>2.7090000000000001</c:v>
                </c:pt>
                <c:pt idx="365">
                  <c:v>2.5001000000000002</c:v>
                </c:pt>
                <c:pt idx="366">
                  <c:v>2.6278000000000001</c:v>
                </c:pt>
                <c:pt idx="367">
                  <c:v>2.6480999999999999</c:v>
                </c:pt>
                <c:pt idx="368">
                  <c:v>2.7134999999999998</c:v>
                </c:pt>
                <c:pt idx="369">
                  <c:v>2.7027999999999999</c:v>
                </c:pt>
                <c:pt idx="370">
                  <c:v>2.6208</c:v>
                </c:pt>
                <c:pt idx="371">
                  <c:v>2.5451000000000001</c:v>
                </c:pt>
                <c:pt idx="372">
                  <c:v>2.7755999999999998</c:v>
                </c:pt>
                <c:pt idx="373">
                  <c:v>2.7894999999999999</c:v>
                </c:pt>
                <c:pt idx="374">
                  <c:v>2.8144</c:v>
                </c:pt>
                <c:pt idx="375">
                  <c:v>2.7639999999999998</c:v>
                </c:pt>
                <c:pt idx="376">
                  <c:v>2.7770000000000001</c:v>
                </c:pt>
                <c:pt idx="377">
                  <c:v>2.7566000000000002</c:v>
                </c:pt>
                <c:pt idx="378">
                  <c:v>2.8089</c:v>
                </c:pt>
                <c:pt idx="379">
                  <c:v>2.7669999999999999</c:v>
                </c:pt>
                <c:pt idx="380">
                  <c:v>2.5969000000000002</c:v>
                </c:pt>
                <c:pt idx="381">
                  <c:v>2.6663000000000001</c:v>
                </c:pt>
                <c:pt idx="382">
                  <c:v>3.0552000000000001</c:v>
                </c:pt>
                <c:pt idx="383">
                  <c:v>3.6145</c:v>
                </c:pt>
                <c:pt idx="384">
                  <c:v>3.1093999999999999</c:v>
                </c:pt>
                <c:pt idx="385">
                  <c:v>3.1943000000000001</c:v>
                </c:pt>
                <c:pt idx="386">
                  <c:v>3.3711000000000002</c:v>
                </c:pt>
                <c:pt idx="387">
                  <c:v>2.8862000000000001</c:v>
                </c:pt>
                <c:pt idx="388">
                  <c:v>2.8191000000000002</c:v>
                </c:pt>
                <c:pt idx="389">
                  <c:v>2.7985000000000002</c:v>
                </c:pt>
                <c:pt idx="390">
                  <c:v>2.6320999999999999</c:v>
                </c:pt>
                <c:pt idx="391">
                  <c:v>2.6377999999999999</c:v>
                </c:pt>
                <c:pt idx="392">
                  <c:v>2.5911</c:v>
                </c:pt>
                <c:pt idx="393">
                  <c:v>2.6122999999999998</c:v>
                </c:pt>
                <c:pt idx="394">
                  <c:v>2.6391</c:v>
                </c:pt>
                <c:pt idx="395">
                  <c:v>2.7637999999999998</c:v>
                </c:pt>
                <c:pt idx="396">
                  <c:v>2.7166999999999999</c:v>
                </c:pt>
                <c:pt idx="397">
                  <c:v>2.6128</c:v>
                </c:pt>
                <c:pt idx="398">
                  <c:v>2.6661000000000001</c:v>
                </c:pt>
                <c:pt idx="399">
                  <c:v>2.6682000000000001</c:v>
                </c:pt>
                <c:pt idx="400">
                  <c:v>2.3148</c:v>
                </c:pt>
                <c:pt idx="401">
                  <c:v>2.8980000000000001</c:v>
                </c:pt>
                <c:pt idx="402">
                  <c:v>2.9287999999999998</c:v>
                </c:pt>
                <c:pt idx="403">
                  <c:v>3.1360999999999999</c:v>
                </c:pt>
                <c:pt idx="404">
                  <c:v>3.0535000000000001</c:v>
                </c:pt>
                <c:pt idx="405">
                  <c:v>3.0594000000000001</c:v>
                </c:pt>
                <c:pt idx="406">
                  <c:v>3.0415999999999999</c:v>
                </c:pt>
                <c:pt idx="407">
                  <c:v>3.1019999999999999</c:v>
                </c:pt>
                <c:pt idx="408">
                  <c:v>2.8614999999999999</c:v>
                </c:pt>
                <c:pt idx="409">
                  <c:v>2.847</c:v>
                </c:pt>
                <c:pt idx="410">
                  <c:v>2.8506999999999998</c:v>
                </c:pt>
                <c:pt idx="411">
                  <c:v>2.7671999999999999</c:v>
                </c:pt>
                <c:pt idx="412">
                  <c:v>2.6938</c:v>
                </c:pt>
                <c:pt idx="413">
                  <c:v>2.7401</c:v>
                </c:pt>
                <c:pt idx="414">
                  <c:v>2.8085</c:v>
                </c:pt>
                <c:pt idx="415">
                  <c:v>2.8029999999999999</c:v>
                </c:pt>
                <c:pt idx="416">
                  <c:v>2.9491000000000001</c:v>
                </c:pt>
                <c:pt idx="417">
                  <c:v>2.9969000000000001</c:v>
                </c:pt>
                <c:pt idx="418">
                  <c:v>3.0078999999999998</c:v>
                </c:pt>
                <c:pt idx="419">
                  <c:v>2.8456000000000001</c:v>
                </c:pt>
                <c:pt idx="420">
                  <c:v>3.0802999999999998</c:v>
                </c:pt>
                <c:pt idx="421">
                  <c:v>3.0565000000000002</c:v>
                </c:pt>
                <c:pt idx="422">
                  <c:v>2.9942000000000002</c:v>
                </c:pt>
                <c:pt idx="423">
                  <c:v>3.2614999999999998</c:v>
                </c:pt>
                <c:pt idx="424">
                  <c:v>3.0310999999999999</c:v>
                </c:pt>
                <c:pt idx="425">
                  <c:v>2.9982000000000002</c:v>
                </c:pt>
                <c:pt idx="426">
                  <c:v>2.8734000000000002</c:v>
                </c:pt>
                <c:pt idx="427">
                  <c:v>2.9521999999999999</c:v>
                </c:pt>
                <c:pt idx="428">
                  <c:v>3.4247000000000001</c:v>
                </c:pt>
                <c:pt idx="429">
                  <c:v>3.5987</c:v>
                </c:pt>
                <c:pt idx="430">
                  <c:v>3.3788999999999998</c:v>
                </c:pt>
                <c:pt idx="431">
                  <c:v>3.0632999999999999</c:v>
                </c:pt>
                <c:pt idx="432">
                  <c:v>3.2305999999999999</c:v>
                </c:pt>
                <c:pt idx="433">
                  <c:v>2.7797999999999998</c:v>
                </c:pt>
                <c:pt idx="434">
                  <c:v>2.6362999999999999</c:v>
                </c:pt>
                <c:pt idx="435">
                  <c:v>2.6371000000000002</c:v>
                </c:pt>
                <c:pt idx="436">
                  <c:v>2.7162000000000002</c:v>
                </c:pt>
                <c:pt idx="437">
                  <c:v>2.5830000000000002</c:v>
                </c:pt>
                <c:pt idx="438">
                  <c:v>2.4961000000000002</c:v>
                </c:pt>
                <c:pt idx="439">
                  <c:v>2.5358999999999998</c:v>
                </c:pt>
                <c:pt idx="440">
                  <c:v>2.5981999999999998</c:v>
                </c:pt>
                <c:pt idx="441">
                  <c:v>2.4632000000000001</c:v>
                </c:pt>
                <c:pt idx="442">
                  <c:v>2.4982000000000002</c:v>
                </c:pt>
                <c:pt idx="443">
                  <c:v>2.4980000000000002</c:v>
                </c:pt>
                <c:pt idx="444">
                  <c:v>2.4975000000000001</c:v>
                </c:pt>
                <c:pt idx="445">
                  <c:v>2.5360999999999998</c:v>
                </c:pt>
                <c:pt idx="446">
                  <c:v>2.4971000000000001</c:v>
                </c:pt>
                <c:pt idx="447">
                  <c:v>2.5348999999999999</c:v>
                </c:pt>
                <c:pt idx="448">
                  <c:v>2.4464000000000001</c:v>
                </c:pt>
                <c:pt idx="449">
                  <c:v>2.3506</c:v>
                </c:pt>
                <c:pt idx="450">
                  <c:v>2.3654999999999999</c:v>
                </c:pt>
                <c:pt idx="451">
                  <c:v>2.4329999999999998</c:v>
                </c:pt>
                <c:pt idx="452">
                  <c:v>2.5185</c:v>
                </c:pt>
                <c:pt idx="453">
                  <c:v>2.528</c:v>
                </c:pt>
                <c:pt idx="454">
                  <c:v>2.5068000000000001</c:v>
                </c:pt>
                <c:pt idx="455">
                  <c:v>2.6387</c:v>
                </c:pt>
                <c:pt idx="456">
                  <c:v>2.6524000000000001</c:v>
                </c:pt>
                <c:pt idx="457">
                  <c:v>2.6739000000000002</c:v>
                </c:pt>
                <c:pt idx="458">
                  <c:v>2.6291000000000002</c:v>
                </c:pt>
                <c:pt idx="459">
                  <c:v>2.7073999999999998</c:v>
                </c:pt>
                <c:pt idx="460">
                  <c:v>2.6597</c:v>
                </c:pt>
                <c:pt idx="461">
                  <c:v>2.6395</c:v>
                </c:pt>
                <c:pt idx="462">
                  <c:v>2.6692999999999998</c:v>
                </c:pt>
                <c:pt idx="463">
                  <c:v>2.6055000000000001</c:v>
                </c:pt>
                <c:pt idx="464">
                  <c:v>2.5264000000000002</c:v>
                </c:pt>
                <c:pt idx="465">
                  <c:v>2.5819000000000001</c:v>
                </c:pt>
                <c:pt idx="466">
                  <c:v>2.5459000000000001</c:v>
                </c:pt>
                <c:pt idx="467">
                  <c:v>2.5217000000000001</c:v>
                </c:pt>
                <c:pt idx="468">
                  <c:v>2.5362</c:v>
                </c:pt>
                <c:pt idx="469">
                  <c:v>2.5985</c:v>
                </c:pt>
                <c:pt idx="470">
                  <c:v>2.6065</c:v>
                </c:pt>
                <c:pt idx="471">
                  <c:v>2.6383000000000001</c:v>
                </c:pt>
                <c:pt idx="472">
                  <c:v>2.6427999999999998</c:v>
                </c:pt>
                <c:pt idx="473">
                  <c:v>2.6576</c:v>
                </c:pt>
                <c:pt idx="474">
                  <c:v>2.6415000000000002</c:v>
                </c:pt>
                <c:pt idx="475">
                  <c:v>2.6406000000000001</c:v>
                </c:pt>
                <c:pt idx="476">
                  <c:v>2.6065999999999998</c:v>
                </c:pt>
                <c:pt idx="477">
                  <c:v>2.6436000000000002</c:v>
                </c:pt>
                <c:pt idx="478">
                  <c:v>2.6959</c:v>
                </c:pt>
                <c:pt idx="479">
                  <c:v>2.5257000000000001</c:v>
                </c:pt>
                <c:pt idx="480">
                  <c:v>2.5175999999999998</c:v>
                </c:pt>
                <c:pt idx="481">
                  <c:v>2.4786000000000001</c:v>
                </c:pt>
                <c:pt idx="482">
                  <c:v>2.4786999999999999</c:v>
                </c:pt>
                <c:pt idx="483">
                  <c:v>2.5446</c:v>
                </c:pt>
                <c:pt idx="484">
                  <c:v>2.5777000000000001</c:v>
                </c:pt>
                <c:pt idx="485">
                  <c:v>2.5994999999999999</c:v>
                </c:pt>
                <c:pt idx="486">
                  <c:v>2.5626000000000002</c:v>
                </c:pt>
                <c:pt idx="487">
                  <c:v>2.5897000000000001</c:v>
                </c:pt>
                <c:pt idx="488">
                  <c:v>2.5655000000000001</c:v>
                </c:pt>
                <c:pt idx="489">
                  <c:v>2.5445000000000002</c:v>
                </c:pt>
                <c:pt idx="490">
                  <c:v>2.5337000000000001</c:v>
                </c:pt>
                <c:pt idx="491">
                  <c:v>2.4422999999999999</c:v>
                </c:pt>
                <c:pt idx="492">
                  <c:v>2.5718000000000001</c:v>
                </c:pt>
                <c:pt idx="493">
                  <c:v>2.5051000000000001</c:v>
                </c:pt>
                <c:pt idx="494">
                  <c:v>2.6715</c:v>
                </c:pt>
                <c:pt idx="495">
                  <c:v>2.7031000000000001</c:v>
                </c:pt>
                <c:pt idx="496">
                  <c:v>2.6905000000000001</c:v>
                </c:pt>
                <c:pt idx="497">
                  <c:v>2.7374999999999998</c:v>
                </c:pt>
                <c:pt idx="498">
                  <c:v>2.7130000000000001</c:v>
                </c:pt>
                <c:pt idx="499">
                  <c:v>2.7033999999999998</c:v>
                </c:pt>
                <c:pt idx="500">
                  <c:v>2.7317</c:v>
                </c:pt>
                <c:pt idx="501">
                  <c:v>2.7248999999999999</c:v>
                </c:pt>
                <c:pt idx="502">
                  <c:v>2.8052000000000001</c:v>
                </c:pt>
                <c:pt idx="503">
                  <c:v>2.7846000000000002</c:v>
                </c:pt>
                <c:pt idx="504">
                  <c:v>2.7766999999999999</c:v>
                </c:pt>
                <c:pt idx="505">
                  <c:v>2.7513999999999998</c:v>
                </c:pt>
                <c:pt idx="506">
                  <c:v>2.7622</c:v>
                </c:pt>
                <c:pt idx="507">
                  <c:v>2.8519999999999999</c:v>
                </c:pt>
                <c:pt idx="508">
                  <c:v>2.9024000000000001</c:v>
                </c:pt>
                <c:pt idx="509">
                  <c:v>2.9386999999999999</c:v>
                </c:pt>
                <c:pt idx="510">
                  <c:v>2.9948000000000001</c:v>
                </c:pt>
                <c:pt idx="511">
                  <c:v>2.6133000000000002</c:v>
                </c:pt>
                <c:pt idx="512">
                  <c:v>3.1015999999999999</c:v>
                </c:pt>
                <c:pt idx="513">
                  <c:v>3.4723999999999999</c:v>
                </c:pt>
                <c:pt idx="514">
                  <c:v>3.2081</c:v>
                </c:pt>
                <c:pt idx="515">
                  <c:v>3.2614000000000001</c:v>
                </c:pt>
                <c:pt idx="516">
                  <c:v>3.1259999999999999</c:v>
                </c:pt>
                <c:pt idx="517">
                  <c:v>3.1158999999999999</c:v>
                </c:pt>
                <c:pt idx="518">
                  <c:v>2.9790000000000001</c:v>
                </c:pt>
                <c:pt idx="519">
                  <c:v>3.1179000000000001</c:v>
                </c:pt>
                <c:pt idx="520">
                  <c:v>3.1206</c:v>
                </c:pt>
                <c:pt idx="521">
                  <c:v>3.3854000000000002</c:v>
                </c:pt>
                <c:pt idx="522">
                  <c:v>3.3212000000000002</c:v>
                </c:pt>
                <c:pt idx="523">
                  <c:v>3.3620000000000001</c:v>
                </c:pt>
                <c:pt idx="524">
                  <c:v>3.2528000000000001</c:v>
                </c:pt>
                <c:pt idx="525">
                  <c:v>3.4428999999999998</c:v>
                </c:pt>
                <c:pt idx="526">
                  <c:v>3.3487</c:v>
                </c:pt>
                <c:pt idx="527">
                  <c:v>3.5743999999999998</c:v>
                </c:pt>
                <c:pt idx="528">
                  <c:v>3.7761999999999998</c:v>
                </c:pt>
                <c:pt idx="529">
                  <c:v>3.88</c:v>
                </c:pt>
                <c:pt idx="530">
                  <c:v>3.7227999999999999</c:v>
                </c:pt>
                <c:pt idx="531">
                  <c:v>3.2606000000000002</c:v>
                </c:pt>
                <c:pt idx="532">
                  <c:v>3.1364999999999998</c:v>
                </c:pt>
                <c:pt idx="533">
                  <c:v>3.0253000000000001</c:v>
                </c:pt>
                <c:pt idx="534">
                  <c:v>3.0047999999999999</c:v>
                </c:pt>
                <c:pt idx="535">
                  <c:v>3.2364999999999999</c:v>
                </c:pt>
                <c:pt idx="536">
                  <c:v>3.0272000000000001</c:v>
                </c:pt>
                <c:pt idx="537">
                  <c:v>3.0649000000000002</c:v>
                </c:pt>
                <c:pt idx="538">
                  <c:v>3.0104000000000002</c:v>
                </c:pt>
                <c:pt idx="539">
                  <c:v>3.089</c:v>
                </c:pt>
                <c:pt idx="540">
                  <c:v>3.0545</c:v>
                </c:pt>
                <c:pt idx="541">
                  <c:v>3.0363000000000002</c:v>
                </c:pt>
                <c:pt idx="542">
                  <c:v>3.0449000000000002</c:v>
                </c:pt>
                <c:pt idx="543">
                  <c:v>2.9441000000000002</c:v>
                </c:pt>
                <c:pt idx="544">
                  <c:v>3.3037999999999998</c:v>
                </c:pt>
                <c:pt idx="545">
                  <c:v>3.0931999999999999</c:v>
                </c:pt>
                <c:pt idx="546">
                  <c:v>3.0470000000000002</c:v>
                </c:pt>
                <c:pt idx="547">
                  <c:v>3.0232999999999999</c:v>
                </c:pt>
                <c:pt idx="548">
                  <c:v>2.9941</c:v>
                </c:pt>
                <c:pt idx="549">
                  <c:v>2.8472</c:v>
                </c:pt>
                <c:pt idx="550">
                  <c:v>2.7121</c:v>
                </c:pt>
                <c:pt idx="551">
                  <c:v>2.7288999999999999</c:v>
                </c:pt>
                <c:pt idx="552">
                  <c:v>2.5949</c:v>
                </c:pt>
                <c:pt idx="553">
                  <c:v>2.6526000000000001</c:v>
                </c:pt>
                <c:pt idx="554">
                  <c:v>2.6574</c:v>
                </c:pt>
                <c:pt idx="555">
                  <c:v>2.6232000000000002</c:v>
                </c:pt>
                <c:pt idx="556">
                  <c:v>2.5617999999999999</c:v>
                </c:pt>
                <c:pt idx="557">
                  <c:v>2.5844999999999998</c:v>
                </c:pt>
                <c:pt idx="558">
                  <c:v>2.5026000000000002</c:v>
                </c:pt>
                <c:pt idx="559">
                  <c:v>2.4948999999999999</c:v>
                </c:pt>
                <c:pt idx="560">
                  <c:v>2.4998999999999998</c:v>
                </c:pt>
                <c:pt idx="561">
                  <c:v>2.5365000000000002</c:v>
                </c:pt>
                <c:pt idx="562">
                  <c:v>2.5592000000000001</c:v>
                </c:pt>
                <c:pt idx="563">
                  <c:v>2.5529999999999999</c:v>
                </c:pt>
                <c:pt idx="564">
                  <c:v>2.6171000000000002</c:v>
                </c:pt>
                <c:pt idx="565">
                  <c:v>2.6194000000000002</c:v>
                </c:pt>
                <c:pt idx="566">
                  <c:v>2.6221000000000001</c:v>
                </c:pt>
                <c:pt idx="567">
                  <c:v>2.6503999999999999</c:v>
                </c:pt>
                <c:pt idx="568">
                  <c:v>2.6798999999999999</c:v>
                </c:pt>
                <c:pt idx="569">
                  <c:v>2.5589</c:v>
                </c:pt>
                <c:pt idx="570">
                  <c:v>2.6105999999999998</c:v>
                </c:pt>
                <c:pt idx="571">
                  <c:v>2.4072</c:v>
                </c:pt>
                <c:pt idx="572">
                  <c:v>2.4599000000000002</c:v>
                </c:pt>
                <c:pt idx="573">
                  <c:v>2.4156</c:v>
                </c:pt>
                <c:pt idx="574">
                  <c:v>2.3576000000000001</c:v>
                </c:pt>
                <c:pt idx="575">
                  <c:v>2.3773</c:v>
                </c:pt>
                <c:pt idx="576">
                  <c:v>2.3679999999999999</c:v>
                </c:pt>
                <c:pt idx="577">
                  <c:v>2.38</c:v>
                </c:pt>
                <c:pt idx="578">
                  <c:v>2.3668</c:v>
                </c:pt>
                <c:pt idx="579">
                  <c:v>2.3317999999999999</c:v>
                </c:pt>
                <c:pt idx="580">
                  <c:v>2.4809999999999999</c:v>
                </c:pt>
                <c:pt idx="581">
                  <c:v>2.4799000000000002</c:v>
                </c:pt>
                <c:pt idx="582">
                  <c:v>2.5019999999999998</c:v>
                </c:pt>
                <c:pt idx="583">
                  <c:v>2.5714000000000001</c:v>
                </c:pt>
                <c:pt idx="584">
                  <c:v>2.5861999999999998</c:v>
                </c:pt>
                <c:pt idx="585">
                  <c:v>2.5139999999999998</c:v>
                </c:pt>
                <c:pt idx="586">
                  <c:v>2.5362</c:v>
                </c:pt>
                <c:pt idx="587">
                  <c:v>2.5253999999999999</c:v>
                </c:pt>
                <c:pt idx="588">
                  <c:v>2.5364</c:v>
                </c:pt>
                <c:pt idx="589">
                  <c:v>2.5678000000000001</c:v>
                </c:pt>
                <c:pt idx="590">
                  <c:v>2.5539000000000001</c:v>
                </c:pt>
                <c:pt idx="591">
                  <c:v>2.532</c:v>
                </c:pt>
                <c:pt idx="592">
                  <c:v>2.5680999999999998</c:v>
                </c:pt>
                <c:pt idx="593">
                  <c:v>2.6042000000000001</c:v>
                </c:pt>
                <c:pt idx="594">
                  <c:v>2.597</c:v>
                </c:pt>
                <c:pt idx="595">
                  <c:v>2.5146000000000002</c:v>
                </c:pt>
                <c:pt idx="596">
                  <c:v>2.7568000000000001</c:v>
                </c:pt>
                <c:pt idx="597">
                  <c:v>2.7505000000000002</c:v>
                </c:pt>
                <c:pt idx="598">
                  <c:v>2.7877999999999998</c:v>
                </c:pt>
                <c:pt idx="599">
                  <c:v>2.8098000000000001</c:v>
                </c:pt>
                <c:pt idx="600">
                  <c:v>2.7982</c:v>
                </c:pt>
                <c:pt idx="601">
                  <c:v>2.8142999999999998</c:v>
                </c:pt>
                <c:pt idx="602">
                  <c:v>2.7202999999999999</c:v>
                </c:pt>
                <c:pt idx="603">
                  <c:v>2.6958000000000002</c:v>
                </c:pt>
                <c:pt idx="604">
                  <c:v>2.6756000000000002</c:v>
                </c:pt>
                <c:pt idx="605">
                  <c:v>2.8214000000000001</c:v>
                </c:pt>
                <c:pt idx="606">
                  <c:v>2.6730999999999998</c:v>
                </c:pt>
                <c:pt idx="607">
                  <c:v>2.7715000000000001</c:v>
                </c:pt>
                <c:pt idx="608">
                  <c:v>2.6143999999999998</c:v>
                </c:pt>
                <c:pt idx="609">
                  <c:v>2.6120000000000001</c:v>
                </c:pt>
                <c:pt idx="610">
                  <c:v>2.5714999999999999</c:v>
                </c:pt>
                <c:pt idx="611">
                  <c:v>2.5034000000000001</c:v>
                </c:pt>
                <c:pt idx="612">
                  <c:v>2.5295999999999998</c:v>
                </c:pt>
                <c:pt idx="613">
                  <c:v>2.4878999999999998</c:v>
                </c:pt>
                <c:pt idx="614">
                  <c:v>2.5630999999999999</c:v>
                </c:pt>
                <c:pt idx="615">
                  <c:v>2.5948000000000002</c:v>
                </c:pt>
                <c:pt idx="616">
                  <c:v>2.4621</c:v>
                </c:pt>
                <c:pt idx="617">
                  <c:v>2.597</c:v>
                </c:pt>
                <c:pt idx="618">
                  <c:v>2.6543000000000001</c:v>
                </c:pt>
                <c:pt idx="619">
                  <c:v>2.6652999999999998</c:v>
                </c:pt>
                <c:pt idx="620">
                  <c:v>2.6204999999999998</c:v>
                </c:pt>
                <c:pt idx="621">
                  <c:v>2.6360999999999999</c:v>
                </c:pt>
                <c:pt idx="622">
                  <c:v>2.5855000000000001</c:v>
                </c:pt>
                <c:pt idx="623">
                  <c:v>2.6227999999999998</c:v>
                </c:pt>
                <c:pt idx="624">
                  <c:v>2.5245000000000002</c:v>
                </c:pt>
                <c:pt idx="625">
                  <c:v>2.4409999999999998</c:v>
                </c:pt>
                <c:pt idx="626">
                  <c:v>2.3978000000000002</c:v>
                </c:pt>
                <c:pt idx="627">
                  <c:v>2.4434</c:v>
                </c:pt>
                <c:pt idx="628">
                  <c:v>2.7515999999999998</c:v>
                </c:pt>
                <c:pt idx="629">
                  <c:v>2.7517999999999998</c:v>
                </c:pt>
                <c:pt idx="630">
                  <c:v>2.7572000000000001</c:v>
                </c:pt>
                <c:pt idx="631">
                  <c:v>2.6522000000000001</c:v>
                </c:pt>
                <c:pt idx="632">
                  <c:v>2.7706</c:v>
                </c:pt>
                <c:pt idx="633">
                  <c:v>2.7686999999999999</c:v>
                </c:pt>
                <c:pt idx="634">
                  <c:v>2.8386999999999998</c:v>
                </c:pt>
                <c:pt idx="635">
                  <c:v>2.9396</c:v>
                </c:pt>
                <c:pt idx="636">
                  <c:v>2.8731</c:v>
                </c:pt>
                <c:pt idx="637">
                  <c:v>2.8220000000000001</c:v>
                </c:pt>
                <c:pt idx="638">
                  <c:v>3.0059</c:v>
                </c:pt>
                <c:pt idx="639">
                  <c:v>2.7614000000000001</c:v>
                </c:pt>
                <c:pt idx="640">
                  <c:v>2.7429999999999999</c:v>
                </c:pt>
                <c:pt idx="641">
                  <c:v>2.7374999999999998</c:v>
                </c:pt>
                <c:pt idx="642">
                  <c:v>2.7023999999999999</c:v>
                </c:pt>
                <c:pt idx="643">
                  <c:v>2.7067999999999999</c:v>
                </c:pt>
                <c:pt idx="644">
                  <c:v>2.6810999999999998</c:v>
                </c:pt>
                <c:pt idx="645">
                  <c:v>2.6223999999999998</c:v>
                </c:pt>
                <c:pt idx="646">
                  <c:v>2.5211000000000001</c:v>
                </c:pt>
                <c:pt idx="647">
                  <c:v>2.5076999999999998</c:v>
                </c:pt>
                <c:pt idx="648">
                  <c:v>2.5979999999999999</c:v>
                </c:pt>
                <c:pt idx="649">
                  <c:v>2.7265000000000001</c:v>
                </c:pt>
                <c:pt idx="650">
                  <c:v>2.6128999999999998</c:v>
                </c:pt>
                <c:pt idx="651">
                  <c:v>2.6568999999999998</c:v>
                </c:pt>
                <c:pt idx="652">
                  <c:v>2.4015</c:v>
                </c:pt>
                <c:pt idx="653">
                  <c:v>2.4655</c:v>
                </c:pt>
                <c:pt idx="654">
                  <c:v>2.4424000000000001</c:v>
                </c:pt>
                <c:pt idx="655">
                  <c:v>2.4980000000000002</c:v>
                </c:pt>
                <c:pt idx="656">
                  <c:v>2.5083000000000002</c:v>
                </c:pt>
                <c:pt idx="657">
                  <c:v>2.4916</c:v>
                </c:pt>
                <c:pt idx="658">
                  <c:v>2.7239</c:v>
                </c:pt>
                <c:pt idx="659">
                  <c:v>2.7486000000000002</c:v>
                </c:pt>
                <c:pt idx="660">
                  <c:v>2.6332</c:v>
                </c:pt>
                <c:pt idx="661">
                  <c:v>2.7585999999999999</c:v>
                </c:pt>
                <c:pt idx="662">
                  <c:v>2.3504999999999998</c:v>
                </c:pt>
                <c:pt idx="663">
                  <c:v>2.3559000000000001</c:v>
                </c:pt>
                <c:pt idx="664">
                  <c:v>2.3325</c:v>
                </c:pt>
                <c:pt idx="665">
                  <c:v>2.2894999999999999</c:v>
                </c:pt>
                <c:pt idx="666">
                  <c:v>2.2549000000000001</c:v>
                </c:pt>
                <c:pt idx="667">
                  <c:v>2.2086000000000001</c:v>
                </c:pt>
                <c:pt idx="668">
                  <c:v>2.2269000000000001</c:v>
                </c:pt>
                <c:pt idx="669">
                  <c:v>2.1133000000000002</c:v>
                </c:pt>
                <c:pt idx="670">
                  <c:v>2.1996000000000002</c:v>
                </c:pt>
                <c:pt idx="671">
                  <c:v>2.1928000000000001</c:v>
                </c:pt>
                <c:pt idx="672">
                  <c:v>2.3235999999999999</c:v>
                </c:pt>
                <c:pt idx="673">
                  <c:v>2.2965</c:v>
                </c:pt>
                <c:pt idx="674">
                  <c:v>2.3439000000000001</c:v>
                </c:pt>
                <c:pt idx="675">
                  <c:v>2.2856000000000001</c:v>
                </c:pt>
                <c:pt idx="676">
                  <c:v>2.1343999999999999</c:v>
                </c:pt>
                <c:pt idx="677">
                  <c:v>2.2734999999999999</c:v>
                </c:pt>
                <c:pt idx="678">
                  <c:v>2.2029000000000001</c:v>
                </c:pt>
                <c:pt idx="679">
                  <c:v>2.2766999999999999</c:v>
                </c:pt>
                <c:pt idx="680">
                  <c:v>1.9988999999999999</c:v>
                </c:pt>
                <c:pt idx="681">
                  <c:v>1.9683999999999999</c:v>
                </c:pt>
                <c:pt idx="682">
                  <c:v>1.8936999999999999</c:v>
                </c:pt>
                <c:pt idx="683">
                  <c:v>2.0447000000000002</c:v>
                </c:pt>
                <c:pt idx="684">
                  <c:v>1.958</c:v>
                </c:pt>
                <c:pt idx="685">
                  <c:v>2.11</c:v>
                </c:pt>
                <c:pt idx="686">
                  <c:v>1.7656000000000001</c:v>
                </c:pt>
                <c:pt idx="687">
                  <c:v>3.0661</c:v>
                </c:pt>
                <c:pt idx="688">
                  <c:v>3.0729000000000002</c:v>
                </c:pt>
                <c:pt idx="689">
                  <c:v>3.0611999999999999</c:v>
                </c:pt>
                <c:pt idx="690">
                  <c:v>3.0434999999999999</c:v>
                </c:pt>
                <c:pt idx="691">
                  <c:v>3.6408999999999998</c:v>
                </c:pt>
                <c:pt idx="692">
                  <c:v>3.8344999999999998</c:v>
                </c:pt>
                <c:pt idx="693">
                  <c:v>3.7625999999999999</c:v>
                </c:pt>
                <c:pt idx="694">
                  <c:v>3.5908000000000002</c:v>
                </c:pt>
                <c:pt idx="695">
                  <c:v>3.6233</c:v>
                </c:pt>
                <c:pt idx="696">
                  <c:v>3.7132999999999998</c:v>
                </c:pt>
                <c:pt idx="697">
                  <c:v>3.5074999999999998</c:v>
                </c:pt>
                <c:pt idx="698">
                  <c:v>3.5105</c:v>
                </c:pt>
                <c:pt idx="699">
                  <c:v>3.5135999999999998</c:v>
                </c:pt>
                <c:pt idx="700">
                  <c:v>3.6183000000000001</c:v>
                </c:pt>
                <c:pt idx="701">
                  <c:v>3.5344000000000002</c:v>
                </c:pt>
                <c:pt idx="702">
                  <c:v>4.0777999999999999</c:v>
                </c:pt>
                <c:pt idx="703">
                  <c:v>4.1220999999999997</c:v>
                </c:pt>
                <c:pt idx="704">
                  <c:v>4.3777999999999997</c:v>
                </c:pt>
                <c:pt idx="705">
                  <c:v>4.1003999999999996</c:v>
                </c:pt>
                <c:pt idx="706">
                  <c:v>4.0509000000000004</c:v>
                </c:pt>
                <c:pt idx="707">
                  <c:v>3.9963000000000002</c:v>
                </c:pt>
                <c:pt idx="708">
                  <c:v>3.9752000000000001</c:v>
                </c:pt>
                <c:pt idx="709">
                  <c:v>4.5792999999999999</c:v>
                </c:pt>
                <c:pt idx="710">
                  <c:v>4.3521000000000001</c:v>
                </c:pt>
                <c:pt idx="711">
                  <c:v>4.3811999999999998</c:v>
                </c:pt>
                <c:pt idx="712">
                  <c:v>4.7428999999999997</c:v>
                </c:pt>
                <c:pt idx="713">
                  <c:v>5.3746999999999998</c:v>
                </c:pt>
                <c:pt idx="714">
                  <c:v>5.3606999999999996</c:v>
                </c:pt>
                <c:pt idx="715">
                  <c:v>5.3307000000000002</c:v>
                </c:pt>
                <c:pt idx="716">
                  <c:v>5.2449000000000003</c:v>
                </c:pt>
                <c:pt idx="717">
                  <c:v>4.8986000000000001</c:v>
                </c:pt>
                <c:pt idx="718">
                  <c:v>5.0110999999999999</c:v>
                </c:pt>
                <c:pt idx="719">
                  <c:v>4.7619999999999996</c:v>
                </c:pt>
                <c:pt idx="720">
                  <c:v>4.5898000000000003</c:v>
                </c:pt>
                <c:pt idx="721">
                  <c:v>4.6037999999999997</c:v>
                </c:pt>
                <c:pt idx="722">
                  <c:v>4.5284000000000004</c:v>
                </c:pt>
                <c:pt idx="723">
                  <c:v>4.2305999999999999</c:v>
                </c:pt>
                <c:pt idx="724">
                  <c:v>4.2027000000000001</c:v>
                </c:pt>
                <c:pt idx="725">
                  <c:v>4.2145000000000001</c:v>
                </c:pt>
                <c:pt idx="726">
                  <c:v>4.1531000000000002</c:v>
                </c:pt>
                <c:pt idx="727">
                  <c:v>4.1444000000000001</c:v>
                </c:pt>
                <c:pt idx="728">
                  <c:v>4.3235999999999999</c:v>
                </c:pt>
                <c:pt idx="729">
                  <c:v>3.9674</c:v>
                </c:pt>
                <c:pt idx="730">
                  <c:v>4.0411999999999999</c:v>
                </c:pt>
                <c:pt idx="731">
                  <c:v>3.9647000000000001</c:v>
                </c:pt>
                <c:pt idx="732">
                  <c:v>3.6486000000000001</c:v>
                </c:pt>
                <c:pt idx="733">
                  <c:v>3.4980000000000002</c:v>
                </c:pt>
                <c:pt idx="734">
                  <c:v>3.6345000000000001</c:v>
                </c:pt>
                <c:pt idx="735">
                  <c:v>3.5706000000000002</c:v>
                </c:pt>
                <c:pt idx="736">
                  <c:v>3.6539999999999999</c:v>
                </c:pt>
                <c:pt idx="737">
                  <c:v>3.6526999999999998</c:v>
                </c:pt>
                <c:pt idx="738">
                  <c:v>3.62</c:v>
                </c:pt>
                <c:pt idx="739">
                  <c:v>3.6114999999999999</c:v>
                </c:pt>
                <c:pt idx="740">
                  <c:v>3.8048999999999999</c:v>
                </c:pt>
                <c:pt idx="741">
                  <c:v>3.9037999999999999</c:v>
                </c:pt>
                <c:pt idx="742">
                  <c:v>3.8376000000000001</c:v>
                </c:pt>
                <c:pt idx="743">
                  <c:v>3.7675000000000001</c:v>
                </c:pt>
                <c:pt idx="744">
                  <c:v>3.81</c:v>
                </c:pt>
                <c:pt idx="745">
                  <c:v>3.1049000000000002</c:v>
                </c:pt>
                <c:pt idx="746">
                  <c:v>3.2107000000000001</c:v>
                </c:pt>
                <c:pt idx="747">
                  <c:v>2.9901</c:v>
                </c:pt>
                <c:pt idx="748">
                  <c:v>2.9866000000000001</c:v>
                </c:pt>
                <c:pt idx="749">
                  <c:v>2.7431999999999999</c:v>
                </c:pt>
                <c:pt idx="750">
                  <c:v>2.7751000000000001</c:v>
                </c:pt>
                <c:pt idx="751">
                  <c:v>2.8458999999999999</c:v>
                </c:pt>
                <c:pt idx="752">
                  <c:v>2.8506</c:v>
                </c:pt>
                <c:pt idx="753">
                  <c:v>2.6865000000000001</c:v>
                </c:pt>
                <c:pt idx="754">
                  <c:v>2.6480999999999999</c:v>
                </c:pt>
                <c:pt idx="755">
                  <c:v>2.6396000000000002</c:v>
                </c:pt>
                <c:pt idx="756">
                  <c:v>2.4592999999999998</c:v>
                </c:pt>
                <c:pt idx="757">
                  <c:v>2.6038999999999999</c:v>
                </c:pt>
                <c:pt idx="758">
                  <c:v>2.5832999999999999</c:v>
                </c:pt>
                <c:pt idx="759">
                  <c:v>2.6263000000000001</c:v>
                </c:pt>
                <c:pt idx="760">
                  <c:v>2.6859000000000002</c:v>
                </c:pt>
                <c:pt idx="761">
                  <c:v>2.6282999999999999</c:v>
                </c:pt>
                <c:pt idx="762">
                  <c:v>2.5712000000000002</c:v>
                </c:pt>
                <c:pt idx="763">
                  <c:v>2.5169000000000001</c:v>
                </c:pt>
                <c:pt idx="764">
                  <c:v>2.4801000000000002</c:v>
                </c:pt>
                <c:pt idx="765">
                  <c:v>2.5419999999999998</c:v>
                </c:pt>
                <c:pt idx="766">
                  <c:v>2.5135999999999998</c:v>
                </c:pt>
                <c:pt idx="767">
                  <c:v>2.5344000000000002</c:v>
                </c:pt>
                <c:pt idx="768">
                  <c:v>2.4420999999999999</c:v>
                </c:pt>
                <c:pt idx="769">
                  <c:v>2.4849000000000001</c:v>
                </c:pt>
                <c:pt idx="770">
                  <c:v>2.4506999999999999</c:v>
                </c:pt>
                <c:pt idx="771">
                  <c:v>2.4597000000000002</c:v>
                </c:pt>
                <c:pt idx="772">
                  <c:v>2.1947999999999999</c:v>
                </c:pt>
                <c:pt idx="773">
                  <c:v>2.3687999999999998</c:v>
                </c:pt>
                <c:pt idx="774">
                  <c:v>2.5630999999999999</c:v>
                </c:pt>
                <c:pt idx="775">
                  <c:v>2.5644999999999998</c:v>
                </c:pt>
                <c:pt idx="776">
                  <c:v>2.6254</c:v>
                </c:pt>
                <c:pt idx="777">
                  <c:v>2.5825</c:v>
                </c:pt>
                <c:pt idx="778">
                  <c:v>2.5767000000000002</c:v>
                </c:pt>
                <c:pt idx="779">
                  <c:v>2.6009000000000002</c:v>
                </c:pt>
                <c:pt idx="780">
                  <c:v>2.657</c:v>
                </c:pt>
                <c:pt idx="781">
                  <c:v>2.7401</c:v>
                </c:pt>
                <c:pt idx="782">
                  <c:v>2.7208999999999999</c:v>
                </c:pt>
                <c:pt idx="783">
                  <c:v>2.7248999999999999</c:v>
                </c:pt>
                <c:pt idx="784">
                  <c:v>2.6829000000000001</c:v>
                </c:pt>
                <c:pt idx="785">
                  <c:v>2.6267999999999998</c:v>
                </c:pt>
                <c:pt idx="786">
                  <c:v>2.6943999999999999</c:v>
                </c:pt>
                <c:pt idx="787">
                  <c:v>2.6736</c:v>
                </c:pt>
                <c:pt idx="788">
                  <c:v>2.7736999999999998</c:v>
                </c:pt>
                <c:pt idx="789">
                  <c:v>2.7479</c:v>
                </c:pt>
                <c:pt idx="790">
                  <c:v>2.7921</c:v>
                </c:pt>
                <c:pt idx="791">
                  <c:v>2.6236999999999999</c:v>
                </c:pt>
                <c:pt idx="792">
                  <c:v>2.6793</c:v>
                </c:pt>
                <c:pt idx="793">
                  <c:v>2.6113</c:v>
                </c:pt>
                <c:pt idx="794">
                  <c:v>2.5179999999999998</c:v>
                </c:pt>
                <c:pt idx="795">
                  <c:v>2.4115000000000002</c:v>
                </c:pt>
                <c:pt idx="796">
                  <c:v>2.6755</c:v>
                </c:pt>
                <c:pt idx="797">
                  <c:v>2.6126999999999998</c:v>
                </c:pt>
                <c:pt idx="798">
                  <c:v>2.8184</c:v>
                </c:pt>
                <c:pt idx="799">
                  <c:v>3.0804999999999998</c:v>
                </c:pt>
                <c:pt idx="800">
                  <c:v>3.12</c:v>
                </c:pt>
                <c:pt idx="801">
                  <c:v>3.181</c:v>
                </c:pt>
                <c:pt idx="802">
                  <c:v>3.3957999999999999</c:v>
                </c:pt>
                <c:pt idx="803">
                  <c:v>3.3736000000000002</c:v>
                </c:pt>
                <c:pt idx="804">
                  <c:v>3.3334000000000001</c:v>
                </c:pt>
                <c:pt idx="805">
                  <c:v>3.3953000000000002</c:v>
                </c:pt>
                <c:pt idx="806">
                  <c:v>3.4714</c:v>
                </c:pt>
                <c:pt idx="807">
                  <c:v>3.4824000000000002</c:v>
                </c:pt>
                <c:pt idx="808">
                  <c:v>3.4371999999999998</c:v>
                </c:pt>
                <c:pt idx="809">
                  <c:v>3.5828000000000002</c:v>
                </c:pt>
                <c:pt idx="810">
                  <c:v>3.488</c:v>
                </c:pt>
                <c:pt idx="811">
                  <c:v>3.4114</c:v>
                </c:pt>
                <c:pt idx="812">
                  <c:v>3.4661</c:v>
                </c:pt>
                <c:pt idx="813">
                  <c:v>3.6038999999999999</c:v>
                </c:pt>
                <c:pt idx="814">
                  <c:v>3.6179999999999999</c:v>
                </c:pt>
                <c:pt idx="815">
                  <c:v>3.4380000000000002</c:v>
                </c:pt>
                <c:pt idx="816">
                  <c:v>3.2702</c:v>
                </c:pt>
                <c:pt idx="817">
                  <c:v>3.3220999999999998</c:v>
                </c:pt>
                <c:pt idx="818">
                  <c:v>3.3418999999999999</c:v>
                </c:pt>
                <c:pt idx="819">
                  <c:v>3.2530999999999999</c:v>
                </c:pt>
                <c:pt idx="820">
                  <c:v>3.2671999999999999</c:v>
                </c:pt>
                <c:pt idx="821">
                  <c:v>3.4022000000000001</c:v>
                </c:pt>
                <c:pt idx="822">
                  <c:v>3.2822</c:v>
                </c:pt>
                <c:pt idx="823">
                  <c:v>3.3281000000000001</c:v>
                </c:pt>
                <c:pt idx="824">
                  <c:v>3.1339000000000001</c:v>
                </c:pt>
                <c:pt idx="825">
                  <c:v>3.1770999999999998</c:v>
                </c:pt>
                <c:pt idx="826">
                  <c:v>2.7216999999999998</c:v>
                </c:pt>
                <c:pt idx="827">
                  <c:v>2.7158000000000002</c:v>
                </c:pt>
                <c:pt idx="828">
                  <c:v>2.8919999999999999</c:v>
                </c:pt>
                <c:pt idx="829">
                  <c:v>2.9184999999999999</c:v>
                </c:pt>
                <c:pt idx="830">
                  <c:v>2.9224999999999999</c:v>
                </c:pt>
                <c:pt idx="831">
                  <c:v>2.8677999999999999</c:v>
                </c:pt>
                <c:pt idx="832">
                  <c:v>2.8782000000000001</c:v>
                </c:pt>
                <c:pt idx="833">
                  <c:v>2.9472999999999998</c:v>
                </c:pt>
                <c:pt idx="834">
                  <c:v>2.9241000000000001</c:v>
                </c:pt>
                <c:pt idx="835">
                  <c:v>2.9619</c:v>
                </c:pt>
                <c:pt idx="836">
                  <c:v>3.1634000000000002</c:v>
                </c:pt>
                <c:pt idx="837">
                  <c:v>3.1027</c:v>
                </c:pt>
                <c:pt idx="838">
                  <c:v>3.0655000000000001</c:v>
                </c:pt>
                <c:pt idx="839">
                  <c:v>3.0594000000000001</c:v>
                </c:pt>
                <c:pt idx="840">
                  <c:v>3.1053000000000002</c:v>
                </c:pt>
                <c:pt idx="841">
                  <c:v>3.2351000000000001</c:v>
                </c:pt>
                <c:pt idx="842">
                  <c:v>3.1577000000000002</c:v>
                </c:pt>
                <c:pt idx="843">
                  <c:v>3.1758999999999999</c:v>
                </c:pt>
                <c:pt idx="844">
                  <c:v>2.9058000000000002</c:v>
                </c:pt>
                <c:pt idx="845">
                  <c:v>2.9874999999999998</c:v>
                </c:pt>
                <c:pt idx="846">
                  <c:v>3.0017999999999998</c:v>
                </c:pt>
                <c:pt idx="847">
                  <c:v>2.927</c:v>
                </c:pt>
                <c:pt idx="848">
                  <c:v>3.0007999999999999</c:v>
                </c:pt>
                <c:pt idx="849">
                  <c:v>2.9357000000000002</c:v>
                </c:pt>
                <c:pt idx="850">
                  <c:v>2.9636</c:v>
                </c:pt>
                <c:pt idx="851">
                  <c:v>2.7778999999999998</c:v>
                </c:pt>
                <c:pt idx="852">
                  <c:v>2.8290999999999999</c:v>
                </c:pt>
                <c:pt idx="853">
                  <c:v>2.8296999999999999</c:v>
                </c:pt>
                <c:pt idx="854">
                  <c:v>2.7812000000000001</c:v>
                </c:pt>
                <c:pt idx="855">
                  <c:v>2.8662999999999998</c:v>
                </c:pt>
                <c:pt idx="856">
                  <c:v>2.7622</c:v>
                </c:pt>
                <c:pt idx="857">
                  <c:v>3.6922999999999999</c:v>
                </c:pt>
                <c:pt idx="858">
                  <c:v>3.8121999999999998</c:v>
                </c:pt>
                <c:pt idx="859">
                  <c:v>3.9990000000000001</c:v>
                </c:pt>
                <c:pt idx="860">
                  <c:v>4.01</c:v>
                </c:pt>
                <c:pt idx="861">
                  <c:v>3.9582000000000002</c:v>
                </c:pt>
                <c:pt idx="862">
                  <c:v>4.0781999999999998</c:v>
                </c:pt>
                <c:pt idx="863">
                  <c:v>4.0640999999999998</c:v>
                </c:pt>
                <c:pt idx="864">
                  <c:v>4.0827</c:v>
                </c:pt>
                <c:pt idx="865">
                  <c:v>4.0762999999999998</c:v>
                </c:pt>
                <c:pt idx="866">
                  <c:v>4.0209000000000001</c:v>
                </c:pt>
                <c:pt idx="867">
                  <c:v>3.7214999999999998</c:v>
                </c:pt>
                <c:pt idx="868">
                  <c:v>3.7416</c:v>
                </c:pt>
                <c:pt idx="869">
                  <c:v>3.7523</c:v>
                </c:pt>
                <c:pt idx="870">
                  <c:v>3.7742</c:v>
                </c:pt>
                <c:pt idx="871">
                  <c:v>3.8761000000000001</c:v>
                </c:pt>
                <c:pt idx="872">
                  <c:v>3.78</c:v>
                </c:pt>
                <c:pt idx="873">
                  <c:v>3.5611999999999999</c:v>
                </c:pt>
                <c:pt idx="874">
                  <c:v>3.2113</c:v>
                </c:pt>
                <c:pt idx="875">
                  <c:v>3.2664</c:v>
                </c:pt>
                <c:pt idx="876">
                  <c:v>3.3041</c:v>
                </c:pt>
                <c:pt idx="877">
                  <c:v>3.3498000000000001</c:v>
                </c:pt>
                <c:pt idx="878">
                  <c:v>3.319</c:v>
                </c:pt>
                <c:pt idx="879">
                  <c:v>3.2562000000000002</c:v>
                </c:pt>
                <c:pt idx="880">
                  <c:v>3.3195000000000001</c:v>
                </c:pt>
                <c:pt idx="881">
                  <c:v>3.2149999999999999</c:v>
                </c:pt>
                <c:pt idx="882">
                  <c:v>3.1993999999999998</c:v>
                </c:pt>
                <c:pt idx="883">
                  <c:v>3.254</c:v>
                </c:pt>
                <c:pt idx="884">
                  <c:v>3.5487000000000002</c:v>
                </c:pt>
                <c:pt idx="885">
                  <c:v>3.5842000000000001</c:v>
                </c:pt>
                <c:pt idx="886">
                  <c:v>3.5510000000000002</c:v>
                </c:pt>
                <c:pt idx="887">
                  <c:v>3.6617000000000002</c:v>
                </c:pt>
                <c:pt idx="888">
                  <c:v>3.6705999999999999</c:v>
                </c:pt>
                <c:pt idx="889">
                  <c:v>3.6349</c:v>
                </c:pt>
                <c:pt idx="890">
                  <c:v>3.512</c:v>
                </c:pt>
                <c:pt idx="891">
                  <c:v>3.6749999999999998</c:v>
                </c:pt>
                <c:pt idx="892">
                  <c:v>3.7179000000000002</c:v>
                </c:pt>
                <c:pt idx="893">
                  <c:v>3.6924999999999999</c:v>
                </c:pt>
                <c:pt idx="894">
                  <c:v>3.5627</c:v>
                </c:pt>
                <c:pt idx="895">
                  <c:v>3.58</c:v>
                </c:pt>
                <c:pt idx="896">
                  <c:v>3.6225999999999998</c:v>
                </c:pt>
                <c:pt idx="897">
                  <c:v>3.6716000000000002</c:v>
                </c:pt>
                <c:pt idx="898">
                  <c:v>4.0819000000000001</c:v>
                </c:pt>
                <c:pt idx="899">
                  <c:v>4.13</c:v>
                </c:pt>
                <c:pt idx="900">
                  <c:v>4.2027999999999999</c:v>
                </c:pt>
                <c:pt idx="901">
                  <c:v>4.0644</c:v>
                </c:pt>
                <c:pt idx="902">
                  <c:v>3.9053</c:v>
                </c:pt>
                <c:pt idx="903">
                  <c:v>4.17</c:v>
                </c:pt>
                <c:pt idx="904">
                  <c:v>4.2224000000000004</c:v>
                </c:pt>
                <c:pt idx="905">
                  <c:v>4.1902999999999997</c:v>
                </c:pt>
                <c:pt idx="906">
                  <c:v>4.4603999999999999</c:v>
                </c:pt>
                <c:pt idx="907">
                  <c:v>4.2140000000000004</c:v>
                </c:pt>
                <c:pt idx="908">
                  <c:v>4.2923</c:v>
                </c:pt>
                <c:pt idx="909">
                  <c:v>4.1801000000000004</c:v>
                </c:pt>
                <c:pt idx="910">
                  <c:v>4.2991000000000001</c:v>
                </c:pt>
                <c:pt idx="911">
                  <c:v>4.4169999999999998</c:v>
                </c:pt>
                <c:pt idx="912">
                  <c:v>4.1959</c:v>
                </c:pt>
                <c:pt idx="913">
                  <c:v>4.2103000000000002</c:v>
                </c:pt>
                <c:pt idx="914">
                  <c:v>4.2807000000000004</c:v>
                </c:pt>
                <c:pt idx="915">
                  <c:v>4.2747999999999999</c:v>
                </c:pt>
                <c:pt idx="916">
                  <c:v>4.6155999999999997</c:v>
                </c:pt>
                <c:pt idx="917">
                  <c:v>4.5663</c:v>
                </c:pt>
                <c:pt idx="918">
                  <c:v>4.5873999999999997</c:v>
                </c:pt>
                <c:pt idx="919">
                  <c:v>4.1525999999999996</c:v>
                </c:pt>
                <c:pt idx="920">
                  <c:v>4.1257000000000001</c:v>
                </c:pt>
                <c:pt idx="921">
                  <c:v>4.3288000000000002</c:v>
                </c:pt>
                <c:pt idx="922">
                  <c:v>4.2983000000000002</c:v>
                </c:pt>
                <c:pt idx="923">
                  <c:v>4.0366</c:v>
                </c:pt>
                <c:pt idx="924">
                  <c:v>4.1013000000000002</c:v>
                </c:pt>
                <c:pt idx="925">
                  <c:v>3.827</c:v>
                </c:pt>
                <c:pt idx="926">
                  <c:v>3.6600999999999999</c:v>
                </c:pt>
                <c:pt idx="927">
                  <c:v>4.2930999999999999</c:v>
                </c:pt>
                <c:pt idx="928">
                  <c:v>4.0999999999999996</c:v>
                </c:pt>
                <c:pt idx="929">
                  <c:v>4.7492000000000001</c:v>
                </c:pt>
                <c:pt idx="930">
                  <c:v>4.7866999999999997</c:v>
                </c:pt>
                <c:pt idx="931">
                  <c:v>4.6867999999999999</c:v>
                </c:pt>
                <c:pt idx="932">
                  <c:v>5.2682000000000002</c:v>
                </c:pt>
                <c:pt idx="933">
                  <c:v>5.8859000000000004</c:v>
                </c:pt>
                <c:pt idx="934">
                  <c:v>5.9385000000000003</c:v>
                </c:pt>
                <c:pt idx="935">
                  <c:v>5.9278000000000004</c:v>
                </c:pt>
                <c:pt idx="936">
                  <c:v>5.7691999999999997</c:v>
                </c:pt>
                <c:pt idx="937">
                  <c:v>5.7431000000000001</c:v>
                </c:pt>
                <c:pt idx="938">
                  <c:v>5.7165999999999997</c:v>
                </c:pt>
                <c:pt idx="939">
                  <c:v>6.0404999999999998</c:v>
                </c:pt>
                <c:pt idx="940">
                  <c:v>5.8956999999999997</c:v>
                </c:pt>
                <c:pt idx="941">
                  <c:v>6.0488</c:v>
                </c:pt>
                <c:pt idx="942">
                  <c:v>5.7926000000000002</c:v>
                </c:pt>
                <c:pt idx="943">
                  <c:v>6.3301999999999996</c:v>
                </c:pt>
                <c:pt idx="944">
                  <c:v>6.2182000000000004</c:v>
                </c:pt>
                <c:pt idx="945">
                  <c:v>5.9663000000000004</c:v>
                </c:pt>
                <c:pt idx="946">
                  <c:v>6.8095999999999997</c:v>
                </c:pt>
                <c:pt idx="947">
                  <c:v>7.1726000000000001</c:v>
                </c:pt>
                <c:pt idx="948">
                  <c:v>7.2558999999999996</c:v>
                </c:pt>
                <c:pt idx="949">
                  <c:v>7.2712000000000003</c:v>
                </c:pt>
                <c:pt idx="950">
                  <c:v>7.5049000000000001</c:v>
                </c:pt>
                <c:pt idx="951">
                  <c:v>7.0377000000000001</c:v>
                </c:pt>
                <c:pt idx="952">
                  <c:v>6.8277000000000001</c:v>
                </c:pt>
                <c:pt idx="953">
                  <c:v>6.8543000000000003</c:v>
                </c:pt>
                <c:pt idx="954">
                  <c:v>6.7857000000000003</c:v>
                </c:pt>
                <c:pt idx="955">
                  <c:v>7.1246999999999998</c:v>
                </c:pt>
                <c:pt idx="956">
                  <c:v>6.9702999999999999</c:v>
                </c:pt>
                <c:pt idx="957">
                  <c:v>6.8837999999999999</c:v>
                </c:pt>
                <c:pt idx="958">
                  <c:v>6.5400999999999998</c:v>
                </c:pt>
                <c:pt idx="959">
                  <c:v>6.4591000000000003</c:v>
                </c:pt>
                <c:pt idx="960">
                  <c:v>6.4217000000000004</c:v>
                </c:pt>
                <c:pt idx="961">
                  <c:v>6.3132000000000001</c:v>
                </c:pt>
                <c:pt idx="962">
                  <c:v>6.4257999999999997</c:v>
                </c:pt>
                <c:pt idx="963">
                  <c:v>6.1390000000000002</c:v>
                </c:pt>
                <c:pt idx="964">
                  <c:v>6.3407999999999998</c:v>
                </c:pt>
                <c:pt idx="965">
                  <c:v>6.6195000000000004</c:v>
                </c:pt>
                <c:pt idx="966">
                  <c:v>6.3601999999999999</c:v>
                </c:pt>
                <c:pt idx="967">
                  <c:v>6.4189999999999996</c:v>
                </c:pt>
                <c:pt idx="968">
                  <c:v>6.2942999999999998</c:v>
                </c:pt>
                <c:pt idx="969">
                  <c:v>6.6925999999999997</c:v>
                </c:pt>
                <c:pt idx="970">
                  <c:v>7.7187999999999999</c:v>
                </c:pt>
                <c:pt idx="971">
                  <c:v>7.7027000000000001</c:v>
                </c:pt>
                <c:pt idx="972">
                  <c:v>8.5645000000000007</c:v>
                </c:pt>
                <c:pt idx="973">
                  <c:v>7.3</c:v>
                </c:pt>
                <c:pt idx="974">
                  <c:v>7.9657999999999998</c:v>
                </c:pt>
                <c:pt idx="975">
                  <c:v>8.0749999999999993</c:v>
                </c:pt>
                <c:pt idx="976">
                  <c:v>7.9943999999999997</c:v>
                </c:pt>
                <c:pt idx="977">
                  <c:v>6.8510999999999997</c:v>
                </c:pt>
                <c:pt idx="978">
                  <c:v>6.3602999999999996</c:v>
                </c:pt>
                <c:pt idx="979">
                  <c:v>6.4063999999999997</c:v>
                </c:pt>
                <c:pt idx="980">
                  <c:v>6.0156999999999998</c:v>
                </c:pt>
                <c:pt idx="981">
                  <c:v>5.9284999999999997</c:v>
                </c:pt>
                <c:pt idx="982">
                  <c:v>6.2588999999999997</c:v>
                </c:pt>
                <c:pt idx="983">
                  <c:v>6.2144000000000004</c:v>
                </c:pt>
                <c:pt idx="984">
                  <c:v>6.4581</c:v>
                </c:pt>
                <c:pt idx="985">
                  <c:v>5.8813000000000004</c:v>
                </c:pt>
                <c:pt idx="986">
                  <c:v>6.0353000000000003</c:v>
                </c:pt>
                <c:pt idx="987">
                  <c:v>6.4947999999999997</c:v>
                </c:pt>
                <c:pt idx="988">
                  <c:v>6.4644000000000004</c:v>
                </c:pt>
                <c:pt idx="989">
                  <c:v>5.9992000000000001</c:v>
                </c:pt>
                <c:pt idx="990">
                  <c:v>5.5185000000000004</c:v>
                </c:pt>
                <c:pt idx="991">
                  <c:v>5.3319000000000001</c:v>
                </c:pt>
                <c:pt idx="992">
                  <c:v>5.4124999999999996</c:v>
                </c:pt>
                <c:pt idx="993">
                  <c:v>4.8133999999999997</c:v>
                </c:pt>
                <c:pt idx="994">
                  <c:v>4.8499999999999996</c:v>
                </c:pt>
                <c:pt idx="995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44-452F-AC98-89077C6F24B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16.616368480859336</c:v>
                </c:pt>
                <c:pt idx="1">
                  <c:v>16.624211632859335</c:v>
                </c:pt>
                <c:pt idx="2">
                  <c:v>16.762855806829183</c:v>
                </c:pt>
                <c:pt idx="3">
                  <c:v>16.66126196349585</c:v>
                </c:pt>
                <c:pt idx="4">
                  <c:v>16.494399959329186</c:v>
                </c:pt>
                <c:pt idx="5">
                  <c:v>16.342579111199413</c:v>
                </c:pt>
                <c:pt idx="6">
                  <c:v>16.341375581393713</c:v>
                </c:pt>
                <c:pt idx="7">
                  <c:v>16.535775400803548</c:v>
                </c:pt>
                <c:pt idx="8">
                  <c:v>16.629524366468818</c:v>
                </c:pt>
                <c:pt idx="9">
                  <c:v>16.689268841762935</c:v>
                </c:pt>
                <c:pt idx="10">
                  <c:v>16.70857137923662</c:v>
                </c:pt>
                <c:pt idx="11">
                  <c:v>16.72459270529912</c:v>
                </c:pt>
                <c:pt idx="12">
                  <c:v>16.731308561359363</c:v>
                </c:pt>
                <c:pt idx="13">
                  <c:v>16.71831576314835</c:v>
                </c:pt>
                <c:pt idx="14">
                  <c:v>16.700507553399923</c:v>
                </c:pt>
                <c:pt idx="15">
                  <c:v>16.771177005259425</c:v>
                </c:pt>
                <c:pt idx="16">
                  <c:v>16.705618586894563</c:v>
                </c:pt>
                <c:pt idx="17">
                  <c:v>16.663142953301637</c:v>
                </c:pt>
                <c:pt idx="18">
                  <c:v>16.662413803441083</c:v>
                </c:pt>
                <c:pt idx="19">
                  <c:v>16.656967561960311</c:v>
                </c:pt>
                <c:pt idx="20">
                  <c:v>16.69591738492641</c:v>
                </c:pt>
                <c:pt idx="21">
                  <c:v>16.64337801019073</c:v>
                </c:pt>
                <c:pt idx="22">
                  <c:v>16.52786097019073</c:v>
                </c:pt>
                <c:pt idx="23">
                  <c:v>16.631648855997749</c:v>
                </c:pt>
                <c:pt idx="24">
                  <c:v>16.693409664811309</c:v>
                </c:pt>
                <c:pt idx="25">
                  <c:v>16.689800352099446</c:v>
                </c:pt>
                <c:pt idx="26">
                  <c:v>16.610791258766113</c:v>
                </c:pt>
                <c:pt idx="27">
                  <c:v>16.544383569057448</c:v>
                </c:pt>
                <c:pt idx="28">
                  <c:v>16.586168140761995</c:v>
                </c:pt>
                <c:pt idx="29">
                  <c:v>16.52672737770467</c:v>
                </c:pt>
                <c:pt idx="30">
                  <c:v>16.648333550461953</c:v>
                </c:pt>
                <c:pt idx="31">
                  <c:v>16.791276506681463</c:v>
                </c:pt>
                <c:pt idx="32">
                  <c:v>16.870018172173772</c:v>
                </c:pt>
                <c:pt idx="33">
                  <c:v>16.812107368882508</c:v>
                </c:pt>
                <c:pt idx="34">
                  <c:v>16.796685297925521</c:v>
                </c:pt>
                <c:pt idx="35">
                  <c:v>16.888548500079366</c:v>
                </c:pt>
                <c:pt idx="36">
                  <c:v>16.755669403329367</c:v>
                </c:pt>
                <c:pt idx="37">
                  <c:v>16.770781087523812</c:v>
                </c:pt>
                <c:pt idx="38">
                  <c:v>16.679708506491554</c:v>
                </c:pt>
                <c:pt idx="39">
                  <c:v>16.732108356123554</c:v>
                </c:pt>
                <c:pt idx="40">
                  <c:v>16.838671215320524</c:v>
                </c:pt>
                <c:pt idx="41">
                  <c:v>16.799835591053192</c:v>
                </c:pt>
                <c:pt idx="42">
                  <c:v>16.817914458600367</c:v>
                </c:pt>
                <c:pt idx="43">
                  <c:v>16.991256885165583</c:v>
                </c:pt>
                <c:pt idx="44">
                  <c:v>16.894124145739401</c:v>
                </c:pt>
                <c:pt idx="45">
                  <c:v>16.605931016718564</c:v>
                </c:pt>
                <c:pt idx="46">
                  <c:v>16.776423713070606</c:v>
                </c:pt>
                <c:pt idx="47">
                  <c:v>16.845578960070608</c:v>
                </c:pt>
                <c:pt idx="48">
                  <c:v>16.833844977353628</c:v>
                </c:pt>
                <c:pt idx="49">
                  <c:v>17.064438273813252</c:v>
                </c:pt>
                <c:pt idx="50">
                  <c:v>17.409898728416426</c:v>
                </c:pt>
                <c:pt idx="51">
                  <c:v>17.110795250214895</c:v>
                </c:pt>
                <c:pt idx="52">
                  <c:v>17.183226416290843</c:v>
                </c:pt>
                <c:pt idx="53">
                  <c:v>16.7092576198391</c:v>
                </c:pt>
                <c:pt idx="54">
                  <c:v>16.693676429152355</c:v>
                </c:pt>
                <c:pt idx="55">
                  <c:v>16.647034724371345</c:v>
                </c:pt>
                <c:pt idx="56">
                  <c:v>16.752244726871343</c:v>
                </c:pt>
                <c:pt idx="57">
                  <c:v>16.7046103966345</c:v>
                </c:pt>
                <c:pt idx="58">
                  <c:v>16.753620632864006</c:v>
                </c:pt>
                <c:pt idx="59">
                  <c:v>16.782792536887737</c:v>
                </c:pt>
                <c:pt idx="60">
                  <c:v>16.729109975929404</c:v>
                </c:pt>
                <c:pt idx="61">
                  <c:v>16.553385618787466</c:v>
                </c:pt>
                <c:pt idx="62">
                  <c:v>16.565203378732672</c:v>
                </c:pt>
                <c:pt idx="63">
                  <c:v>16.757841208192989</c:v>
                </c:pt>
                <c:pt idx="64">
                  <c:v>16.693668777602081</c:v>
                </c:pt>
                <c:pt idx="65">
                  <c:v>16.701527551953806</c:v>
                </c:pt>
                <c:pt idx="66">
                  <c:v>16.540157522566048</c:v>
                </c:pt>
                <c:pt idx="67">
                  <c:v>16.598518959097962</c:v>
                </c:pt>
                <c:pt idx="68">
                  <c:v>16.711491761250279</c:v>
                </c:pt>
                <c:pt idx="69">
                  <c:v>16.591964974021234</c:v>
                </c:pt>
                <c:pt idx="70">
                  <c:v>16.456928836865675</c:v>
                </c:pt>
                <c:pt idx="71">
                  <c:v>16.579220553810664</c:v>
                </c:pt>
                <c:pt idx="72">
                  <c:v>16.448173219149581</c:v>
                </c:pt>
                <c:pt idx="73">
                  <c:v>16.569397259462079</c:v>
                </c:pt>
                <c:pt idx="74">
                  <c:v>16.690287395893218</c:v>
                </c:pt>
                <c:pt idx="75">
                  <c:v>16.693088701395148</c:v>
                </c:pt>
                <c:pt idx="76">
                  <c:v>16.611106163845697</c:v>
                </c:pt>
                <c:pt idx="77">
                  <c:v>16.654518782112213</c:v>
                </c:pt>
                <c:pt idx="78">
                  <c:v>16.635598754103555</c:v>
                </c:pt>
                <c:pt idx="79">
                  <c:v>16.788164091962248</c:v>
                </c:pt>
                <c:pt idx="80">
                  <c:v>16.567063411096196</c:v>
                </c:pt>
                <c:pt idx="81">
                  <c:v>16.399429377816976</c:v>
                </c:pt>
                <c:pt idx="82">
                  <c:v>16.303282716860686</c:v>
                </c:pt>
                <c:pt idx="83">
                  <c:v>16.24894874935304</c:v>
                </c:pt>
                <c:pt idx="84">
                  <c:v>16.300405653583258</c:v>
                </c:pt>
                <c:pt idx="85">
                  <c:v>16.352231227973355</c:v>
                </c:pt>
                <c:pt idx="86">
                  <c:v>16.330769094460678</c:v>
                </c:pt>
                <c:pt idx="87">
                  <c:v>16.309032579965265</c:v>
                </c:pt>
                <c:pt idx="88">
                  <c:v>16.231666036946255</c:v>
                </c:pt>
                <c:pt idx="89">
                  <c:v>16.190799077182618</c:v>
                </c:pt>
                <c:pt idx="90">
                  <c:v>16.126952597682617</c:v>
                </c:pt>
                <c:pt idx="91">
                  <c:v>16.058272654063568</c:v>
                </c:pt>
                <c:pt idx="92">
                  <c:v>15.93817485424589</c:v>
                </c:pt>
                <c:pt idx="93">
                  <c:v>16.081444822665805</c:v>
                </c:pt>
                <c:pt idx="94">
                  <c:v>16.169137570047099</c:v>
                </c:pt>
                <c:pt idx="95">
                  <c:v>16.100693918496372</c:v>
                </c:pt>
                <c:pt idx="96">
                  <c:v>16.280261734868468</c:v>
                </c:pt>
                <c:pt idx="97">
                  <c:v>16.200571104131626</c:v>
                </c:pt>
                <c:pt idx="98">
                  <c:v>16.266999660798291</c:v>
                </c:pt>
                <c:pt idx="99">
                  <c:v>16.416738223251553</c:v>
                </c:pt>
                <c:pt idx="100">
                  <c:v>16.267945170721212</c:v>
                </c:pt>
                <c:pt idx="101">
                  <c:v>16.238372081006929</c:v>
                </c:pt>
                <c:pt idx="102">
                  <c:v>16.304254994035634</c:v>
                </c:pt>
                <c:pt idx="103">
                  <c:v>16.301862763972807</c:v>
                </c:pt>
                <c:pt idx="104">
                  <c:v>16.385514670243076</c:v>
                </c:pt>
                <c:pt idx="105">
                  <c:v>16.282370716855322</c:v>
                </c:pt>
                <c:pt idx="106">
                  <c:v>16.323818234281553</c:v>
                </c:pt>
                <c:pt idx="107">
                  <c:v>16.142233420148216</c:v>
                </c:pt>
                <c:pt idx="108">
                  <c:v>15.98111888985655</c:v>
                </c:pt>
                <c:pt idx="109">
                  <c:v>16.038438929490699</c:v>
                </c:pt>
                <c:pt idx="110">
                  <c:v>16.238288860044268</c:v>
                </c:pt>
                <c:pt idx="111">
                  <c:v>16.056548644606632</c:v>
                </c:pt>
                <c:pt idx="112">
                  <c:v>16.146697957559574</c:v>
                </c:pt>
                <c:pt idx="113">
                  <c:v>16.101383189807851</c:v>
                </c:pt>
                <c:pt idx="114">
                  <c:v>15.970862969051044</c:v>
                </c:pt>
                <c:pt idx="115">
                  <c:v>15.84519360128561</c:v>
                </c:pt>
                <c:pt idx="116">
                  <c:v>15.781454737846103</c:v>
                </c:pt>
                <c:pt idx="117">
                  <c:v>15.678334839730478</c:v>
                </c:pt>
                <c:pt idx="118">
                  <c:v>15.683792488516454</c:v>
                </c:pt>
                <c:pt idx="119">
                  <c:v>15.448334936357185</c:v>
                </c:pt>
                <c:pt idx="120">
                  <c:v>15.321188389760694</c:v>
                </c:pt>
                <c:pt idx="121">
                  <c:v>15.330589112764985</c:v>
                </c:pt>
                <c:pt idx="122">
                  <c:v>15.477561262190896</c:v>
                </c:pt>
                <c:pt idx="123">
                  <c:v>15.670638490720309</c:v>
                </c:pt>
                <c:pt idx="124">
                  <c:v>15.595443709482549</c:v>
                </c:pt>
                <c:pt idx="125">
                  <c:v>15.575494999008322</c:v>
                </c:pt>
                <c:pt idx="126">
                  <c:v>15.641180894530711</c:v>
                </c:pt>
                <c:pt idx="127">
                  <c:v>15.48139246400787</c:v>
                </c:pt>
                <c:pt idx="128">
                  <c:v>15.256966224748821</c:v>
                </c:pt>
                <c:pt idx="129">
                  <c:v>15.520535294770916</c:v>
                </c:pt>
                <c:pt idx="130">
                  <c:v>15.63689667426425</c:v>
                </c:pt>
                <c:pt idx="131">
                  <c:v>15.842200817181173</c:v>
                </c:pt>
                <c:pt idx="132">
                  <c:v>15.584700073396331</c:v>
                </c:pt>
                <c:pt idx="133">
                  <c:v>15.554895551721504</c:v>
                </c:pt>
                <c:pt idx="134">
                  <c:v>15.577960169628257</c:v>
                </c:pt>
                <c:pt idx="135">
                  <c:v>15.410397224965045</c:v>
                </c:pt>
                <c:pt idx="136">
                  <c:v>15.233929345203682</c:v>
                </c:pt>
                <c:pt idx="137">
                  <c:v>15.19617485879723</c:v>
                </c:pt>
                <c:pt idx="138">
                  <c:v>15.14456385077747</c:v>
                </c:pt>
                <c:pt idx="139">
                  <c:v>15.135200327831409</c:v>
                </c:pt>
                <c:pt idx="140">
                  <c:v>15.321948529214742</c:v>
                </c:pt>
                <c:pt idx="141">
                  <c:v>15.298222619100647</c:v>
                </c:pt>
                <c:pt idx="142">
                  <c:v>15.213063400762412</c:v>
                </c:pt>
                <c:pt idx="143">
                  <c:v>15.52614455537163</c:v>
                </c:pt>
                <c:pt idx="144">
                  <c:v>15.422598326497035</c:v>
                </c:pt>
                <c:pt idx="145">
                  <c:v>15.01401856867396</c:v>
                </c:pt>
                <c:pt idx="146">
                  <c:v>15.063053232048023</c:v>
                </c:pt>
                <c:pt idx="147">
                  <c:v>14.786667548715879</c:v>
                </c:pt>
                <c:pt idx="148">
                  <c:v>14.834924109937695</c:v>
                </c:pt>
                <c:pt idx="149">
                  <c:v>14.625377936627835</c:v>
                </c:pt>
                <c:pt idx="150">
                  <c:v>14.482350228427837</c:v>
                </c:pt>
                <c:pt idx="151">
                  <c:v>14.610141356850775</c:v>
                </c:pt>
                <c:pt idx="152">
                  <c:v>14.684066517416385</c:v>
                </c:pt>
                <c:pt idx="153">
                  <c:v>14.659434277321624</c:v>
                </c:pt>
                <c:pt idx="154">
                  <c:v>14.41656583374145</c:v>
                </c:pt>
                <c:pt idx="155">
                  <c:v>14.624643318855886</c:v>
                </c:pt>
                <c:pt idx="156">
                  <c:v>14.422705312994227</c:v>
                </c:pt>
                <c:pt idx="157">
                  <c:v>14.631433919230831</c:v>
                </c:pt>
                <c:pt idx="158">
                  <c:v>14.532481393863931</c:v>
                </c:pt>
                <c:pt idx="159">
                  <c:v>14.500164417536924</c:v>
                </c:pt>
                <c:pt idx="160">
                  <c:v>14.651026112285329</c:v>
                </c:pt>
                <c:pt idx="161">
                  <c:v>14.459158990648989</c:v>
                </c:pt>
                <c:pt idx="162">
                  <c:v>14.212920801341076</c:v>
                </c:pt>
                <c:pt idx="163">
                  <c:v>14.174735838342633</c:v>
                </c:pt>
                <c:pt idx="164">
                  <c:v>14.496933946305621</c:v>
                </c:pt>
                <c:pt idx="165">
                  <c:v>14.764377811954263</c:v>
                </c:pt>
                <c:pt idx="166">
                  <c:v>14.45112872858463</c:v>
                </c:pt>
                <c:pt idx="167">
                  <c:v>14.129513429281873</c:v>
                </c:pt>
                <c:pt idx="168">
                  <c:v>13.908610598508087</c:v>
                </c:pt>
                <c:pt idx="169">
                  <c:v>14.090920975078387</c:v>
                </c:pt>
                <c:pt idx="170">
                  <c:v>14.136215953592821</c:v>
                </c:pt>
                <c:pt idx="171">
                  <c:v>14.086168955937149</c:v>
                </c:pt>
                <c:pt idx="172">
                  <c:v>13.905715388653975</c:v>
                </c:pt>
                <c:pt idx="173">
                  <c:v>14.069621426870091</c:v>
                </c:pt>
                <c:pt idx="174">
                  <c:v>13.86889212727711</c:v>
                </c:pt>
                <c:pt idx="175">
                  <c:v>13.699235776700244</c:v>
                </c:pt>
                <c:pt idx="176">
                  <c:v>13.527420011100245</c:v>
                </c:pt>
                <c:pt idx="177">
                  <c:v>13.430073702058596</c:v>
                </c:pt>
                <c:pt idx="178">
                  <c:v>13.371123406129795</c:v>
                </c:pt>
                <c:pt idx="179">
                  <c:v>13.366528815517457</c:v>
                </c:pt>
                <c:pt idx="180">
                  <c:v>13.497016786764638</c:v>
                </c:pt>
                <c:pt idx="181">
                  <c:v>13.579793616586715</c:v>
                </c:pt>
                <c:pt idx="182">
                  <c:v>13.415410671900693</c:v>
                </c:pt>
                <c:pt idx="183">
                  <c:v>13.304234536760628</c:v>
                </c:pt>
                <c:pt idx="184">
                  <c:v>13.182489473364113</c:v>
                </c:pt>
                <c:pt idx="185">
                  <c:v>13.056375805960201</c:v>
                </c:pt>
                <c:pt idx="186">
                  <c:v>13.297631217392793</c:v>
                </c:pt>
                <c:pt idx="187">
                  <c:v>13.229090184189587</c:v>
                </c:pt>
                <c:pt idx="188">
                  <c:v>13.251536662586576</c:v>
                </c:pt>
                <c:pt idx="189">
                  <c:v>13.150834523989072</c:v>
                </c:pt>
                <c:pt idx="190">
                  <c:v>13.004640171362853</c:v>
                </c:pt>
                <c:pt idx="191">
                  <c:v>12.845915335869629</c:v>
                </c:pt>
                <c:pt idx="192">
                  <c:v>12.938510448030362</c:v>
                </c:pt>
                <c:pt idx="193">
                  <c:v>13.057584513422281</c:v>
                </c:pt>
                <c:pt idx="194">
                  <c:v>13.086786602306953</c:v>
                </c:pt>
                <c:pt idx="195">
                  <c:v>13.132792912330215</c:v>
                </c:pt>
                <c:pt idx="196">
                  <c:v>13.172759010243183</c:v>
                </c:pt>
                <c:pt idx="197">
                  <c:v>13.229729438771804</c:v>
                </c:pt>
                <c:pt idx="198">
                  <c:v>13.181712303475475</c:v>
                </c:pt>
                <c:pt idx="199">
                  <c:v>13.310096700693684</c:v>
                </c:pt>
                <c:pt idx="200">
                  <c:v>13.361423616281796</c:v>
                </c:pt>
                <c:pt idx="201">
                  <c:v>13.266760267356673</c:v>
                </c:pt>
                <c:pt idx="202">
                  <c:v>13.528977354208269</c:v>
                </c:pt>
                <c:pt idx="203">
                  <c:v>13.142301132190084</c:v>
                </c:pt>
                <c:pt idx="204">
                  <c:v>13.231650506313102</c:v>
                </c:pt>
                <c:pt idx="205">
                  <c:v>13.32689369361032</c:v>
                </c:pt>
                <c:pt idx="206">
                  <c:v>13.348337639000855</c:v>
                </c:pt>
                <c:pt idx="207">
                  <c:v>13.445440287065468</c:v>
                </c:pt>
                <c:pt idx="208">
                  <c:v>13.456213064098746</c:v>
                </c:pt>
                <c:pt idx="209">
                  <c:v>13.350999905637279</c:v>
                </c:pt>
                <c:pt idx="210">
                  <c:v>13.2879481488942</c:v>
                </c:pt>
                <c:pt idx="211">
                  <c:v>13.393447937365274</c:v>
                </c:pt>
                <c:pt idx="212">
                  <c:v>13.325145498615274</c:v>
                </c:pt>
                <c:pt idx="213">
                  <c:v>13.262228411503141</c:v>
                </c:pt>
                <c:pt idx="214">
                  <c:v>13.225609626610709</c:v>
                </c:pt>
                <c:pt idx="215">
                  <c:v>13.110376331283659</c:v>
                </c:pt>
                <c:pt idx="216">
                  <c:v>13.032965767976116</c:v>
                </c:pt>
                <c:pt idx="217">
                  <c:v>13.252536025271878</c:v>
                </c:pt>
                <c:pt idx="218">
                  <c:v>13.032343417095928</c:v>
                </c:pt>
                <c:pt idx="219">
                  <c:v>12.890222682533958</c:v>
                </c:pt>
                <c:pt idx="220">
                  <c:v>12.908818446837572</c:v>
                </c:pt>
                <c:pt idx="221">
                  <c:v>13.26264754643362</c:v>
                </c:pt>
                <c:pt idx="222">
                  <c:v>13.1096807045482</c:v>
                </c:pt>
                <c:pt idx="223">
                  <c:v>13.215624933457846</c:v>
                </c:pt>
                <c:pt idx="224">
                  <c:v>13.266447648498247</c:v>
                </c:pt>
                <c:pt idx="225">
                  <c:v>13.305991435000214</c:v>
                </c:pt>
                <c:pt idx="226">
                  <c:v>13.432011765952426</c:v>
                </c:pt>
                <c:pt idx="227">
                  <c:v>13.510822937496613</c:v>
                </c:pt>
                <c:pt idx="228">
                  <c:v>13.354756779022063</c:v>
                </c:pt>
                <c:pt idx="229">
                  <c:v>13.21897469836534</c:v>
                </c:pt>
                <c:pt idx="230">
                  <c:v>13.12524985035178</c:v>
                </c:pt>
                <c:pt idx="231">
                  <c:v>13.350177445307681</c:v>
                </c:pt>
                <c:pt idx="232">
                  <c:v>13.469404690411574</c:v>
                </c:pt>
                <c:pt idx="233">
                  <c:v>13.195737285723084</c:v>
                </c:pt>
                <c:pt idx="234">
                  <c:v>13.011671089533902</c:v>
                </c:pt>
                <c:pt idx="235">
                  <c:v>13.176487364493315</c:v>
                </c:pt>
                <c:pt idx="236">
                  <c:v>13.155813110415474</c:v>
                </c:pt>
                <c:pt idx="237">
                  <c:v>13.275535780262789</c:v>
                </c:pt>
                <c:pt idx="238">
                  <c:v>13.391387296519934</c:v>
                </c:pt>
                <c:pt idx="239">
                  <c:v>13.300840080626633</c:v>
                </c:pt>
                <c:pt idx="240">
                  <c:v>13.290466774847211</c:v>
                </c:pt>
                <c:pt idx="241">
                  <c:v>13.415492935834422</c:v>
                </c:pt>
                <c:pt idx="242">
                  <c:v>13.021968330707461</c:v>
                </c:pt>
                <c:pt idx="243">
                  <c:v>12.931467670955374</c:v>
                </c:pt>
                <c:pt idx="244">
                  <c:v>13.293824743526333</c:v>
                </c:pt>
                <c:pt idx="245">
                  <c:v>13.829798198057299</c:v>
                </c:pt>
                <c:pt idx="246">
                  <c:v>13.620428403344972</c:v>
                </c:pt>
                <c:pt idx="247">
                  <c:v>13.141800887845992</c:v>
                </c:pt>
                <c:pt idx="248">
                  <c:v>12.891063738118747</c:v>
                </c:pt>
                <c:pt idx="249">
                  <c:v>12.138798208653977</c:v>
                </c:pt>
                <c:pt idx="250">
                  <c:v>12.276351636338125</c:v>
                </c:pt>
                <c:pt idx="251">
                  <c:v>12.540086533339352</c:v>
                </c:pt>
                <c:pt idx="252">
                  <c:v>12.832266291092619</c:v>
                </c:pt>
                <c:pt idx="253">
                  <c:v>12.149220601594601</c:v>
                </c:pt>
                <c:pt idx="254">
                  <c:v>12.929112982920774</c:v>
                </c:pt>
                <c:pt idx="255">
                  <c:v>13.07643742615668</c:v>
                </c:pt>
                <c:pt idx="256">
                  <c:v>13.275837054892682</c:v>
                </c:pt>
                <c:pt idx="257">
                  <c:v>13.39853752355701</c:v>
                </c:pt>
                <c:pt idx="258">
                  <c:v>14.085065348133245</c:v>
                </c:pt>
                <c:pt idx="259">
                  <c:v>14.015749172511915</c:v>
                </c:pt>
                <c:pt idx="260">
                  <c:v>13.957933067614897</c:v>
                </c:pt>
                <c:pt idx="261">
                  <c:v>15.264251580712248</c:v>
                </c:pt>
                <c:pt idx="262">
                  <c:v>13.201761280083778</c:v>
                </c:pt>
                <c:pt idx="263">
                  <c:v>13.406222187209247</c:v>
                </c:pt>
                <c:pt idx="264">
                  <c:v>13.076320346574983</c:v>
                </c:pt>
                <c:pt idx="265">
                  <c:v>13.14444568720328</c:v>
                </c:pt>
                <c:pt idx="266">
                  <c:v>14.081235904967039</c:v>
                </c:pt>
                <c:pt idx="267">
                  <c:v>13.163345929933836</c:v>
                </c:pt>
                <c:pt idx="268">
                  <c:v>12.193225389269095</c:v>
                </c:pt>
                <c:pt idx="269">
                  <c:v>12.692690330195548</c:v>
                </c:pt>
                <c:pt idx="270">
                  <c:v>12.628804667611218</c:v>
                </c:pt>
                <c:pt idx="271">
                  <c:v>12.530747043237421</c:v>
                </c:pt>
                <c:pt idx="272">
                  <c:v>12.365396325919553</c:v>
                </c:pt>
                <c:pt idx="273">
                  <c:v>12.053985856597794</c:v>
                </c:pt>
                <c:pt idx="274">
                  <c:v>11.974746769429682</c:v>
                </c:pt>
                <c:pt idx="275">
                  <c:v>11.974689242730618</c:v>
                </c:pt>
                <c:pt idx="276">
                  <c:v>11.69580757120937</c:v>
                </c:pt>
                <c:pt idx="277">
                  <c:v>11.224549073095858</c:v>
                </c:pt>
                <c:pt idx="278">
                  <c:v>11.254066473490102</c:v>
                </c:pt>
                <c:pt idx="279">
                  <c:v>11.554033954979307</c:v>
                </c:pt>
                <c:pt idx="280">
                  <c:v>11.198132937402292</c:v>
                </c:pt>
                <c:pt idx="281">
                  <c:v>11.522560559343487</c:v>
                </c:pt>
                <c:pt idx="282">
                  <c:v>11.8039762796154</c:v>
                </c:pt>
                <c:pt idx="283">
                  <c:v>11.544044021608071</c:v>
                </c:pt>
                <c:pt idx="284">
                  <c:v>11.962195502741746</c:v>
                </c:pt>
                <c:pt idx="285">
                  <c:v>11.658049398492055</c:v>
                </c:pt>
                <c:pt idx="286">
                  <c:v>12.073285186586794</c:v>
                </c:pt>
                <c:pt idx="287">
                  <c:v>11.479075231915539</c:v>
                </c:pt>
                <c:pt idx="288">
                  <c:v>11.170651634050525</c:v>
                </c:pt>
                <c:pt idx="289">
                  <c:v>11.018168184994222</c:v>
                </c:pt>
                <c:pt idx="290">
                  <c:v>10.677764436715362</c:v>
                </c:pt>
                <c:pt idx="291">
                  <c:v>10.764154628332733</c:v>
                </c:pt>
                <c:pt idx="292">
                  <c:v>10.898502450242969</c:v>
                </c:pt>
                <c:pt idx="293">
                  <c:v>10.745085146715486</c:v>
                </c:pt>
                <c:pt idx="294">
                  <c:v>10.851537727607917</c:v>
                </c:pt>
                <c:pt idx="295">
                  <c:v>10.580590745626798</c:v>
                </c:pt>
                <c:pt idx="296">
                  <c:v>11.082904937788143</c:v>
                </c:pt>
                <c:pt idx="297">
                  <c:v>11.09044262159663</c:v>
                </c:pt>
                <c:pt idx="298">
                  <c:v>10.775258452326549</c:v>
                </c:pt>
                <c:pt idx="299">
                  <c:v>10.222194654361598</c:v>
                </c:pt>
                <c:pt idx="300">
                  <c:v>10.772477819023912</c:v>
                </c:pt>
                <c:pt idx="301">
                  <c:v>10.046214410635164</c:v>
                </c:pt>
                <c:pt idx="302">
                  <c:v>9.6886810476668401</c:v>
                </c:pt>
                <c:pt idx="303">
                  <c:v>9.3107798235947197</c:v>
                </c:pt>
                <c:pt idx="304">
                  <c:v>9.2554042527845439</c:v>
                </c:pt>
                <c:pt idx="305">
                  <c:v>9.114236338468098</c:v>
                </c:pt>
                <c:pt idx="306">
                  <c:v>9.1363925559128987</c:v>
                </c:pt>
                <c:pt idx="307">
                  <c:v>9.1320400421909742</c:v>
                </c:pt>
                <c:pt idx="308">
                  <c:v>8.8080692156438882</c:v>
                </c:pt>
                <c:pt idx="309">
                  <c:v>8.7663378239088576</c:v>
                </c:pt>
                <c:pt idx="310">
                  <c:v>8.9126400078390251</c:v>
                </c:pt>
                <c:pt idx="311">
                  <c:v>9.0378656435660698</c:v>
                </c:pt>
                <c:pt idx="312">
                  <c:v>9.1927854939708542</c:v>
                </c:pt>
                <c:pt idx="313">
                  <c:v>9.3890822033490782</c:v>
                </c:pt>
                <c:pt idx="314">
                  <c:v>9.367031125375135</c:v>
                </c:pt>
                <c:pt idx="315">
                  <c:v>9.3821900030373744</c:v>
                </c:pt>
                <c:pt idx="316">
                  <c:v>9.4864254040778171</c:v>
                </c:pt>
                <c:pt idx="317">
                  <c:v>9.2826072734424727</c:v>
                </c:pt>
                <c:pt idx="318">
                  <c:v>9.0576386715244084</c:v>
                </c:pt>
                <c:pt idx="319">
                  <c:v>9.1556957370755221</c:v>
                </c:pt>
                <c:pt idx="320">
                  <c:v>9.4223254922162329</c:v>
                </c:pt>
                <c:pt idx="321">
                  <c:v>9.2194565282038798</c:v>
                </c:pt>
                <c:pt idx="322">
                  <c:v>9.2976835507196274</c:v>
                </c:pt>
                <c:pt idx="323">
                  <c:v>9.1889977453610712</c:v>
                </c:pt>
                <c:pt idx="324">
                  <c:v>9.2814473428678035</c:v>
                </c:pt>
                <c:pt idx="325">
                  <c:v>9.0229420285842803</c:v>
                </c:pt>
                <c:pt idx="326">
                  <c:v>8.8675588131156449</c:v>
                </c:pt>
                <c:pt idx="327">
                  <c:v>8.7441247792002859</c:v>
                </c:pt>
                <c:pt idx="328">
                  <c:v>8.6880444393076584</c:v>
                </c:pt>
                <c:pt idx="329">
                  <c:v>8.6242455049935138</c:v>
                </c:pt>
                <c:pt idx="330">
                  <c:v>8.6853121424093036</c:v>
                </c:pt>
                <c:pt idx="331">
                  <c:v>8.7324544864068958</c:v>
                </c:pt>
                <c:pt idx="332">
                  <c:v>8.794761637129545</c:v>
                </c:pt>
                <c:pt idx="333">
                  <c:v>8.6498310064595998</c:v>
                </c:pt>
                <c:pt idx="334">
                  <c:v>8.6420849000985953</c:v>
                </c:pt>
                <c:pt idx="335">
                  <c:v>8.6756750286504651</c:v>
                </c:pt>
                <c:pt idx="336">
                  <c:v>8.7529970186820965</c:v>
                </c:pt>
                <c:pt idx="337">
                  <c:v>9.0149063540807433</c:v>
                </c:pt>
                <c:pt idx="338">
                  <c:v>9.05288929977152</c:v>
                </c:pt>
                <c:pt idx="339">
                  <c:v>9.1871142453602683</c:v>
                </c:pt>
                <c:pt idx="340">
                  <c:v>9.2056738149900905</c:v>
                </c:pt>
                <c:pt idx="341">
                  <c:v>9.1380547499106761</c:v>
                </c:pt>
                <c:pt idx="342">
                  <c:v>9.3011228257590677</c:v>
                </c:pt>
                <c:pt idx="343">
                  <c:v>8.9983624129333766</c:v>
                </c:pt>
                <c:pt idx="344">
                  <c:v>9.0325242956634373</c:v>
                </c:pt>
                <c:pt idx="345">
                  <c:v>8.7358076540514595</c:v>
                </c:pt>
                <c:pt idx="346">
                  <c:v>8.8269425482108144</c:v>
                </c:pt>
                <c:pt idx="347">
                  <c:v>8.7920434144764172</c:v>
                </c:pt>
                <c:pt idx="348">
                  <c:v>9.0313255236969727</c:v>
                </c:pt>
                <c:pt idx="349">
                  <c:v>8.266304213204263</c:v>
                </c:pt>
                <c:pt idx="350">
                  <c:v>7.8952203972702142</c:v>
                </c:pt>
                <c:pt idx="351">
                  <c:v>7.4717696171512467</c:v>
                </c:pt>
                <c:pt idx="352">
                  <c:v>7.3904785965439608</c:v>
                </c:pt>
                <c:pt idx="353">
                  <c:v>6.9083786764959436</c:v>
                </c:pt>
                <c:pt idx="354">
                  <c:v>6.475235596734068</c:v>
                </c:pt>
                <c:pt idx="355">
                  <c:v>6.1388658287853159</c:v>
                </c:pt>
                <c:pt idx="356">
                  <c:v>6.1943004191491786</c:v>
                </c:pt>
                <c:pt idx="357">
                  <c:v>5.9722761180544559</c:v>
                </c:pt>
                <c:pt idx="358">
                  <c:v>6.0947879059478201</c:v>
                </c:pt>
                <c:pt idx="359">
                  <c:v>6.0806682410220887</c:v>
                </c:pt>
                <c:pt idx="360">
                  <c:v>6.1500893180591012</c:v>
                </c:pt>
                <c:pt idx="361">
                  <c:v>6.2826889741242153</c:v>
                </c:pt>
                <c:pt idx="362">
                  <c:v>6.3036243539939081</c:v>
                </c:pt>
                <c:pt idx="363">
                  <c:v>6.2162482036435796</c:v>
                </c:pt>
                <c:pt idx="364">
                  <c:v>6.3830489242159327</c:v>
                </c:pt>
                <c:pt idx="365">
                  <c:v>6.2494563194289352</c:v>
                </c:pt>
                <c:pt idx="366">
                  <c:v>6.3254924430774784</c:v>
                </c:pt>
                <c:pt idx="367">
                  <c:v>6.2982748221012876</c:v>
                </c:pt>
                <c:pt idx="368">
                  <c:v>6.4088202668260115</c:v>
                </c:pt>
                <c:pt idx="369">
                  <c:v>6.3998987108370287</c:v>
                </c:pt>
                <c:pt idx="370">
                  <c:v>6.3486632238570664</c:v>
                </c:pt>
                <c:pt idx="371">
                  <c:v>6.2211981739555906</c:v>
                </c:pt>
                <c:pt idx="372">
                  <c:v>6.3960862946659587</c:v>
                </c:pt>
                <c:pt idx="373">
                  <c:v>6.2925620718777875</c:v>
                </c:pt>
                <c:pt idx="374">
                  <c:v>6.6036396604182839</c:v>
                </c:pt>
                <c:pt idx="375">
                  <c:v>6.453253798879337</c:v>
                </c:pt>
                <c:pt idx="376">
                  <c:v>6.375046800986893</c:v>
                </c:pt>
                <c:pt idx="377">
                  <c:v>6.444583450310116</c:v>
                </c:pt>
                <c:pt idx="378">
                  <c:v>6.448873482141301</c:v>
                </c:pt>
                <c:pt idx="379">
                  <c:v>6.3168969898353353</c:v>
                </c:pt>
                <c:pt idx="380">
                  <c:v>6.093739506775707</c:v>
                </c:pt>
                <c:pt idx="381">
                  <c:v>6.2547354367845847</c:v>
                </c:pt>
                <c:pt idx="382">
                  <c:v>6.4525923375429279</c:v>
                </c:pt>
                <c:pt idx="383">
                  <c:v>7.2140312466227794</c:v>
                </c:pt>
                <c:pt idx="384">
                  <c:v>6.7693007140325383</c:v>
                </c:pt>
                <c:pt idx="385">
                  <c:v>6.6872167193171599</c:v>
                </c:pt>
                <c:pt idx="386">
                  <c:v>6.8811324549509596</c:v>
                </c:pt>
                <c:pt idx="387">
                  <c:v>6.4178712513506628</c:v>
                </c:pt>
                <c:pt idx="388">
                  <c:v>6.2835228121388251</c:v>
                </c:pt>
                <c:pt idx="389">
                  <c:v>6.3915652164593428</c:v>
                </c:pt>
                <c:pt idx="390">
                  <c:v>6.1636480652396557</c:v>
                </c:pt>
                <c:pt idx="391">
                  <c:v>6.1873752676663232</c:v>
                </c:pt>
                <c:pt idx="392">
                  <c:v>6.2057483029800178</c:v>
                </c:pt>
                <c:pt idx="393">
                  <c:v>6.1928434407943822</c:v>
                </c:pt>
                <c:pt idx="394">
                  <c:v>6.171871734132564</c:v>
                </c:pt>
                <c:pt idx="395">
                  <c:v>6.185574415562626</c:v>
                </c:pt>
                <c:pt idx="396">
                  <c:v>6.2393122569093507</c:v>
                </c:pt>
                <c:pt idx="397">
                  <c:v>6.1619920339731795</c:v>
                </c:pt>
                <c:pt idx="398">
                  <c:v>6.1562278299245854</c:v>
                </c:pt>
                <c:pt idx="399">
                  <c:v>6.0882809607090209</c:v>
                </c:pt>
                <c:pt idx="400">
                  <c:v>5.7079979294421888</c:v>
                </c:pt>
                <c:pt idx="401">
                  <c:v>5.8606013645183621</c:v>
                </c:pt>
                <c:pt idx="402">
                  <c:v>5.7685502107028892</c:v>
                </c:pt>
                <c:pt idx="403">
                  <c:v>6.0138403431027294</c:v>
                </c:pt>
                <c:pt idx="404">
                  <c:v>6.0675325222814473</c:v>
                </c:pt>
                <c:pt idx="405">
                  <c:v>6.1279539503036684</c:v>
                </c:pt>
                <c:pt idx="406">
                  <c:v>6.1233430951759065</c:v>
                </c:pt>
                <c:pt idx="407">
                  <c:v>6.2844897135101139</c:v>
                </c:pt>
                <c:pt idx="408">
                  <c:v>6.1348644818987976</c:v>
                </c:pt>
                <c:pt idx="409">
                  <c:v>6.122794442893797</c:v>
                </c:pt>
                <c:pt idx="410">
                  <c:v>6.0878556344865338</c:v>
                </c:pt>
                <c:pt idx="411">
                  <c:v>6.0541002775059942</c:v>
                </c:pt>
                <c:pt idx="412">
                  <c:v>6.0088872421819195</c:v>
                </c:pt>
                <c:pt idx="413">
                  <c:v>6.0182710988638446</c:v>
                </c:pt>
                <c:pt idx="414">
                  <c:v>6.0378449856903256</c:v>
                </c:pt>
                <c:pt idx="415">
                  <c:v>5.9610922100051544</c:v>
                </c:pt>
                <c:pt idx="416">
                  <c:v>6.0047873390029372</c:v>
                </c:pt>
                <c:pt idx="417">
                  <c:v>6.018543688890694</c:v>
                </c:pt>
                <c:pt idx="418">
                  <c:v>5.9916608734512442</c:v>
                </c:pt>
                <c:pt idx="419">
                  <c:v>5.9105434394812697</c:v>
                </c:pt>
                <c:pt idx="420">
                  <c:v>6.0283536947998435</c:v>
                </c:pt>
                <c:pt idx="421">
                  <c:v>6.0146668698022383</c:v>
                </c:pt>
                <c:pt idx="422">
                  <c:v>5.9540548196879426</c:v>
                </c:pt>
                <c:pt idx="423">
                  <c:v>6.1333270178077788</c:v>
                </c:pt>
                <c:pt idx="424">
                  <c:v>5.9161364049520611</c:v>
                </c:pt>
                <c:pt idx="425">
                  <c:v>5.8653125404070074</c:v>
                </c:pt>
                <c:pt idx="426">
                  <c:v>5.7877308839437411</c:v>
                </c:pt>
                <c:pt idx="427">
                  <c:v>5.8193046528651289</c:v>
                </c:pt>
                <c:pt idx="428">
                  <c:v>6.0552516335244118</c:v>
                </c:pt>
                <c:pt idx="429">
                  <c:v>6.2996562194002133</c:v>
                </c:pt>
                <c:pt idx="430">
                  <c:v>6.1977147385558888</c:v>
                </c:pt>
                <c:pt idx="431">
                  <c:v>5.8162630977328691</c:v>
                </c:pt>
                <c:pt idx="432">
                  <c:v>5.890254611761427</c:v>
                </c:pt>
                <c:pt idx="433">
                  <c:v>5.4543795609614261</c:v>
                </c:pt>
                <c:pt idx="434">
                  <c:v>5.3616193896211302</c:v>
                </c:pt>
                <c:pt idx="435">
                  <c:v>5.3513019652137332</c:v>
                </c:pt>
                <c:pt idx="436">
                  <c:v>5.2857618218035469</c:v>
                </c:pt>
                <c:pt idx="437">
                  <c:v>5.1894370964637568</c:v>
                </c:pt>
                <c:pt idx="438">
                  <c:v>5.1379616677374225</c:v>
                </c:pt>
                <c:pt idx="439">
                  <c:v>5.1561696861304149</c:v>
                </c:pt>
                <c:pt idx="440">
                  <c:v>5.1773104517812447</c:v>
                </c:pt>
                <c:pt idx="441">
                  <c:v>5.1219985162136217</c:v>
                </c:pt>
                <c:pt idx="442">
                  <c:v>5.131400597422914</c:v>
                </c:pt>
                <c:pt idx="443">
                  <c:v>5.1671591240774584</c:v>
                </c:pt>
                <c:pt idx="444">
                  <c:v>5.1756627054042781</c:v>
                </c:pt>
                <c:pt idx="445">
                  <c:v>5.1886307777576244</c:v>
                </c:pt>
                <c:pt idx="446">
                  <c:v>5.1716353410533902</c:v>
                </c:pt>
                <c:pt idx="447">
                  <c:v>5.2296860568820733</c:v>
                </c:pt>
                <c:pt idx="448">
                  <c:v>5.1249662930891615</c:v>
                </c:pt>
                <c:pt idx="449">
                  <c:v>5.077676844649047</c:v>
                </c:pt>
                <c:pt idx="450">
                  <c:v>5.0446851134096109</c:v>
                </c:pt>
                <c:pt idx="451">
                  <c:v>5.0053291387592651</c:v>
                </c:pt>
                <c:pt idx="452">
                  <c:v>5.0622850720109653</c:v>
                </c:pt>
                <c:pt idx="453">
                  <c:v>5.0415500778776314</c:v>
                </c:pt>
                <c:pt idx="454">
                  <c:v>5.0451538545624803</c:v>
                </c:pt>
                <c:pt idx="455">
                  <c:v>5.065503137212275</c:v>
                </c:pt>
                <c:pt idx="456">
                  <c:v>5.068428859831716</c:v>
                </c:pt>
                <c:pt idx="457">
                  <c:v>5.1305585493066221</c:v>
                </c:pt>
                <c:pt idx="458">
                  <c:v>5.1111117225684586</c:v>
                </c:pt>
                <c:pt idx="459">
                  <c:v>5.1659975621791041</c:v>
                </c:pt>
                <c:pt idx="460">
                  <c:v>5.1327422553894468</c:v>
                </c:pt>
                <c:pt idx="461">
                  <c:v>5.1080493974833754</c:v>
                </c:pt>
                <c:pt idx="462">
                  <c:v>5.1116517995238455</c:v>
                </c:pt>
                <c:pt idx="463">
                  <c:v>5.0816002433844396</c:v>
                </c:pt>
                <c:pt idx="464">
                  <c:v>5.0511290332934289</c:v>
                </c:pt>
                <c:pt idx="465">
                  <c:v>5.0813753837916611</c:v>
                </c:pt>
                <c:pt idx="466">
                  <c:v>5.0593063193583285</c:v>
                </c:pt>
                <c:pt idx="467">
                  <c:v>5.0453913487185327</c:v>
                </c:pt>
                <c:pt idx="468">
                  <c:v>5.054715321092484</c:v>
                </c:pt>
                <c:pt idx="469">
                  <c:v>5.0787633498410223</c:v>
                </c:pt>
                <c:pt idx="470">
                  <c:v>5.0967062690019862</c:v>
                </c:pt>
                <c:pt idx="471">
                  <c:v>5.1138276522477728</c:v>
                </c:pt>
                <c:pt idx="472">
                  <c:v>5.1128325837377906</c:v>
                </c:pt>
                <c:pt idx="473">
                  <c:v>5.1193304723096196</c:v>
                </c:pt>
                <c:pt idx="474">
                  <c:v>5.1059856896296196</c:v>
                </c:pt>
                <c:pt idx="475">
                  <c:v>5.1717335950151675</c:v>
                </c:pt>
                <c:pt idx="476">
                  <c:v>5.1225791811733581</c:v>
                </c:pt>
                <c:pt idx="477">
                  <c:v>5.0627863633023242</c:v>
                </c:pt>
                <c:pt idx="478">
                  <c:v>5.0961954854750147</c:v>
                </c:pt>
                <c:pt idx="479">
                  <c:v>5.1492116920359248</c:v>
                </c:pt>
                <c:pt idx="480">
                  <c:v>5.1244383424259663</c:v>
                </c:pt>
                <c:pt idx="481">
                  <c:v>5.0971354866397398</c:v>
                </c:pt>
                <c:pt idx="482">
                  <c:v>5.1083930537274584</c:v>
                </c:pt>
                <c:pt idx="483">
                  <c:v>5.1159402404983725</c:v>
                </c:pt>
                <c:pt idx="484">
                  <c:v>5.1308345748686941</c:v>
                </c:pt>
                <c:pt idx="485">
                  <c:v>5.1311768454181328</c:v>
                </c:pt>
                <c:pt idx="486">
                  <c:v>5.0782538049209895</c:v>
                </c:pt>
                <c:pt idx="487">
                  <c:v>5.1447061154800258</c:v>
                </c:pt>
                <c:pt idx="488">
                  <c:v>5.1020789365318322</c:v>
                </c:pt>
                <c:pt idx="489">
                  <c:v>5.0898932535272641</c:v>
                </c:pt>
                <c:pt idx="490">
                  <c:v>5.0328325575240829</c:v>
                </c:pt>
                <c:pt idx="491">
                  <c:v>4.9825283823517594</c:v>
                </c:pt>
                <c:pt idx="492">
                  <c:v>5.0168549149696506</c:v>
                </c:pt>
                <c:pt idx="493">
                  <c:v>4.968171864142767</c:v>
                </c:pt>
                <c:pt idx="494">
                  <c:v>5.067171613137762</c:v>
                </c:pt>
                <c:pt idx="495">
                  <c:v>5.0538193699225342</c:v>
                </c:pt>
                <c:pt idx="496">
                  <c:v>5.0637553139456628</c:v>
                </c:pt>
                <c:pt idx="497">
                  <c:v>5.080352912987486</c:v>
                </c:pt>
                <c:pt idx="498">
                  <c:v>5.0743253323046611</c:v>
                </c:pt>
                <c:pt idx="499">
                  <c:v>4.9968326396655556</c:v>
                </c:pt>
                <c:pt idx="500">
                  <c:v>5.0910172576720001</c:v>
                </c:pt>
                <c:pt idx="501">
                  <c:v>5.0751467032445188</c:v>
                </c:pt>
                <c:pt idx="502">
                  <c:v>5.1102695192139942</c:v>
                </c:pt>
                <c:pt idx="503">
                  <c:v>5.0737665688873435</c:v>
                </c:pt>
                <c:pt idx="504">
                  <c:v>5.0415249657088186</c:v>
                </c:pt>
                <c:pt idx="505">
                  <c:v>5.0711862600544997</c:v>
                </c:pt>
                <c:pt idx="506">
                  <c:v>5.0776996337065556</c:v>
                </c:pt>
                <c:pt idx="507">
                  <c:v>5.0829694441976523</c:v>
                </c:pt>
                <c:pt idx="508">
                  <c:v>5.0058323463946497</c:v>
                </c:pt>
                <c:pt idx="509">
                  <c:v>5.04134808023995</c:v>
                </c:pt>
                <c:pt idx="510">
                  <c:v>5.1126234284779564</c:v>
                </c:pt>
                <c:pt idx="511">
                  <c:v>4.9651009515590969</c:v>
                </c:pt>
                <c:pt idx="512">
                  <c:v>5.2044203125816582</c:v>
                </c:pt>
                <c:pt idx="513">
                  <c:v>5.2883308335497698</c:v>
                </c:pt>
                <c:pt idx="514">
                  <c:v>5.1766711838452473</c:v>
                </c:pt>
                <c:pt idx="515">
                  <c:v>5.243264523703524</c:v>
                </c:pt>
                <c:pt idx="516">
                  <c:v>5.1510883453495007</c:v>
                </c:pt>
                <c:pt idx="517">
                  <c:v>5.1771976924255503</c:v>
                </c:pt>
                <c:pt idx="518">
                  <c:v>5.1073519786912955</c:v>
                </c:pt>
                <c:pt idx="519">
                  <c:v>5.1365665024912959</c:v>
                </c:pt>
                <c:pt idx="520">
                  <c:v>5.1271441627158048</c:v>
                </c:pt>
                <c:pt idx="521">
                  <c:v>5.1788953722653428</c:v>
                </c:pt>
                <c:pt idx="522">
                  <c:v>5.1306110676151615</c:v>
                </c:pt>
                <c:pt idx="523">
                  <c:v>5.1137596724300947</c:v>
                </c:pt>
                <c:pt idx="524">
                  <c:v>4.9885338914488884</c:v>
                </c:pt>
                <c:pt idx="525">
                  <c:v>5.229137223587224</c:v>
                </c:pt>
                <c:pt idx="526">
                  <c:v>5.1398717170674395</c:v>
                </c:pt>
                <c:pt idx="527">
                  <c:v>5.2359723597938617</c:v>
                </c:pt>
                <c:pt idx="528">
                  <c:v>5.3368419254564348</c:v>
                </c:pt>
                <c:pt idx="529">
                  <c:v>5.3656160527537669</c:v>
                </c:pt>
                <c:pt idx="530">
                  <c:v>5.105048419792519</c:v>
                </c:pt>
                <c:pt idx="531">
                  <c:v>4.8620369442204092</c:v>
                </c:pt>
                <c:pt idx="532">
                  <c:v>4.7394908202888599</c:v>
                </c:pt>
                <c:pt idx="533">
                  <c:v>4.6121304741354034</c:v>
                </c:pt>
                <c:pt idx="534">
                  <c:v>4.5297869700781197</c:v>
                </c:pt>
                <c:pt idx="535">
                  <c:v>4.6062917840861912</c:v>
                </c:pt>
                <c:pt idx="536">
                  <c:v>4.4727129285708607</c:v>
                </c:pt>
                <c:pt idx="537">
                  <c:v>4.4507880983954244</c:v>
                </c:pt>
                <c:pt idx="538">
                  <c:v>4.4033737297033122</c:v>
                </c:pt>
                <c:pt idx="539">
                  <c:v>4.3992162560967651</c:v>
                </c:pt>
                <c:pt idx="540">
                  <c:v>4.4132443404902491</c:v>
                </c:pt>
                <c:pt idx="541">
                  <c:v>4.4030255452262494</c:v>
                </c:pt>
                <c:pt idx="542">
                  <c:v>4.3861762414225929</c:v>
                </c:pt>
                <c:pt idx="543">
                  <c:v>4.3381138808816031</c:v>
                </c:pt>
                <c:pt idx="544">
                  <c:v>4.3902735165103408</c:v>
                </c:pt>
                <c:pt idx="545">
                  <c:v>4.2430415344550738</c:v>
                </c:pt>
                <c:pt idx="546">
                  <c:v>4.2192660005664031</c:v>
                </c:pt>
                <c:pt idx="547">
                  <c:v>4.1864639429826065</c:v>
                </c:pt>
                <c:pt idx="548">
                  <c:v>4.2290740907228095</c:v>
                </c:pt>
                <c:pt idx="549">
                  <c:v>4.1383240805985233</c:v>
                </c:pt>
                <c:pt idx="550">
                  <c:v>4.0251399163550854</c:v>
                </c:pt>
                <c:pt idx="551">
                  <c:v>4.0854288045325049</c:v>
                </c:pt>
                <c:pt idx="552">
                  <c:v>3.9959345763087142</c:v>
                </c:pt>
                <c:pt idx="553">
                  <c:v>4.0168708430370907</c:v>
                </c:pt>
                <c:pt idx="554">
                  <c:v>4.0264451224029365</c:v>
                </c:pt>
                <c:pt idx="555">
                  <c:v>3.9782450066993937</c:v>
                </c:pt>
                <c:pt idx="556">
                  <c:v>3.9302335563578987</c:v>
                </c:pt>
                <c:pt idx="557">
                  <c:v>3.947210526153869</c:v>
                </c:pt>
                <c:pt idx="558">
                  <c:v>3.9041067688651037</c:v>
                </c:pt>
                <c:pt idx="559">
                  <c:v>3.9030409884463388</c:v>
                </c:pt>
                <c:pt idx="560">
                  <c:v>3.9085541870261054</c:v>
                </c:pt>
                <c:pt idx="561">
                  <c:v>3.9036504148546993</c:v>
                </c:pt>
                <c:pt idx="562">
                  <c:v>3.9037271678201266</c:v>
                </c:pt>
                <c:pt idx="563">
                  <c:v>3.8730114128607771</c:v>
                </c:pt>
                <c:pt idx="564">
                  <c:v>3.8634219833709857</c:v>
                </c:pt>
                <c:pt idx="565">
                  <c:v>3.8543081369392733</c:v>
                </c:pt>
                <c:pt idx="566">
                  <c:v>3.8437746438591609</c:v>
                </c:pt>
                <c:pt idx="567">
                  <c:v>3.8237697610302228</c:v>
                </c:pt>
                <c:pt idx="568">
                  <c:v>3.827239902642344</c:v>
                </c:pt>
                <c:pt idx="569">
                  <c:v>3.7405644404313958</c:v>
                </c:pt>
                <c:pt idx="570">
                  <c:v>3.7618588229108663</c:v>
                </c:pt>
                <c:pt idx="571">
                  <c:v>3.6827332090998106</c:v>
                </c:pt>
                <c:pt idx="572">
                  <c:v>3.6721748796211298</c:v>
                </c:pt>
                <c:pt idx="573">
                  <c:v>3.6626650918158483</c:v>
                </c:pt>
                <c:pt idx="574">
                  <c:v>3.6414230293095025</c:v>
                </c:pt>
                <c:pt idx="575">
                  <c:v>3.6206667544395019</c:v>
                </c:pt>
                <c:pt idx="576">
                  <c:v>3.6241064415046282</c:v>
                </c:pt>
                <c:pt idx="577">
                  <c:v>3.6204117516216492</c:v>
                </c:pt>
                <c:pt idx="578">
                  <c:v>3.6085600234679358</c:v>
                </c:pt>
                <c:pt idx="579">
                  <c:v>3.5949355733458264</c:v>
                </c:pt>
                <c:pt idx="580">
                  <c:v>3.5996126689797223</c:v>
                </c:pt>
                <c:pt idx="581">
                  <c:v>3.5693421083221466</c:v>
                </c:pt>
                <c:pt idx="582">
                  <c:v>3.5723340111967028</c:v>
                </c:pt>
                <c:pt idx="583">
                  <c:v>3.5980299091428787</c:v>
                </c:pt>
                <c:pt idx="584">
                  <c:v>3.6096628405347699</c:v>
                </c:pt>
                <c:pt idx="585">
                  <c:v>3.5704341905161852</c:v>
                </c:pt>
                <c:pt idx="586">
                  <c:v>3.5956900182451275</c:v>
                </c:pt>
                <c:pt idx="587">
                  <c:v>3.5713709369785813</c:v>
                </c:pt>
                <c:pt idx="588">
                  <c:v>3.5754725031446122</c:v>
                </c:pt>
                <c:pt idx="589">
                  <c:v>3.5746006435026119</c:v>
                </c:pt>
                <c:pt idx="590">
                  <c:v>3.5666962605916499</c:v>
                </c:pt>
                <c:pt idx="591">
                  <c:v>3.5450121075553911</c:v>
                </c:pt>
                <c:pt idx="592">
                  <c:v>3.5048199080809059</c:v>
                </c:pt>
                <c:pt idx="593">
                  <c:v>3.5024078327722727</c:v>
                </c:pt>
                <c:pt idx="594">
                  <c:v>3.4823052174942166</c:v>
                </c:pt>
                <c:pt idx="595">
                  <c:v>3.4438252600712524</c:v>
                </c:pt>
                <c:pt idx="596">
                  <c:v>3.4989983455523772</c:v>
                </c:pt>
                <c:pt idx="597">
                  <c:v>3.4862536533594857</c:v>
                </c:pt>
                <c:pt idx="598">
                  <c:v>3.4773914504357832</c:v>
                </c:pt>
                <c:pt idx="599">
                  <c:v>3.4719668944866258</c:v>
                </c:pt>
                <c:pt idx="600">
                  <c:v>3.4294505992020108</c:v>
                </c:pt>
                <c:pt idx="601">
                  <c:v>3.4478007909962058</c:v>
                </c:pt>
                <c:pt idx="602">
                  <c:v>3.4165283970475819</c:v>
                </c:pt>
                <c:pt idx="603">
                  <c:v>3.394544627065065</c:v>
                </c:pt>
                <c:pt idx="604">
                  <c:v>3.3524171559832467</c:v>
                </c:pt>
                <c:pt idx="605">
                  <c:v>3.4038875397097752</c:v>
                </c:pt>
                <c:pt idx="606">
                  <c:v>3.3155595350663387</c:v>
                </c:pt>
                <c:pt idx="607">
                  <c:v>3.368069691104254</c:v>
                </c:pt>
                <c:pt idx="608">
                  <c:v>3.2955029809711567</c:v>
                </c:pt>
                <c:pt idx="609">
                  <c:v>3.3173903900624402</c:v>
                </c:pt>
                <c:pt idx="610">
                  <c:v>3.2697794794684736</c:v>
                </c:pt>
                <c:pt idx="611">
                  <c:v>3.2232108695078292</c:v>
                </c:pt>
                <c:pt idx="612">
                  <c:v>3.2157738237751654</c:v>
                </c:pt>
                <c:pt idx="613">
                  <c:v>3.1838326897418989</c:v>
                </c:pt>
                <c:pt idx="614">
                  <c:v>3.2618478473416612</c:v>
                </c:pt>
                <c:pt idx="615">
                  <c:v>3.2967975450286851</c:v>
                </c:pt>
                <c:pt idx="616">
                  <c:v>3.2484108509912692</c:v>
                </c:pt>
                <c:pt idx="617">
                  <c:v>3.2874166509736136</c:v>
                </c:pt>
                <c:pt idx="618">
                  <c:v>3.2806373346663924</c:v>
                </c:pt>
                <c:pt idx="619">
                  <c:v>3.2254103981459648</c:v>
                </c:pt>
                <c:pt idx="620">
                  <c:v>3.2453702302969205</c:v>
                </c:pt>
                <c:pt idx="621">
                  <c:v>3.2664951160862752</c:v>
                </c:pt>
                <c:pt idx="622">
                  <c:v>3.2502675225022823</c:v>
                </c:pt>
                <c:pt idx="623">
                  <c:v>3.2748173259786886</c:v>
                </c:pt>
                <c:pt idx="624">
                  <c:v>3.1990170084624854</c:v>
                </c:pt>
                <c:pt idx="625">
                  <c:v>3.1622419384823965</c:v>
                </c:pt>
                <c:pt idx="626">
                  <c:v>3.1430281425337991</c:v>
                </c:pt>
                <c:pt idx="627">
                  <c:v>3.1233899207319493</c:v>
                </c:pt>
                <c:pt idx="628">
                  <c:v>3.1851886961362421</c:v>
                </c:pt>
                <c:pt idx="629">
                  <c:v>3.2410854826139368</c:v>
                </c:pt>
                <c:pt idx="630">
                  <c:v>3.2559560415622264</c:v>
                </c:pt>
                <c:pt idx="631">
                  <c:v>3.1718894752713704</c:v>
                </c:pt>
                <c:pt idx="632">
                  <c:v>3.227101929285455</c:v>
                </c:pt>
                <c:pt idx="633">
                  <c:v>3.2263075352138757</c:v>
                </c:pt>
                <c:pt idx="634">
                  <c:v>3.1918911328167092</c:v>
                </c:pt>
                <c:pt idx="635">
                  <c:v>3.233913528641196</c:v>
                </c:pt>
                <c:pt idx="636">
                  <c:v>3.1803436588904201</c:v>
                </c:pt>
                <c:pt idx="637">
                  <c:v>3.1826466993216647</c:v>
                </c:pt>
                <c:pt idx="638">
                  <c:v>3.3010317334999937</c:v>
                </c:pt>
                <c:pt idx="639">
                  <c:v>3.19087750960826</c:v>
                </c:pt>
                <c:pt idx="640">
                  <c:v>3.1309263583466334</c:v>
                </c:pt>
                <c:pt idx="641">
                  <c:v>3.1408280490696097</c:v>
                </c:pt>
                <c:pt idx="642">
                  <c:v>3.1263087408439505</c:v>
                </c:pt>
                <c:pt idx="643">
                  <c:v>3.149442459962434</c:v>
                </c:pt>
                <c:pt idx="644">
                  <c:v>3.1332371582033844</c:v>
                </c:pt>
                <c:pt idx="645">
                  <c:v>3.1212189102807968</c:v>
                </c:pt>
                <c:pt idx="646">
                  <c:v>3.0841047866538349</c:v>
                </c:pt>
                <c:pt idx="647">
                  <c:v>3.0885141259658688</c:v>
                </c:pt>
                <c:pt idx="648">
                  <c:v>3.1658178160766925</c:v>
                </c:pt>
                <c:pt idx="649">
                  <c:v>3.2088717137727043</c:v>
                </c:pt>
                <c:pt idx="650">
                  <c:v>3.1693367009444793</c:v>
                </c:pt>
                <c:pt idx="651">
                  <c:v>3.1901453215904856</c:v>
                </c:pt>
                <c:pt idx="652">
                  <c:v>3.0765632435307237</c:v>
                </c:pt>
                <c:pt idx="653">
                  <c:v>3.1309481779857378</c:v>
                </c:pt>
                <c:pt idx="654">
                  <c:v>3.1223023338811924</c:v>
                </c:pt>
                <c:pt idx="655">
                  <c:v>3.0867241090042001</c:v>
                </c:pt>
                <c:pt idx="656">
                  <c:v>3.1106548214627492</c:v>
                </c:pt>
                <c:pt idx="657">
                  <c:v>3.0866062848263853</c:v>
                </c:pt>
                <c:pt idx="658">
                  <c:v>3.1568632669133585</c:v>
                </c:pt>
                <c:pt idx="659">
                  <c:v>3.1509160014640489</c:v>
                </c:pt>
                <c:pt idx="660">
                  <c:v>3.0778249724468947</c:v>
                </c:pt>
                <c:pt idx="661">
                  <c:v>3.1390698469539013</c:v>
                </c:pt>
                <c:pt idx="662">
                  <c:v>2.9613220125926825</c:v>
                </c:pt>
                <c:pt idx="663">
                  <c:v>2.9662907987063072</c:v>
                </c:pt>
                <c:pt idx="664">
                  <c:v>2.949540621452885</c:v>
                </c:pt>
                <c:pt idx="665">
                  <c:v>2.938512572120235</c:v>
                </c:pt>
                <c:pt idx="666">
                  <c:v>3.0361146883390076</c:v>
                </c:pt>
                <c:pt idx="667">
                  <c:v>2.9876231201782417</c:v>
                </c:pt>
                <c:pt idx="668">
                  <c:v>3.0088108168857386</c:v>
                </c:pt>
                <c:pt idx="669">
                  <c:v>2.971859298909779</c:v>
                </c:pt>
                <c:pt idx="670">
                  <c:v>3.0247615905128873</c:v>
                </c:pt>
                <c:pt idx="671">
                  <c:v>2.9619806592008873</c:v>
                </c:pt>
                <c:pt idx="672">
                  <c:v>3.0397142684603788</c:v>
                </c:pt>
                <c:pt idx="673">
                  <c:v>2.9931124655087968</c:v>
                </c:pt>
                <c:pt idx="674">
                  <c:v>2.9985630177987974</c:v>
                </c:pt>
                <c:pt idx="675">
                  <c:v>2.9465174839998376</c:v>
                </c:pt>
                <c:pt idx="676">
                  <c:v>2.8341577766776553</c:v>
                </c:pt>
                <c:pt idx="677">
                  <c:v>2.9978106994574136</c:v>
                </c:pt>
                <c:pt idx="678">
                  <c:v>2.9271846329950635</c:v>
                </c:pt>
                <c:pt idx="679">
                  <c:v>2.9422987145804536</c:v>
                </c:pt>
                <c:pt idx="680">
                  <c:v>2.851334750250603</c:v>
                </c:pt>
                <c:pt idx="681">
                  <c:v>2.7012441821299014</c:v>
                </c:pt>
                <c:pt idx="682">
                  <c:v>2.6532315698541504</c:v>
                </c:pt>
                <c:pt idx="683">
                  <c:v>2.6285743451635595</c:v>
                </c:pt>
                <c:pt idx="684">
                  <c:v>2.6277335918765967</c:v>
                </c:pt>
                <c:pt idx="685">
                  <c:v>2.7964950065875058</c:v>
                </c:pt>
                <c:pt idx="686">
                  <c:v>2.0961859743610365</c:v>
                </c:pt>
                <c:pt idx="687">
                  <c:v>2.5768228856753224</c:v>
                </c:pt>
                <c:pt idx="688">
                  <c:v>2.5068195624015623</c:v>
                </c:pt>
                <c:pt idx="689">
                  <c:v>2.5062300625362455</c:v>
                </c:pt>
                <c:pt idx="690">
                  <c:v>2.4318897684206058</c:v>
                </c:pt>
                <c:pt idx="691">
                  <c:v>2.579671357809151</c:v>
                </c:pt>
                <c:pt idx="692">
                  <c:v>2.6177641415132706</c:v>
                </c:pt>
                <c:pt idx="693">
                  <c:v>2.5789160624852707</c:v>
                </c:pt>
                <c:pt idx="694">
                  <c:v>2.5494233568403435</c:v>
                </c:pt>
                <c:pt idx="695">
                  <c:v>2.5524872568182375</c:v>
                </c:pt>
                <c:pt idx="696">
                  <c:v>2.5629235598874684</c:v>
                </c:pt>
                <c:pt idx="697">
                  <c:v>2.497525372435796</c:v>
                </c:pt>
                <c:pt idx="698">
                  <c:v>2.519810762478969</c:v>
                </c:pt>
                <c:pt idx="699">
                  <c:v>2.5876769873751253</c:v>
                </c:pt>
                <c:pt idx="700">
                  <c:v>2.5901861569768085</c:v>
                </c:pt>
                <c:pt idx="701">
                  <c:v>2.5319287984913745</c:v>
                </c:pt>
                <c:pt idx="702">
                  <c:v>2.6476629418220501</c:v>
                </c:pt>
                <c:pt idx="703">
                  <c:v>2.6368823178870948</c:v>
                </c:pt>
                <c:pt idx="704">
                  <c:v>2.657007244322358</c:v>
                </c:pt>
                <c:pt idx="705">
                  <c:v>2.5776043793243599</c:v>
                </c:pt>
                <c:pt idx="706">
                  <c:v>2.5481678049369734</c:v>
                </c:pt>
                <c:pt idx="707">
                  <c:v>2.5686821849937793</c:v>
                </c:pt>
                <c:pt idx="708">
                  <c:v>2.476264171758598</c:v>
                </c:pt>
                <c:pt idx="709">
                  <c:v>2.5128056806845667</c:v>
                </c:pt>
                <c:pt idx="710">
                  <c:v>2.4279200358731048</c:v>
                </c:pt>
                <c:pt idx="711">
                  <c:v>2.2818910413529703</c:v>
                </c:pt>
                <c:pt idx="712">
                  <c:v>2.3184121130653041</c:v>
                </c:pt>
                <c:pt idx="713">
                  <c:v>2.4021398829285405</c:v>
                </c:pt>
                <c:pt idx="714">
                  <c:v>2.3789183793749324</c:v>
                </c:pt>
                <c:pt idx="715">
                  <c:v>2.3639525715938312</c:v>
                </c:pt>
                <c:pt idx="716">
                  <c:v>2.3825968391488268</c:v>
                </c:pt>
                <c:pt idx="717">
                  <c:v>2.3114709174782382</c:v>
                </c:pt>
                <c:pt idx="718">
                  <c:v>2.3068864109733958</c:v>
                </c:pt>
                <c:pt idx="719">
                  <c:v>2.2446360260351739</c:v>
                </c:pt>
                <c:pt idx="720">
                  <c:v>2.1976955553799358</c:v>
                </c:pt>
                <c:pt idx="721">
                  <c:v>2.2120673509602309</c:v>
                </c:pt>
                <c:pt idx="722">
                  <c:v>2.1745936505387848</c:v>
                </c:pt>
                <c:pt idx="723">
                  <c:v>2.1055287881566063</c:v>
                </c:pt>
                <c:pt idx="724">
                  <c:v>2.0640837594938493</c:v>
                </c:pt>
                <c:pt idx="725">
                  <c:v>2.1005481253648877</c:v>
                </c:pt>
                <c:pt idx="726">
                  <c:v>2.0865491491306876</c:v>
                </c:pt>
                <c:pt idx="727">
                  <c:v>2.0955474829850411</c:v>
                </c:pt>
                <c:pt idx="728">
                  <c:v>2.1293287464140285</c:v>
                </c:pt>
                <c:pt idx="729">
                  <c:v>2.0375268878712252</c:v>
                </c:pt>
                <c:pt idx="730">
                  <c:v>2.121701071604396</c:v>
                </c:pt>
                <c:pt idx="731">
                  <c:v>2.0852431652874932</c:v>
                </c:pt>
                <c:pt idx="732">
                  <c:v>2.0241571528787117</c:v>
                </c:pt>
                <c:pt idx="733">
                  <c:v>1.9732392294046657</c:v>
                </c:pt>
                <c:pt idx="734">
                  <c:v>2.0202666839335821</c:v>
                </c:pt>
                <c:pt idx="735">
                  <c:v>1.9672744631855592</c:v>
                </c:pt>
                <c:pt idx="736">
                  <c:v>1.9708232529369771</c:v>
                </c:pt>
                <c:pt idx="737">
                  <c:v>1.9798992289648032</c:v>
                </c:pt>
                <c:pt idx="738">
                  <c:v>1.9532787188545877</c:v>
                </c:pt>
                <c:pt idx="739">
                  <c:v>1.9350081082222912</c:v>
                </c:pt>
                <c:pt idx="740">
                  <c:v>1.9680634402729553</c:v>
                </c:pt>
                <c:pt idx="741">
                  <c:v>2.0103409118251037</c:v>
                </c:pt>
                <c:pt idx="742">
                  <c:v>2.0168618863787682</c:v>
                </c:pt>
                <c:pt idx="743">
                  <c:v>1.9487374684956213</c:v>
                </c:pt>
                <c:pt idx="744">
                  <c:v>1.9415731407793804</c:v>
                </c:pt>
                <c:pt idx="745">
                  <c:v>1.8305950546289913</c:v>
                </c:pt>
                <c:pt idx="746">
                  <c:v>1.8577608882445249</c:v>
                </c:pt>
                <c:pt idx="747">
                  <c:v>1.7864262937694806</c:v>
                </c:pt>
                <c:pt idx="748">
                  <c:v>1.820243128018993</c:v>
                </c:pt>
                <c:pt idx="749">
                  <c:v>1.723647059644823</c:v>
                </c:pt>
                <c:pt idx="750">
                  <c:v>1.7261566906002119</c:v>
                </c:pt>
                <c:pt idx="751">
                  <c:v>1.7874242569399963</c:v>
                </c:pt>
                <c:pt idx="752">
                  <c:v>1.7557234618048148</c:v>
                </c:pt>
                <c:pt idx="753">
                  <c:v>1.6845394152708941</c:v>
                </c:pt>
                <c:pt idx="754">
                  <c:v>1.7043020523109558</c:v>
                </c:pt>
                <c:pt idx="755">
                  <c:v>1.6926352928389221</c:v>
                </c:pt>
                <c:pt idx="756">
                  <c:v>1.6271502995055886</c:v>
                </c:pt>
                <c:pt idx="757">
                  <c:v>1.6540365386173996</c:v>
                </c:pt>
                <c:pt idx="758">
                  <c:v>1.6561556323020152</c:v>
                </c:pt>
                <c:pt idx="759">
                  <c:v>1.6723558636793348</c:v>
                </c:pt>
                <c:pt idx="760">
                  <c:v>1.6933810763397807</c:v>
                </c:pt>
                <c:pt idx="761">
                  <c:v>1.6817399325578553</c:v>
                </c:pt>
                <c:pt idx="762">
                  <c:v>1.6733167839173719</c:v>
                </c:pt>
                <c:pt idx="763">
                  <c:v>1.6562161510053584</c:v>
                </c:pt>
                <c:pt idx="764">
                  <c:v>1.6784446124640493</c:v>
                </c:pt>
                <c:pt idx="765">
                  <c:v>1.6876884449389311</c:v>
                </c:pt>
                <c:pt idx="766">
                  <c:v>1.6706460061682689</c:v>
                </c:pt>
                <c:pt idx="767">
                  <c:v>1.706628694592232</c:v>
                </c:pt>
                <c:pt idx="768">
                  <c:v>1.6818585121943448</c:v>
                </c:pt>
                <c:pt idx="769">
                  <c:v>1.6924068842230988</c:v>
                </c:pt>
                <c:pt idx="770">
                  <c:v>1.6912314111760447</c:v>
                </c:pt>
                <c:pt idx="771">
                  <c:v>1.6901463252245206</c:v>
                </c:pt>
                <c:pt idx="772">
                  <c:v>1.6054433542095812</c:v>
                </c:pt>
                <c:pt idx="773">
                  <c:v>1.6690211287343499</c:v>
                </c:pt>
                <c:pt idx="774">
                  <c:v>1.7099548472010169</c:v>
                </c:pt>
                <c:pt idx="775">
                  <c:v>1.712705169741813</c:v>
                </c:pt>
                <c:pt idx="776">
                  <c:v>1.7279956909099798</c:v>
                </c:pt>
                <c:pt idx="777">
                  <c:v>1.7105268630152779</c:v>
                </c:pt>
                <c:pt idx="778">
                  <c:v>1.6930528141333232</c:v>
                </c:pt>
                <c:pt idx="779">
                  <c:v>1.6984866722402692</c:v>
                </c:pt>
                <c:pt idx="780">
                  <c:v>1.7115842755966475</c:v>
                </c:pt>
                <c:pt idx="781">
                  <c:v>1.7283871323378994</c:v>
                </c:pt>
                <c:pt idx="782">
                  <c:v>1.7271473698696793</c:v>
                </c:pt>
                <c:pt idx="783">
                  <c:v>1.7350285253384921</c:v>
                </c:pt>
                <c:pt idx="784">
                  <c:v>1.7069788219125663</c:v>
                </c:pt>
                <c:pt idx="785">
                  <c:v>1.6767528945833761</c:v>
                </c:pt>
                <c:pt idx="786">
                  <c:v>1.7171690212725654</c:v>
                </c:pt>
                <c:pt idx="787">
                  <c:v>1.716431940966114</c:v>
                </c:pt>
                <c:pt idx="788">
                  <c:v>1.7542857832064811</c:v>
                </c:pt>
                <c:pt idx="789">
                  <c:v>1.7406419448978248</c:v>
                </c:pt>
                <c:pt idx="790">
                  <c:v>1.7582236714620436</c:v>
                </c:pt>
                <c:pt idx="791">
                  <c:v>1.7080827978025606</c:v>
                </c:pt>
                <c:pt idx="792">
                  <c:v>1.7325367483056884</c:v>
                </c:pt>
                <c:pt idx="793">
                  <c:v>1.6732901669768954</c:v>
                </c:pt>
                <c:pt idx="794">
                  <c:v>1.6222258564931917</c:v>
                </c:pt>
                <c:pt idx="795">
                  <c:v>1.5730689320753524</c:v>
                </c:pt>
                <c:pt idx="796">
                  <c:v>1.6599354184297348</c:v>
                </c:pt>
                <c:pt idx="797">
                  <c:v>1.6050174647463675</c:v>
                </c:pt>
                <c:pt idx="798">
                  <c:v>1.6471519208993626</c:v>
                </c:pt>
                <c:pt idx="799">
                  <c:v>1.7188247654801005</c:v>
                </c:pt>
                <c:pt idx="800">
                  <c:v>1.7458897310829309</c:v>
                </c:pt>
                <c:pt idx="801">
                  <c:v>1.7338556817197965</c:v>
                </c:pt>
                <c:pt idx="802">
                  <c:v>1.7476040363711267</c:v>
                </c:pt>
                <c:pt idx="803">
                  <c:v>1.7369618504862105</c:v>
                </c:pt>
                <c:pt idx="804">
                  <c:v>1.7278507643205161</c:v>
                </c:pt>
                <c:pt idx="805">
                  <c:v>1.7683932161821654</c:v>
                </c:pt>
                <c:pt idx="806">
                  <c:v>1.7739287832971917</c:v>
                </c:pt>
                <c:pt idx="807">
                  <c:v>1.7555026958376172</c:v>
                </c:pt>
                <c:pt idx="808">
                  <c:v>1.7279772553356751</c:v>
                </c:pt>
                <c:pt idx="809">
                  <c:v>1.7619844151446675</c:v>
                </c:pt>
                <c:pt idx="810">
                  <c:v>1.7483442327512768</c:v>
                </c:pt>
                <c:pt idx="811">
                  <c:v>1.7244233232512769</c:v>
                </c:pt>
                <c:pt idx="812">
                  <c:v>1.7457935656335464</c:v>
                </c:pt>
                <c:pt idx="813">
                  <c:v>1.7877981337524591</c:v>
                </c:pt>
                <c:pt idx="814">
                  <c:v>1.7935778898430472</c:v>
                </c:pt>
                <c:pt idx="815">
                  <c:v>1.7336234803595798</c:v>
                </c:pt>
                <c:pt idx="816">
                  <c:v>1.6807800405480726</c:v>
                </c:pt>
                <c:pt idx="817">
                  <c:v>1.6767779818036279</c:v>
                </c:pt>
                <c:pt idx="818">
                  <c:v>1.6889743855962209</c:v>
                </c:pt>
                <c:pt idx="819">
                  <c:v>1.6562057017951715</c:v>
                </c:pt>
                <c:pt idx="820">
                  <c:v>1.6473790045103927</c:v>
                </c:pt>
                <c:pt idx="821">
                  <c:v>1.6710001198731579</c:v>
                </c:pt>
                <c:pt idx="822">
                  <c:v>1.6346955645768018</c:v>
                </c:pt>
                <c:pt idx="823">
                  <c:v>1.7523824440832918</c:v>
                </c:pt>
                <c:pt idx="824">
                  <c:v>1.7089061206378371</c:v>
                </c:pt>
                <c:pt idx="825">
                  <c:v>1.8347892106504387</c:v>
                </c:pt>
                <c:pt idx="826">
                  <c:v>1.7329469979982401</c:v>
                </c:pt>
                <c:pt idx="827">
                  <c:v>1.7260760610059678</c:v>
                </c:pt>
                <c:pt idx="828">
                  <c:v>1.7294020500439169</c:v>
                </c:pt>
                <c:pt idx="829">
                  <c:v>1.7647005458391121</c:v>
                </c:pt>
                <c:pt idx="830">
                  <c:v>1.7632870089814101</c:v>
                </c:pt>
                <c:pt idx="831">
                  <c:v>1.7331580443429067</c:v>
                </c:pt>
                <c:pt idx="832">
                  <c:v>1.7420277330791578</c:v>
                </c:pt>
                <c:pt idx="833">
                  <c:v>1.7113326135636331</c:v>
                </c:pt>
                <c:pt idx="834">
                  <c:v>1.6942651662617225</c:v>
                </c:pt>
                <c:pt idx="835">
                  <c:v>1.6864254234807221</c:v>
                </c:pt>
                <c:pt idx="836">
                  <c:v>1.698682432013334</c:v>
                </c:pt>
                <c:pt idx="837">
                  <c:v>1.6813052993018482</c:v>
                </c:pt>
                <c:pt idx="838">
                  <c:v>1.6684182445635978</c:v>
                </c:pt>
                <c:pt idx="839">
                  <c:v>1.6921715951892622</c:v>
                </c:pt>
                <c:pt idx="840">
                  <c:v>1.7464311931287999</c:v>
                </c:pt>
                <c:pt idx="841">
                  <c:v>1.7664247515149925</c:v>
                </c:pt>
                <c:pt idx="842">
                  <c:v>1.7455900751664895</c:v>
                </c:pt>
                <c:pt idx="843">
                  <c:v>1.7593677015851006</c:v>
                </c:pt>
                <c:pt idx="844">
                  <c:v>1.7043220049733763</c:v>
                </c:pt>
                <c:pt idx="845">
                  <c:v>1.713666781027303</c:v>
                </c:pt>
                <c:pt idx="846">
                  <c:v>1.7077085286672038</c:v>
                </c:pt>
                <c:pt idx="847">
                  <c:v>1.6933380495723476</c:v>
                </c:pt>
                <c:pt idx="848">
                  <c:v>1.6865390324018625</c:v>
                </c:pt>
                <c:pt idx="849">
                  <c:v>1.6643281308100726</c:v>
                </c:pt>
                <c:pt idx="850">
                  <c:v>1.6999840436572895</c:v>
                </c:pt>
                <c:pt idx="851">
                  <c:v>1.6547010712323529</c:v>
                </c:pt>
                <c:pt idx="852">
                  <c:v>1.6416846835793701</c:v>
                </c:pt>
                <c:pt idx="853">
                  <c:v>1.6348527300957636</c:v>
                </c:pt>
                <c:pt idx="854">
                  <c:v>1.5886960984863461</c:v>
                </c:pt>
                <c:pt idx="855">
                  <c:v>1.5180616949286043</c:v>
                </c:pt>
                <c:pt idx="856">
                  <c:v>1.4713995134454014</c:v>
                </c:pt>
                <c:pt idx="857">
                  <c:v>1.6531938416665029</c:v>
                </c:pt>
                <c:pt idx="858">
                  <c:v>1.6959409034856807</c:v>
                </c:pt>
                <c:pt idx="859">
                  <c:v>1.7111213477680158</c:v>
                </c:pt>
                <c:pt idx="860">
                  <c:v>1.7225083924523312</c:v>
                </c:pt>
                <c:pt idx="861">
                  <c:v>1.688906586840957</c:v>
                </c:pt>
                <c:pt idx="862">
                  <c:v>1.681409508385354</c:v>
                </c:pt>
                <c:pt idx="863">
                  <c:v>1.7139428077432319</c:v>
                </c:pt>
                <c:pt idx="864">
                  <c:v>1.7576655471783773</c:v>
                </c:pt>
                <c:pt idx="865">
                  <c:v>1.7287327871783773</c:v>
                </c:pt>
                <c:pt idx="866">
                  <c:v>1.7276982847865108</c:v>
                </c:pt>
                <c:pt idx="867">
                  <c:v>1.6789934105818416</c:v>
                </c:pt>
                <c:pt idx="868">
                  <c:v>1.6678062601139754</c:v>
                </c:pt>
                <c:pt idx="869">
                  <c:v>1.6598800110851195</c:v>
                </c:pt>
                <c:pt idx="870">
                  <c:v>1.6408052086505402</c:v>
                </c:pt>
                <c:pt idx="871">
                  <c:v>1.648344827879197</c:v>
                </c:pt>
                <c:pt idx="872">
                  <c:v>1.5844514397908112</c:v>
                </c:pt>
                <c:pt idx="873">
                  <c:v>1.5233580300255221</c:v>
                </c:pt>
                <c:pt idx="874">
                  <c:v>1.4811907535045454</c:v>
                </c:pt>
                <c:pt idx="875">
                  <c:v>1.4936699593864957</c:v>
                </c:pt>
                <c:pt idx="876">
                  <c:v>1.4918167838657908</c:v>
                </c:pt>
                <c:pt idx="877">
                  <c:v>1.4971587217907907</c:v>
                </c:pt>
                <c:pt idx="878">
                  <c:v>1.5105763014339231</c:v>
                </c:pt>
                <c:pt idx="879">
                  <c:v>1.5021260280156559</c:v>
                </c:pt>
                <c:pt idx="880">
                  <c:v>1.492560165729601</c:v>
                </c:pt>
                <c:pt idx="881">
                  <c:v>1.4883465826240629</c:v>
                </c:pt>
                <c:pt idx="882">
                  <c:v>1.491844364976634</c:v>
                </c:pt>
                <c:pt idx="883">
                  <c:v>1.4783657368089274</c:v>
                </c:pt>
                <c:pt idx="884">
                  <c:v>1.5006016618761338</c:v>
                </c:pt>
                <c:pt idx="885">
                  <c:v>1.4987094115994577</c:v>
                </c:pt>
                <c:pt idx="886">
                  <c:v>1.5092954808713308</c:v>
                </c:pt>
                <c:pt idx="887">
                  <c:v>1.5159863867041845</c:v>
                </c:pt>
                <c:pt idx="888">
                  <c:v>1.50251176700879</c:v>
                </c:pt>
                <c:pt idx="889">
                  <c:v>1.50933388574422</c:v>
                </c:pt>
                <c:pt idx="890">
                  <c:v>1.4954718423053268</c:v>
                </c:pt>
                <c:pt idx="891">
                  <c:v>1.4961884238694723</c:v>
                </c:pt>
                <c:pt idx="892">
                  <c:v>1.492135697040593</c:v>
                </c:pt>
                <c:pt idx="893">
                  <c:v>1.4940214672699852</c:v>
                </c:pt>
                <c:pt idx="894">
                  <c:v>1.4841593931267225</c:v>
                </c:pt>
                <c:pt idx="895">
                  <c:v>1.480774130280605</c:v>
                </c:pt>
                <c:pt idx="896">
                  <c:v>1.4762252278377053</c:v>
                </c:pt>
                <c:pt idx="897">
                  <c:v>1.4743544950611023</c:v>
                </c:pt>
                <c:pt idx="898">
                  <c:v>1.5186659198031474</c:v>
                </c:pt>
                <c:pt idx="899">
                  <c:v>1.5050880745480129</c:v>
                </c:pt>
                <c:pt idx="900">
                  <c:v>1.5065879043043411</c:v>
                </c:pt>
                <c:pt idx="901">
                  <c:v>1.4930779369364486</c:v>
                </c:pt>
                <c:pt idx="902">
                  <c:v>1.4733781912157418</c:v>
                </c:pt>
                <c:pt idx="903">
                  <c:v>1.4898541949986723</c:v>
                </c:pt>
                <c:pt idx="904">
                  <c:v>1.4861666702626724</c:v>
                </c:pt>
                <c:pt idx="905">
                  <c:v>1.4837554061788623</c:v>
                </c:pt>
                <c:pt idx="906">
                  <c:v>1.5036317341031389</c:v>
                </c:pt>
                <c:pt idx="907">
                  <c:v>1.4874466589540618</c:v>
                </c:pt>
                <c:pt idx="908">
                  <c:v>1.4935966093225364</c:v>
                </c:pt>
                <c:pt idx="909">
                  <c:v>1.4876615470820542</c:v>
                </c:pt>
                <c:pt idx="910">
                  <c:v>1.4902251233607933</c:v>
                </c:pt>
                <c:pt idx="911">
                  <c:v>1.4953236418536533</c:v>
                </c:pt>
                <c:pt idx="912">
                  <c:v>1.4738984517463054</c:v>
                </c:pt>
                <c:pt idx="913">
                  <c:v>1.4791376528824745</c:v>
                </c:pt>
                <c:pt idx="914">
                  <c:v>1.4914875333749142</c:v>
                </c:pt>
                <c:pt idx="915">
                  <c:v>1.4585054857827997</c:v>
                </c:pt>
                <c:pt idx="916">
                  <c:v>1.5063175013800933</c:v>
                </c:pt>
                <c:pt idx="917">
                  <c:v>1.4890694391876222</c:v>
                </c:pt>
                <c:pt idx="918">
                  <c:v>1.4906411166922469</c:v>
                </c:pt>
                <c:pt idx="919">
                  <c:v>1.4094439000708956</c:v>
                </c:pt>
                <c:pt idx="920">
                  <c:v>1.3973330388273484</c:v>
                </c:pt>
                <c:pt idx="921">
                  <c:v>1.4084118490197133</c:v>
                </c:pt>
                <c:pt idx="922">
                  <c:v>1.3739553003316891</c:v>
                </c:pt>
                <c:pt idx="923">
                  <c:v>1.3577258017882188</c:v>
                </c:pt>
                <c:pt idx="924">
                  <c:v>1.3374281384323272</c:v>
                </c:pt>
                <c:pt idx="925">
                  <c:v>1.2912652797626671</c:v>
                </c:pt>
                <c:pt idx="926">
                  <c:v>1.2867401880981661</c:v>
                </c:pt>
                <c:pt idx="927">
                  <c:v>1.3525418338012452</c:v>
                </c:pt>
                <c:pt idx="928">
                  <c:v>1.3075999691270332</c:v>
                </c:pt>
                <c:pt idx="929">
                  <c:v>1.3911468348527962</c:v>
                </c:pt>
                <c:pt idx="930">
                  <c:v>1.3660797411002366</c:v>
                </c:pt>
                <c:pt idx="931">
                  <c:v>1.3301543056939202</c:v>
                </c:pt>
                <c:pt idx="932">
                  <c:v>1.3868976222398639</c:v>
                </c:pt>
                <c:pt idx="933">
                  <c:v>1.4520738497978769</c:v>
                </c:pt>
                <c:pt idx="934">
                  <c:v>1.4723998349353138</c:v>
                </c:pt>
                <c:pt idx="935">
                  <c:v>1.4559802566678719</c:v>
                </c:pt>
                <c:pt idx="936">
                  <c:v>1.4472291245481306</c:v>
                </c:pt>
                <c:pt idx="937">
                  <c:v>1.466993360058634</c:v>
                </c:pt>
                <c:pt idx="938">
                  <c:v>1.4830382750659439</c:v>
                </c:pt>
                <c:pt idx="939">
                  <c:v>1.521928029280903</c:v>
                </c:pt>
                <c:pt idx="940">
                  <c:v>1.4770247268046583</c:v>
                </c:pt>
                <c:pt idx="941">
                  <c:v>1.4663908242115864</c:v>
                </c:pt>
                <c:pt idx="942">
                  <c:v>1.3719362356115103</c:v>
                </c:pt>
                <c:pt idx="943">
                  <c:v>1.4288992540386596</c:v>
                </c:pt>
                <c:pt idx="944">
                  <c:v>1.375735275725829</c:v>
                </c:pt>
                <c:pt idx="945">
                  <c:v>1.2878654071738169</c:v>
                </c:pt>
                <c:pt idx="946">
                  <c:v>1.3797849091002152</c:v>
                </c:pt>
                <c:pt idx="947">
                  <c:v>1.3707740041295806</c:v>
                </c:pt>
                <c:pt idx="948">
                  <c:v>1.35961215277668</c:v>
                </c:pt>
                <c:pt idx="949">
                  <c:v>1.3212019611269759</c:v>
                </c:pt>
                <c:pt idx="950">
                  <c:v>1.3577792355022469</c:v>
                </c:pt>
                <c:pt idx="951">
                  <c:v>1.2701191762374633</c:v>
                </c:pt>
                <c:pt idx="952">
                  <c:v>1.2351781651380314</c:v>
                </c:pt>
                <c:pt idx="953">
                  <c:v>1.2190918908780313</c:v>
                </c:pt>
                <c:pt idx="954">
                  <c:v>1.2196538071991321</c:v>
                </c:pt>
                <c:pt idx="955">
                  <c:v>1.2437408797347838</c:v>
                </c:pt>
                <c:pt idx="956">
                  <c:v>1.2278022999105713</c:v>
                </c:pt>
                <c:pt idx="957">
                  <c:v>1.2331841589772954</c:v>
                </c:pt>
                <c:pt idx="958">
                  <c:v>1.1923746292044832</c:v>
                </c:pt>
                <c:pt idx="959">
                  <c:v>1.148166816687276</c:v>
                </c:pt>
                <c:pt idx="960">
                  <c:v>1.1525198464236963</c:v>
                </c:pt>
                <c:pt idx="961">
                  <c:v>1.1132904835786193</c:v>
                </c:pt>
                <c:pt idx="962">
                  <c:v>1.110610695808133</c:v>
                </c:pt>
                <c:pt idx="963">
                  <c:v>1.0630070610507139</c:v>
                </c:pt>
                <c:pt idx="964">
                  <c:v>1.0813007252698152</c:v>
                </c:pt>
                <c:pt idx="965">
                  <c:v>1.1010341789736786</c:v>
                </c:pt>
                <c:pt idx="966">
                  <c:v>1.0767030179205139</c:v>
                </c:pt>
                <c:pt idx="967">
                  <c:v>1.0239681363483408</c:v>
                </c:pt>
                <c:pt idx="968">
                  <c:v>0.97770441845254963</c:v>
                </c:pt>
                <c:pt idx="969">
                  <c:v>1.0443237865408579</c:v>
                </c:pt>
                <c:pt idx="970">
                  <c:v>1.1713749239937725</c:v>
                </c:pt>
                <c:pt idx="971">
                  <c:v>1.172102586267167</c:v>
                </c:pt>
                <c:pt idx="972">
                  <c:v>1.2772591613573574</c:v>
                </c:pt>
                <c:pt idx="973">
                  <c:v>1.1283764364818389</c:v>
                </c:pt>
                <c:pt idx="974">
                  <c:v>1.21949006636268</c:v>
                </c:pt>
                <c:pt idx="975">
                  <c:v>1.2000427480401381</c:v>
                </c:pt>
                <c:pt idx="976">
                  <c:v>1.1353705006452972</c:v>
                </c:pt>
                <c:pt idx="977">
                  <c:v>1.0230388411765408</c:v>
                </c:pt>
                <c:pt idx="978">
                  <c:v>0.97697353056243275</c:v>
                </c:pt>
                <c:pt idx="979">
                  <c:v>0.98816185642265386</c:v>
                </c:pt>
                <c:pt idx="980">
                  <c:v>0.95968178320202402</c:v>
                </c:pt>
                <c:pt idx="981">
                  <c:v>0.93620501405431666</c:v>
                </c:pt>
                <c:pt idx="982">
                  <c:v>0.96537276150426288</c:v>
                </c:pt>
                <c:pt idx="983">
                  <c:v>0.95127428083451515</c:v>
                </c:pt>
                <c:pt idx="984">
                  <c:v>0.95337852702535608</c:v>
                </c:pt>
                <c:pt idx="985">
                  <c:v>0.89776958095286385</c:v>
                </c:pt>
                <c:pt idx="986">
                  <c:v>0.92144239062515987</c:v>
                </c:pt>
                <c:pt idx="987">
                  <c:v>0.95772331648909059</c:v>
                </c:pt>
                <c:pt idx="988">
                  <c:v>0.9783729594089785</c:v>
                </c:pt>
                <c:pt idx="989">
                  <c:v>0.93345735626524939</c:v>
                </c:pt>
                <c:pt idx="990">
                  <c:v>0.89032399298284304</c:v>
                </c:pt>
                <c:pt idx="991">
                  <c:v>0.89367638427957596</c:v>
                </c:pt>
                <c:pt idx="992">
                  <c:v>0.93707646285379831</c:v>
                </c:pt>
                <c:pt idx="993">
                  <c:v>0.90354884107278766</c:v>
                </c:pt>
                <c:pt idx="994">
                  <c:v>0.88849225175926871</c:v>
                </c:pt>
                <c:pt idx="995">
                  <c:v>0.90065597121917662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44-452F-AC98-89077C6F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3083327"/>
        <c:axId val="803080831"/>
      </c:lineChart>
      <c:dateAx>
        <c:axId val="8030833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080831"/>
        <c:crosses val="autoZero"/>
        <c:auto val="1"/>
        <c:lblOffset val="100"/>
        <c:baseTimeUnit val="days"/>
      </c:dateAx>
      <c:valAx>
        <c:axId val="80308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083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FA5A44-EF4E-419A-BCCE-C46E584E869F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662C4C-B5D3-402A-B76D-33846B8A1F8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14.9</v>
      </c>
      <c r="D2" s="4">
        <f>MIN(D3:D1912)</f>
        <v>1.3586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2.2130000000000001</v>
      </c>
      <c r="C5">
        <v>2.2290000000000001</v>
      </c>
      <c r="D5">
        <v>2.1680000000000001</v>
      </c>
      <c r="E5">
        <v>2.1720000000000002</v>
      </c>
      <c r="F5">
        <v>902702.4</v>
      </c>
      <c r="G5">
        <v>2.1720000000000002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-0.86885245901639319</v>
      </c>
      <c r="Q5">
        <f t="shared" ref="Q5" si="1">F5*P5</f>
        <v>-784315.19999999984</v>
      </c>
      <c r="R5">
        <f t="shared" ref="R5" si="2">R6+Q5</f>
        <v>1661636848.0859334</v>
      </c>
      <c r="S5">
        <f t="shared" ref="S5" si="3">R5/100000</f>
        <v>16616.368480859335</v>
      </c>
      <c r="T5">
        <f t="shared" ref="T5" si="4">S5/1000</f>
        <v>16.616368480859336</v>
      </c>
    </row>
    <row r="6" spans="1:20" x14ac:dyDescent="0.25">
      <c r="A6" s="5">
        <v>44587</v>
      </c>
      <c r="B6">
        <v>2.2240000000000002</v>
      </c>
      <c r="C6">
        <v>2.3820000000000001</v>
      </c>
      <c r="D6">
        <v>2.1829999999999998</v>
      </c>
      <c r="E6">
        <v>2.2130000000000001</v>
      </c>
      <c r="F6">
        <v>19849058</v>
      </c>
      <c r="G6">
        <v>2.2130000000000001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-0.69849246231155571</v>
      </c>
      <c r="Q6">
        <f t="shared" ref="Q6" si="6">F6*P6</f>
        <v>-13864417.396984883</v>
      </c>
      <c r="R6">
        <f t="shared" ref="R6" si="7">R7+Q6</f>
        <v>1662421163.2859335</v>
      </c>
      <c r="S6">
        <f t="shared" ref="S6" si="8">R6/100000</f>
        <v>16624.211632859337</v>
      </c>
      <c r="T6">
        <f t="shared" ref="T6" si="9">S6/1000</f>
        <v>16.624211632859335</v>
      </c>
    </row>
    <row r="7" spans="1:20" x14ac:dyDescent="0.25">
      <c r="A7" s="5">
        <v>44586</v>
      </c>
      <c r="B7">
        <v>2.1989999999999998</v>
      </c>
      <c r="C7">
        <v>2.2360000000000002</v>
      </c>
      <c r="D7">
        <v>2.1579999999999999</v>
      </c>
      <c r="E7">
        <v>2.2229999999999999</v>
      </c>
      <c r="F7">
        <v>15239076.5</v>
      </c>
      <c r="G7">
        <v>2.2229999999999999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0.66666666666665908</v>
      </c>
      <c r="Q7">
        <f t="shared" ref="Q7" si="11">F7*P7</f>
        <v>10159384.333333218</v>
      </c>
      <c r="R7">
        <f t="shared" ref="R7" si="12">R8+Q7</f>
        <v>1676285580.6829183</v>
      </c>
      <c r="S7">
        <f t="shared" ref="S7" si="13">R7/100000</f>
        <v>16762.855806829182</v>
      </c>
      <c r="T7">
        <f t="shared" ref="T7" si="14">S7/1000</f>
        <v>16.762855806829183</v>
      </c>
    </row>
    <row r="8" spans="1:20" x14ac:dyDescent="0.25">
      <c r="A8" s="5">
        <v>44585</v>
      </c>
      <c r="B8">
        <v>2.2719999999999998</v>
      </c>
      <c r="C8">
        <v>2.2749999999999999</v>
      </c>
      <c r="D8">
        <v>1.99</v>
      </c>
      <c r="E8">
        <v>2.1989999999999998</v>
      </c>
      <c r="F8">
        <v>35756143.75</v>
      </c>
      <c r="G8">
        <v>2.1989999999999998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0.46666666666666606</v>
      </c>
      <c r="Q8">
        <f t="shared" ref="Q8" si="16">F8*P8</f>
        <v>16686200.416666646</v>
      </c>
      <c r="R8">
        <f t="shared" ref="R8" si="17">R9+Q8</f>
        <v>1666126196.3495851</v>
      </c>
      <c r="S8">
        <f t="shared" ref="S8" si="18">R8/100000</f>
        <v>16661.26196349585</v>
      </c>
      <c r="T8">
        <f t="shared" ref="T8" si="19">S8/1000</f>
        <v>16.66126196349585</v>
      </c>
    </row>
    <row r="9" spans="1:20" x14ac:dyDescent="0.25">
      <c r="A9" s="5">
        <v>44584</v>
      </c>
      <c r="B9">
        <v>2.222</v>
      </c>
      <c r="C9">
        <v>2.2909999999999999</v>
      </c>
      <c r="D9">
        <v>2.16</v>
      </c>
      <c r="E9">
        <v>2.2730000000000001</v>
      </c>
      <c r="F9">
        <v>20935295.899999999</v>
      </c>
      <c r="G9">
        <v>2.2730000000000001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0.72519083969465914</v>
      </c>
      <c r="Q9">
        <f t="shared" ref="Q9" si="21">F9*P9</f>
        <v>15182084.812977154</v>
      </c>
      <c r="R9">
        <f t="shared" ref="R9" si="22">R10+Q9</f>
        <v>1649439995.9329183</v>
      </c>
      <c r="S9">
        <f t="shared" ref="S9" si="23">R9/100000</f>
        <v>16494.399959329185</v>
      </c>
      <c r="T9">
        <f t="shared" ref="T9" si="24">S9/1000</f>
        <v>16.494399959329186</v>
      </c>
    </row>
    <row r="10" spans="1:20" x14ac:dyDescent="0.25">
      <c r="A10" s="5">
        <v>44583</v>
      </c>
      <c r="B10">
        <v>2.3690000000000002</v>
      </c>
      <c r="C10">
        <v>2.4319999999999999</v>
      </c>
      <c r="D10">
        <v>2.0110000000000001</v>
      </c>
      <c r="E10">
        <v>2.222</v>
      </c>
      <c r="F10">
        <v>50668604.82</v>
      </c>
      <c r="G10">
        <v>2.222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2.3752969121137537E-3</v>
      </c>
      <c r="Q10">
        <f t="shared" ref="Q10" si="26">F10*P10</f>
        <v>120352.98057005806</v>
      </c>
      <c r="R10">
        <f t="shared" ref="R10" si="27">R11+Q10</f>
        <v>1634257911.1199412</v>
      </c>
      <c r="S10">
        <f t="shared" ref="S10" si="28">R10/100000</f>
        <v>16342.579111199413</v>
      </c>
      <c r="T10">
        <f t="shared" ref="T10" si="29">S10/1000</f>
        <v>16.342579111199413</v>
      </c>
    </row>
    <row r="11" spans="1:20" x14ac:dyDescent="0.25">
      <c r="A11" s="5">
        <v>44582</v>
      </c>
      <c r="B11">
        <v>2.6339999999999999</v>
      </c>
      <c r="C11">
        <v>2.6669999999999998</v>
      </c>
      <c r="D11">
        <v>2.3010000000000002</v>
      </c>
      <c r="E11">
        <v>2.37</v>
      </c>
      <c r="F11">
        <v>31206286.800000001</v>
      </c>
      <c r="G11">
        <v>2.37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-0.62295081967213106</v>
      </c>
      <c r="Q11">
        <f t="shared" ref="Q11" si="31">F11*P11</f>
        <v>-19439981.940983605</v>
      </c>
      <c r="R11">
        <f t="shared" ref="R11" si="32">R12+Q11</f>
        <v>1634137558.1393712</v>
      </c>
      <c r="S11">
        <f t="shared" ref="S11" si="33">R11/100000</f>
        <v>16341.375581393711</v>
      </c>
      <c r="T11">
        <f t="shared" ref="T11" si="34">S11/1000</f>
        <v>16.341375581393713</v>
      </c>
    </row>
    <row r="12" spans="1:20" x14ac:dyDescent="0.25">
      <c r="A12" s="5">
        <v>44581</v>
      </c>
      <c r="B12">
        <v>2.7389999999999999</v>
      </c>
      <c r="C12">
        <v>2.8570000000000002</v>
      </c>
      <c r="D12">
        <v>2.6179999999999999</v>
      </c>
      <c r="E12">
        <v>2.6360000000000001</v>
      </c>
      <c r="F12">
        <v>11037439.800000001</v>
      </c>
      <c r="G12">
        <v>2.6360000000000001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-0.84937238493723666</v>
      </c>
      <c r="Q12">
        <f t="shared" ref="Q12" si="36">F12*P12</f>
        <v>-9374896.5665271766</v>
      </c>
      <c r="R12">
        <f t="shared" ref="R12" si="37">R13+Q12</f>
        <v>1653577540.0803547</v>
      </c>
      <c r="S12">
        <f t="shared" ref="S12" si="38">R12/100000</f>
        <v>16535.775400803548</v>
      </c>
      <c r="T12">
        <f t="shared" ref="T12" si="39">S12/1000</f>
        <v>16.535775400803548</v>
      </c>
    </row>
    <row r="13" spans="1:20" x14ac:dyDescent="0.25">
      <c r="A13" s="5">
        <v>44580</v>
      </c>
      <c r="B13">
        <v>2.8239999999999998</v>
      </c>
      <c r="C13">
        <v>2.8740000000000001</v>
      </c>
      <c r="D13">
        <v>2.7040000000000002</v>
      </c>
      <c r="E13">
        <v>2.7389999999999999</v>
      </c>
      <c r="F13">
        <v>10156560.800000001</v>
      </c>
      <c r="G13">
        <v>2.7389999999999999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-0.58823529411765041</v>
      </c>
      <c r="Q13">
        <f t="shared" ref="Q13" si="41">F13*P13</f>
        <v>-5974447.5294117993</v>
      </c>
      <c r="R13">
        <f t="shared" ref="R13" si="42">R14+Q13</f>
        <v>1662952436.6468818</v>
      </c>
      <c r="S13">
        <f t="shared" ref="S13" si="43">R13/100000</f>
        <v>16629.524366468817</v>
      </c>
      <c r="T13">
        <f t="shared" ref="T13" si="44">S13/1000</f>
        <v>16.629524366468818</v>
      </c>
    </row>
    <row r="14" spans="1:20" x14ac:dyDescent="0.25">
      <c r="A14" s="5">
        <v>44579</v>
      </c>
      <c r="B14">
        <v>2.8319999999999999</v>
      </c>
      <c r="C14">
        <v>2.9350000000000001</v>
      </c>
      <c r="D14">
        <v>2.7450000000000001</v>
      </c>
      <c r="E14">
        <v>2.8250000000000002</v>
      </c>
      <c r="F14">
        <v>12224940.4</v>
      </c>
      <c r="G14">
        <v>2.8250000000000002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-0.15789473684210428</v>
      </c>
      <c r="Q14">
        <f t="shared" ref="Q14" si="46">F14*P14</f>
        <v>-1930253.7473684091</v>
      </c>
      <c r="R14">
        <f t="shared" ref="R14" si="47">R15+Q14</f>
        <v>1668926884.1762936</v>
      </c>
      <c r="S14">
        <f t="shared" ref="S14" si="48">R14/100000</f>
        <v>16689.268841762936</v>
      </c>
      <c r="T14">
        <f t="shared" ref="T14" si="49">S14/1000</f>
        <v>16.689268841762935</v>
      </c>
    </row>
    <row r="15" spans="1:20" x14ac:dyDescent="0.25">
      <c r="A15" s="5">
        <v>44578</v>
      </c>
      <c r="B15">
        <v>2.9039999999999999</v>
      </c>
      <c r="C15">
        <v>2.9079999999999999</v>
      </c>
      <c r="D15">
        <v>2.78</v>
      </c>
      <c r="E15">
        <v>2.8330000000000002</v>
      </c>
      <c r="F15">
        <v>9321498.8000000007</v>
      </c>
      <c r="G15">
        <v>2.8330000000000002</v>
      </c>
      <c r="L15" t="s">
        <v>8</v>
      </c>
      <c r="M15" t="s">
        <v>7</v>
      </c>
      <c r="N15" t="s">
        <v>7</v>
      </c>
      <c r="P15">
        <f t="shared" ref="P15" si="50">IF(C15=D15,0,((E15-D15)-(C15-E15))/(C15-D15))</f>
        <v>-0.17187499999999478</v>
      </c>
      <c r="Q15">
        <f t="shared" ref="Q15" si="51">F15*P15</f>
        <v>-1602132.6062499515</v>
      </c>
      <c r="R15">
        <f t="shared" ref="R15" si="52">R16+Q15</f>
        <v>1670857137.9236619</v>
      </c>
      <c r="S15">
        <f t="shared" ref="S15" si="53">R15/100000</f>
        <v>16708.571379236619</v>
      </c>
      <c r="T15">
        <f t="shared" ref="T15" si="54">S15/1000</f>
        <v>16.70857137923662</v>
      </c>
    </row>
    <row r="16" spans="1:20" x14ac:dyDescent="0.25">
      <c r="A16" s="5">
        <v>44577</v>
      </c>
      <c r="B16">
        <v>2.91</v>
      </c>
      <c r="C16">
        <v>2.9489999999999998</v>
      </c>
      <c r="D16">
        <v>2.8660000000000001</v>
      </c>
      <c r="E16">
        <v>2.903</v>
      </c>
      <c r="F16">
        <v>6193511.7000000002</v>
      </c>
      <c r="G16">
        <v>2.903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-0.10843373493975814</v>
      </c>
      <c r="Q16">
        <f t="shared" ref="Q16" si="56">F16*P16</f>
        <v>-671585.60602409078</v>
      </c>
      <c r="R16">
        <f t="shared" ref="R16" si="57">R17+Q16</f>
        <v>1672459270.529912</v>
      </c>
      <c r="S16">
        <f t="shared" ref="S16" si="58">R16/100000</f>
        <v>16724.592705299121</v>
      </c>
      <c r="T16">
        <f t="shared" ref="T16" si="59">S16/1000</f>
        <v>16.72459270529912</v>
      </c>
    </row>
    <row r="17" spans="1:20" x14ac:dyDescent="0.25">
      <c r="A17" s="5">
        <v>44576</v>
      </c>
      <c r="B17">
        <v>2.8620000000000001</v>
      </c>
      <c r="C17">
        <v>2.9550000000000001</v>
      </c>
      <c r="D17">
        <v>2.8460000000000001</v>
      </c>
      <c r="E17">
        <v>2.9089999999999998</v>
      </c>
      <c r="F17">
        <v>8330676.5</v>
      </c>
      <c r="G17">
        <v>2.9089999999999998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0.15596330275228865</v>
      </c>
      <c r="Q17">
        <f t="shared" ref="Q17" si="61">F17*P17</f>
        <v>1299279.8211008764</v>
      </c>
      <c r="R17">
        <f t="shared" ref="R17" si="62">R18+Q17</f>
        <v>1673130856.135936</v>
      </c>
      <c r="S17">
        <f t="shared" ref="S17" si="63">R17/100000</f>
        <v>16731.308561359361</v>
      </c>
      <c r="T17">
        <f t="shared" ref="T17" si="64">S17/1000</f>
        <v>16.731308561359363</v>
      </c>
    </row>
    <row r="18" spans="1:20" x14ac:dyDescent="0.25">
      <c r="A18" s="5">
        <v>44575</v>
      </c>
      <c r="B18">
        <v>2.79</v>
      </c>
      <c r="C18">
        <v>2.93</v>
      </c>
      <c r="D18">
        <v>2.7709999999999999</v>
      </c>
      <c r="E18">
        <v>2.863</v>
      </c>
      <c r="F18">
        <v>11326021.4</v>
      </c>
      <c r="G18">
        <v>2.863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0.15723270440251491</v>
      </c>
      <c r="Q18">
        <f t="shared" ref="Q18" si="66">F18*P18</f>
        <v>1780820.9748427582</v>
      </c>
      <c r="R18">
        <f t="shared" ref="R18" si="67">R19+Q18</f>
        <v>1671831576.3148351</v>
      </c>
      <c r="S18">
        <f t="shared" ref="S18" si="68">R18/100000</f>
        <v>16718.315763148352</v>
      </c>
      <c r="T18">
        <f t="shared" ref="T18" si="69">S18/1000</f>
        <v>16.71831576314835</v>
      </c>
    </row>
    <row r="19" spans="1:20" x14ac:dyDescent="0.25">
      <c r="A19" s="5">
        <v>44574</v>
      </c>
      <c r="B19">
        <v>2.8849999999999998</v>
      </c>
      <c r="C19">
        <v>2.9039999999999999</v>
      </c>
      <c r="D19">
        <v>2.7829999999999999</v>
      </c>
      <c r="E19">
        <v>2.7890000000000001</v>
      </c>
      <c r="F19">
        <v>7844957.5</v>
      </c>
      <c r="G19">
        <v>2.7890000000000001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-0.90082644628098796</v>
      </c>
      <c r="Q19">
        <f t="shared" ref="Q19" si="71">F19*P19</f>
        <v>-7066945.1859503835</v>
      </c>
      <c r="R19">
        <f t="shared" ref="R19" si="72">R20+Q19</f>
        <v>1670050755.3399923</v>
      </c>
      <c r="S19">
        <f t="shared" ref="S19" si="73">R19/100000</f>
        <v>16700.507553399922</v>
      </c>
      <c r="T19">
        <f t="shared" ref="T19" si="74">S19/1000</f>
        <v>16.700507553399923</v>
      </c>
    </row>
    <row r="20" spans="1:20" x14ac:dyDescent="0.25">
      <c r="A20" s="5">
        <v>44573</v>
      </c>
      <c r="B20">
        <v>2.77</v>
      </c>
      <c r="C20">
        <v>2.911</v>
      </c>
      <c r="D20">
        <v>2.7629999999999999</v>
      </c>
      <c r="E20">
        <v>2.8860000000000001</v>
      </c>
      <c r="F20">
        <v>9900659.0999999996</v>
      </c>
      <c r="G20">
        <v>2.8860000000000001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0.66216216216216361</v>
      </c>
      <c r="Q20">
        <f t="shared" ref="Q20" si="76">F20*P20</f>
        <v>6555841.8364865007</v>
      </c>
      <c r="R20">
        <f t="shared" ref="R20" si="77">R21+Q20</f>
        <v>1677117700.5259426</v>
      </c>
      <c r="S20">
        <f t="shared" ref="S20" si="78">R20/100000</f>
        <v>16771.177005259426</v>
      </c>
      <c r="T20">
        <f t="shared" ref="T20" si="79">S20/1000</f>
        <v>16.771177005259425</v>
      </c>
    </row>
    <row r="21" spans="1:20" x14ac:dyDescent="0.25">
      <c r="A21" s="5">
        <v>44572</v>
      </c>
      <c r="B21">
        <v>2.7010000000000001</v>
      </c>
      <c r="C21">
        <v>2.802</v>
      </c>
      <c r="D21">
        <v>2.6890000000000001</v>
      </c>
      <c r="E21">
        <v>2.7690000000000001</v>
      </c>
      <c r="F21">
        <v>10212226.800000001</v>
      </c>
      <c r="G21">
        <v>2.7690000000000001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0.41592920353982438</v>
      </c>
      <c r="Q21">
        <f t="shared" ref="Q21" si="81">F21*P21</f>
        <v>4247563.3592920499</v>
      </c>
      <c r="R21">
        <f t="shared" ref="R21" si="82">R22+Q21</f>
        <v>1670561858.689456</v>
      </c>
      <c r="S21">
        <f t="shared" ref="S21" si="83">R21/100000</f>
        <v>16705.618586894561</v>
      </c>
      <c r="T21">
        <f t="shared" ref="T21" si="84">S21/1000</f>
        <v>16.705618586894563</v>
      </c>
    </row>
    <row r="22" spans="1:20" x14ac:dyDescent="0.25">
      <c r="A22" s="5">
        <v>44571</v>
      </c>
      <c r="B22">
        <v>2.7930000000000001</v>
      </c>
      <c r="C22">
        <v>2.827</v>
      </c>
      <c r="D22">
        <v>2.5760000000000001</v>
      </c>
      <c r="E22">
        <v>2.702</v>
      </c>
      <c r="F22">
        <v>18301661.5</v>
      </c>
      <c r="G22">
        <v>2.702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3.9840637450194831E-3</v>
      </c>
      <c r="Q22">
        <f t="shared" ref="Q22" si="86">F22*P22</f>
        <v>72914.986055768895</v>
      </c>
      <c r="R22">
        <f t="shared" ref="R22" si="87">R23+Q22</f>
        <v>1666314295.330164</v>
      </c>
      <c r="S22">
        <f t="shared" ref="S22" si="88">R22/100000</f>
        <v>16663.142953301638</v>
      </c>
      <c r="T22">
        <f t="shared" ref="T22" si="89">S22/1000</f>
        <v>16.663142953301637</v>
      </c>
    </row>
    <row r="23" spans="1:20" x14ac:dyDescent="0.25">
      <c r="A23" s="5">
        <v>44570</v>
      </c>
      <c r="B23">
        <v>2.7519999999999998</v>
      </c>
      <c r="C23">
        <v>2.8420000000000001</v>
      </c>
      <c r="D23">
        <v>2.738</v>
      </c>
      <c r="E23">
        <v>2.7930000000000001</v>
      </c>
      <c r="F23">
        <v>9440151.9000000004</v>
      </c>
      <c r="G23">
        <v>2.7930000000000001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5.7692307692309826E-2</v>
      </c>
      <c r="Q23">
        <f t="shared" ref="Q23" si="91">F23*P23</f>
        <v>544624.14807694324</v>
      </c>
      <c r="R23">
        <f t="shared" ref="R23" si="92">R24+Q23</f>
        <v>1666241380.3441081</v>
      </c>
      <c r="S23">
        <f t="shared" ref="S23" si="93">R23/100000</f>
        <v>16662.413803441083</v>
      </c>
      <c r="T23">
        <f t="shared" ref="T23" si="94">S23/1000</f>
        <v>16.662413803441083</v>
      </c>
    </row>
    <row r="24" spans="1:20" x14ac:dyDescent="0.25">
      <c r="A24" s="5">
        <v>44569</v>
      </c>
      <c r="B24">
        <v>2.84</v>
      </c>
      <c r="C24">
        <v>2.899</v>
      </c>
      <c r="D24">
        <v>2.6629999999999998</v>
      </c>
      <c r="E24">
        <v>2.7509999999999999</v>
      </c>
      <c r="F24">
        <v>15320263.699999999</v>
      </c>
      <c r="G24">
        <v>2.7509999999999999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-0.25423728813559321</v>
      </c>
      <c r="Q24">
        <f t="shared" ref="Q24" si="96">F24*P24</f>
        <v>-3894982.2966101691</v>
      </c>
      <c r="R24">
        <f t="shared" ref="R24" si="97">R25+Q24</f>
        <v>1665696756.1960311</v>
      </c>
      <c r="S24">
        <f t="shared" ref="S24" si="98">R24/100000</f>
        <v>16656.967561960311</v>
      </c>
      <c r="T24">
        <f t="shared" ref="T24" si="99">S24/1000</f>
        <v>16.656967561960311</v>
      </c>
    </row>
    <row r="25" spans="1:20" x14ac:dyDescent="0.25">
      <c r="A25" s="5">
        <v>44568</v>
      </c>
      <c r="B25">
        <v>2.9220000000000002</v>
      </c>
      <c r="C25">
        <v>2.93</v>
      </c>
      <c r="D25">
        <v>2.7029999999999998</v>
      </c>
      <c r="E25">
        <v>2.839</v>
      </c>
      <c r="F25">
        <v>26503195.699999999</v>
      </c>
      <c r="G25">
        <v>2.839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0.19823788546255447</v>
      </c>
      <c r="Q25">
        <f t="shared" ref="Q25" si="101">F25*P25</f>
        <v>5253937.4735682663</v>
      </c>
      <c r="R25">
        <f t="shared" ref="R25" si="102">R26+Q25</f>
        <v>1669591738.4926412</v>
      </c>
      <c r="S25">
        <f t="shared" ref="S25" si="103">R25/100000</f>
        <v>16695.917384926412</v>
      </c>
      <c r="T25">
        <f t="shared" ref="T25" si="104">S25/1000</f>
        <v>16.69591738492641</v>
      </c>
    </row>
    <row r="26" spans="1:20" x14ac:dyDescent="0.25">
      <c r="A26" s="5">
        <v>44567</v>
      </c>
      <c r="B26">
        <v>2.8969999999999998</v>
      </c>
      <c r="C26">
        <v>2.9380000000000002</v>
      </c>
      <c r="D26">
        <v>2.81</v>
      </c>
      <c r="E26">
        <v>2.9220000000000002</v>
      </c>
      <c r="F26">
        <v>15402272</v>
      </c>
      <c r="G26">
        <v>2.9220000000000002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0.75</v>
      </c>
      <c r="Q26">
        <f t="shared" ref="Q26" si="106">F26*P26</f>
        <v>11551704</v>
      </c>
      <c r="R26">
        <f t="shared" ref="R26" si="107">R27+Q26</f>
        <v>1664337801.019073</v>
      </c>
      <c r="S26">
        <f t="shared" ref="S26" si="108">R26/100000</f>
        <v>16643.378010190729</v>
      </c>
      <c r="T26">
        <f t="shared" ref="T26" si="109">S26/1000</f>
        <v>16.64337801019073</v>
      </c>
    </row>
    <row r="27" spans="1:20" x14ac:dyDescent="0.25">
      <c r="A27" s="5">
        <v>44566</v>
      </c>
      <c r="B27">
        <v>3.1680000000000001</v>
      </c>
      <c r="C27">
        <v>3.2330000000000001</v>
      </c>
      <c r="D27">
        <v>2.7770000000000001</v>
      </c>
      <c r="E27">
        <v>2.8959999999999999</v>
      </c>
      <c r="F27">
        <v>21709759.600000001</v>
      </c>
      <c r="G27">
        <v>2.8959999999999999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-0.47807017543859742</v>
      </c>
      <c r="Q27">
        <f t="shared" ref="Q27" si="111">F27*P27</f>
        <v>-10378788.580701776</v>
      </c>
      <c r="R27">
        <f t="shared" ref="R27" si="112">R28+Q27</f>
        <v>1652786097.019073</v>
      </c>
      <c r="S27">
        <f t="shared" ref="S27" si="113">R27/100000</f>
        <v>16527.86097019073</v>
      </c>
      <c r="T27">
        <f t="shared" ref="T27" si="114">S27/1000</f>
        <v>16.52786097019073</v>
      </c>
    </row>
    <row r="28" spans="1:20" x14ac:dyDescent="0.25">
      <c r="A28" s="5">
        <v>44565</v>
      </c>
      <c r="B28">
        <v>3.1949999999999998</v>
      </c>
      <c r="C28">
        <v>3.26</v>
      </c>
      <c r="D28">
        <v>3.1419999999999999</v>
      </c>
      <c r="E28">
        <v>3.1680000000000001</v>
      </c>
      <c r="F28">
        <v>11042084</v>
      </c>
      <c r="G28">
        <v>3.1680000000000001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-0.55932203389830049</v>
      </c>
      <c r="Q28">
        <f t="shared" ref="Q28" si="116">F28*P28</f>
        <v>-6176080.8813558817</v>
      </c>
      <c r="R28">
        <f t="shared" ref="R28" si="117">R29+Q28</f>
        <v>1663164885.5997748</v>
      </c>
      <c r="S28">
        <f t="shared" ref="S28" si="118">R28/100000</f>
        <v>16631.648855997748</v>
      </c>
      <c r="T28">
        <f t="shared" ref="T28" si="119">S28/1000</f>
        <v>16.631648855997749</v>
      </c>
    </row>
    <row r="29" spans="1:20" x14ac:dyDescent="0.25">
      <c r="A29" s="5">
        <v>44564</v>
      </c>
      <c r="B29">
        <v>3.2509999999999999</v>
      </c>
      <c r="C29">
        <v>3.2519999999999998</v>
      </c>
      <c r="D29">
        <v>3.1339999999999999</v>
      </c>
      <c r="E29">
        <v>3.1949999999999998</v>
      </c>
      <c r="F29">
        <v>10647472.5</v>
      </c>
      <c r="G29">
        <v>3.1949999999999998</v>
      </c>
      <c r="L29" t="s">
        <v>8</v>
      </c>
      <c r="M29" t="s">
        <v>7</v>
      </c>
      <c r="N29" t="s">
        <v>8</v>
      </c>
      <c r="P29">
        <f t="shared" ref="P29" si="120">IF(C29=D29,0,((E29-D29)-(C29-E29))/(C29-D29))</f>
        <v>3.3898305084745825E-2</v>
      </c>
      <c r="Q29">
        <f t="shared" ref="Q29" si="121">F29*P29</f>
        <v>360931.27118644136</v>
      </c>
      <c r="R29">
        <f t="shared" ref="R29" si="122">R30+Q29</f>
        <v>1669340966.4811308</v>
      </c>
      <c r="S29">
        <f t="shared" ref="S29" si="123">R29/100000</f>
        <v>16693.409664811308</v>
      </c>
      <c r="T29">
        <f t="shared" ref="T29" si="124">S29/1000</f>
        <v>16.693409664811309</v>
      </c>
    </row>
    <row r="30" spans="1:20" x14ac:dyDescent="0.25">
      <c r="A30" s="5">
        <v>44563</v>
      </c>
      <c r="B30">
        <v>3.157</v>
      </c>
      <c r="C30">
        <v>3.274</v>
      </c>
      <c r="D30">
        <v>3.133</v>
      </c>
      <c r="E30">
        <v>3.2509999999999999</v>
      </c>
      <c r="F30">
        <v>11726612.800000001</v>
      </c>
      <c r="G30">
        <v>3.2509999999999999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0.67375886524822515</v>
      </c>
      <c r="Q30">
        <f t="shared" ref="Q30" si="126">F30*P30</f>
        <v>7900909.3333333125</v>
      </c>
      <c r="R30">
        <f t="shared" ref="R30" si="127">R31+Q30</f>
        <v>1668980035.2099445</v>
      </c>
      <c r="S30">
        <f t="shared" ref="S30" si="128">R30/100000</f>
        <v>16689.800352099446</v>
      </c>
      <c r="T30">
        <f t="shared" ref="T30" si="129">S30/1000</f>
        <v>16.689800352099446</v>
      </c>
    </row>
    <row r="31" spans="1:20" x14ac:dyDescent="0.25">
      <c r="A31" s="5">
        <v>44562</v>
      </c>
      <c r="B31">
        <v>3.0329999999999999</v>
      </c>
      <c r="C31">
        <v>3.16</v>
      </c>
      <c r="D31">
        <v>3.0329999999999999</v>
      </c>
      <c r="E31">
        <v>3.157</v>
      </c>
      <c r="F31">
        <v>6970063.2999999998</v>
      </c>
      <c r="G31">
        <v>3.157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0.95275590551180933</v>
      </c>
      <c r="Q31">
        <f t="shared" ref="Q31" si="131">F31*P31</f>
        <v>6640768.9708661297</v>
      </c>
      <c r="R31">
        <f t="shared" ref="R31" si="132">R32+Q31</f>
        <v>1661079125.8766112</v>
      </c>
      <c r="S31">
        <f t="shared" ref="S31" si="133">R31/100000</f>
        <v>16610.791258766112</v>
      </c>
      <c r="T31">
        <f t="shared" ref="T31" si="134">S31/1000</f>
        <v>16.610791258766113</v>
      </c>
    </row>
    <row r="32" spans="1:20" x14ac:dyDescent="0.25">
      <c r="A32" s="5">
        <v>44561</v>
      </c>
      <c r="B32">
        <v>3.077</v>
      </c>
      <c r="C32">
        <v>3.1520000000000001</v>
      </c>
      <c r="D32">
        <v>2.976</v>
      </c>
      <c r="E32">
        <v>3.0339999999999998</v>
      </c>
      <c r="F32">
        <v>12256807.699999999</v>
      </c>
      <c r="G32">
        <v>3.0339999999999998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-0.34090909090909344</v>
      </c>
      <c r="Q32">
        <f t="shared" ref="Q32" si="136">F32*P32</f>
        <v>-4178457.1704545761</v>
      </c>
      <c r="R32">
        <f t="shared" ref="R32" si="137">R33+Q32</f>
        <v>1654438356.905745</v>
      </c>
      <c r="S32">
        <f t="shared" ref="S32" si="138">R32/100000</f>
        <v>16544.383569057449</v>
      </c>
      <c r="T32">
        <f t="shared" ref="T32" si="139">S32/1000</f>
        <v>16.544383569057448</v>
      </c>
    </row>
    <row r="33" spans="1:20" x14ac:dyDescent="0.25">
      <c r="A33" s="5">
        <v>44560</v>
      </c>
      <c r="B33">
        <v>3.0310000000000001</v>
      </c>
      <c r="C33">
        <v>3.117</v>
      </c>
      <c r="D33">
        <v>2.96</v>
      </c>
      <c r="E33">
        <v>3.077</v>
      </c>
      <c r="F33">
        <v>12119740</v>
      </c>
      <c r="G33">
        <v>3.077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0.49044585987261108</v>
      </c>
      <c r="Q33">
        <f t="shared" ref="Q33" si="141">F33*P33</f>
        <v>5944076.3057324793</v>
      </c>
      <c r="R33">
        <f t="shared" ref="R33" si="142">R34+Q33</f>
        <v>1658616814.0761995</v>
      </c>
      <c r="S33">
        <f t="shared" ref="S33" si="143">R33/100000</f>
        <v>16586.168140761994</v>
      </c>
      <c r="T33">
        <f t="shared" ref="T33" si="144">S33/1000</f>
        <v>16.586168140761995</v>
      </c>
    </row>
    <row r="34" spans="1:20" x14ac:dyDescent="0.25">
      <c r="A34" s="5">
        <v>44559</v>
      </c>
      <c r="B34">
        <v>3.129</v>
      </c>
      <c r="C34">
        <v>3.2160000000000002</v>
      </c>
      <c r="D34">
        <v>3.01</v>
      </c>
      <c r="E34">
        <v>3.0310000000000001</v>
      </c>
      <c r="F34">
        <v>15274921.699999999</v>
      </c>
      <c r="G34">
        <v>3.0310000000000001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-0.79611650485436591</v>
      </c>
      <c r="Q34">
        <f t="shared" ref="Q34" si="146">F34*P34</f>
        <v>-12160617.275728108</v>
      </c>
      <c r="R34">
        <f t="shared" ref="R34" si="147">R35+Q34</f>
        <v>1652672737.770467</v>
      </c>
      <c r="S34">
        <f t="shared" ref="S34" si="148">R34/100000</f>
        <v>16526.727377704672</v>
      </c>
      <c r="T34">
        <f t="shared" ref="T34" si="149">S34/1000</f>
        <v>16.52672737770467</v>
      </c>
    </row>
    <row r="35" spans="1:20" x14ac:dyDescent="0.25">
      <c r="A35" s="5">
        <v>44558</v>
      </c>
      <c r="B35">
        <v>3.391</v>
      </c>
      <c r="C35">
        <v>3.3919999999999999</v>
      </c>
      <c r="D35">
        <v>3.105</v>
      </c>
      <c r="E35">
        <v>3.129</v>
      </c>
      <c r="F35">
        <v>17165116.5</v>
      </c>
      <c r="G35">
        <v>3.129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-0.83275261324041794</v>
      </c>
      <c r="Q35">
        <f t="shared" ref="Q35" si="151">F35*P35</f>
        <v>-14294295.621951217</v>
      </c>
      <c r="R35">
        <f t="shared" ref="R35" si="152">R36+Q35</f>
        <v>1664833355.0461953</v>
      </c>
      <c r="S35">
        <f t="shared" ref="S35" si="153">R35/100000</f>
        <v>16648.333550461954</v>
      </c>
      <c r="T35">
        <f t="shared" ref="T35" si="154">S35/1000</f>
        <v>16.648333550461953</v>
      </c>
    </row>
    <row r="36" spans="1:20" x14ac:dyDescent="0.25">
      <c r="A36" s="5">
        <v>44557</v>
      </c>
      <c r="B36">
        <v>3.395</v>
      </c>
      <c r="C36">
        <v>3.4990000000000001</v>
      </c>
      <c r="D36">
        <v>3.3690000000000002</v>
      </c>
      <c r="E36">
        <v>3.391</v>
      </c>
      <c r="F36">
        <v>11902809.9</v>
      </c>
      <c r="G36">
        <v>3.391</v>
      </c>
      <c r="L36" t="s">
        <v>8</v>
      </c>
      <c r="M36" t="s">
        <v>7</v>
      </c>
      <c r="N36" t="s">
        <v>8</v>
      </c>
      <c r="P36">
        <f t="shared" ref="P36" si="155">IF(C36=D36,0,((E36-D36)-(C36-E36))/(C36-D36))</f>
        <v>-0.66153846153846441</v>
      </c>
      <c r="Q36">
        <f t="shared" ref="Q36" si="156">F36*P36</f>
        <v>-7874166.5492308037</v>
      </c>
      <c r="R36">
        <f t="shared" ref="R36" si="157">R37+Q36</f>
        <v>1679127650.6681464</v>
      </c>
      <c r="S36">
        <f t="shared" ref="S36" si="158">R36/100000</f>
        <v>16791.276506681465</v>
      </c>
      <c r="T36">
        <f t="shared" ref="T36" si="159">S36/1000</f>
        <v>16.791276506681463</v>
      </c>
    </row>
    <row r="37" spans="1:20" x14ac:dyDescent="0.25">
      <c r="A37" s="5">
        <v>44556</v>
      </c>
      <c r="B37">
        <v>3.407</v>
      </c>
      <c r="C37">
        <v>3.4169999999999998</v>
      </c>
      <c r="D37">
        <v>3.3140000000000001</v>
      </c>
      <c r="E37">
        <v>3.395</v>
      </c>
      <c r="F37">
        <v>10109852.1</v>
      </c>
      <c r="G37">
        <v>3.395</v>
      </c>
      <c r="L37" t="s">
        <v>8</v>
      </c>
      <c r="M37" t="s">
        <v>7</v>
      </c>
      <c r="N37" t="s">
        <v>8</v>
      </c>
      <c r="P37">
        <f t="shared" ref="P37" si="160">IF(C37=D37,0,((E37-D37)-(C37-E37))/(C37-D37))</f>
        <v>0.57281553398058549</v>
      </c>
      <c r="Q37">
        <f t="shared" ref="Q37" si="161">F37*P37</f>
        <v>5791080.3291262435</v>
      </c>
      <c r="R37">
        <f t="shared" ref="R37" si="162">R38+Q37</f>
        <v>1687001817.2173772</v>
      </c>
      <c r="S37">
        <f t="shared" ref="S37" si="163">R37/100000</f>
        <v>16870.018172173772</v>
      </c>
      <c r="T37">
        <f t="shared" ref="T37" si="164">S37/1000</f>
        <v>16.870018172173772</v>
      </c>
    </row>
    <row r="38" spans="1:20" x14ac:dyDescent="0.25">
      <c r="A38" s="5">
        <v>44555</v>
      </c>
      <c r="B38">
        <v>3.3780000000000001</v>
      </c>
      <c r="C38">
        <v>3.448</v>
      </c>
      <c r="D38">
        <v>3.355</v>
      </c>
      <c r="E38">
        <v>3.4079999999999999</v>
      </c>
      <c r="F38">
        <v>11032712.300000001</v>
      </c>
      <c r="G38">
        <v>3.4079999999999999</v>
      </c>
      <c r="L38" t="s">
        <v>8</v>
      </c>
      <c r="M38" t="s">
        <v>7</v>
      </c>
      <c r="N38" t="s">
        <v>8</v>
      </c>
      <c r="P38">
        <f t="shared" ref="P38" si="165">IF(C38=D38,0,((E38-D38)-(C38-E38))/(C38-D38))</f>
        <v>0.1397849462365581</v>
      </c>
      <c r="Q38">
        <f t="shared" ref="Q38" si="166">F38*P38</f>
        <v>1542207.0956989133</v>
      </c>
      <c r="R38">
        <f t="shared" ref="R38" si="167">R39+Q38</f>
        <v>1681210736.8882508</v>
      </c>
      <c r="S38">
        <f t="shared" ref="S38" si="168">R38/100000</f>
        <v>16812.107368882509</v>
      </c>
      <c r="T38">
        <f t="shared" ref="T38" si="169">S38/1000</f>
        <v>16.812107368882508</v>
      </c>
    </row>
    <row r="39" spans="1:20" x14ac:dyDescent="0.25">
      <c r="A39" s="5">
        <v>44554</v>
      </c>
      <c r="B39">
        <v>3.5030000000000001</v>
      </c>
      <c r="C39">
        <v>3.52</v>
      </c>
      <c r="D39">
        <v>3.351</v>
      </c>
      <c r="E39">
        <v>3.3769999999999998</v>
      </c>
      <c r="F39">
        <v>13269129.199999999</v>
      </c>
      <c r="G39">
        <v>3.3769999999999998</v>
      </c>
      <c r="L39" t="s">
        <v>8</v>
      </c>
      <c r="M39" t="s">
        <v>7</v>
      </c>
      <c r="N39" t="s">
        <v>8</v>
      </c>
      <c r="P39">
        <f t="shared" ref="P39" si="170">IF(C39=D39,0,((E39-D39)-(C39-E39))/(C39-D39))</f>
        <v>-0.69230769230769473</v>
      </c>
      <c r="Q39">
        <f t="shared" ref="Q39" si="171">F39*P39</f>
        <v>-9186320.2153846473</v>
      </c>
      <c r="R39">
        <f t="shared" ref="R39" si="172">R40+Q39</f>
        <v>1679668529.792552</v>
      </c>
      <c r="S39">
        <f t="shared" ref="S39" si="173">R39/100000</f>
        <v>16796.68529792552</v>
      </c>
      <c r="T39">
        <f t="shared" ref="T39" si="174">S39/1000</f>
        <v>16.796685297925521</v>
      </c>
    </row>
    <row r="40" spans="1:20" x14ac:dyDescent="0.25">
      <c r="A40" s="5">
        <v>44553</v>
      </c>
      <c r="B40">
        <v>3.351</v>
      </c>
      <c r="C40">
        <v>3.53</v>
      </c>
      <c r="D40">
        <v>3.306</v>
      </c>
      <c r="E40">
        <v>3.5019999999999998</v>
      </c>
      <c r="F40">
        <v>17717212.899999999</v>
      </c>
      <c r="G40">
        <v>3.5019999999999998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0.74999999999999956</v>
      </c>
      <c r="Q40">
        <f t="shared" ref="Q40" si="176">F40*P40</f>
        <v>13287909.674999991</v>
      </c>
      <c r="R40">
        <f t="shared" ref="R40" si="177">R41+Q40</f>
        <v>1688854850.0079367</v>
      </c>
      <c r="S40">
        <f t="shared" ref="S40" si="178">R40/100000</f>
        <v>16888.548500079367</v>
      </c>
      <c r="T40">
        <f t="shared" ref="T40" si="179">S40/1000</f>
        <v>16.888548500079366</v>
      </c>
    </row>
    <row r="41" spans="1:20" x14ac:dyDescent="0.25">
      <c r="A41" s="5">
        <v>44552</v>
      </c>
      <c r="B41">
        <v>3.3109999999999999</v>
      </c>
      <c r="C41">
        <v>3.4289999999999998</v>
      </c>
      <c r="D41">
        <v>3.2850000000000001</v>
      </c>
      <c r="E41">
        <v>3.35</v>
      </c>
      <c r="F41">
        <v>15543446.6</v>
      </c>
      <c r="G41">
        <v>3.35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-9.7222222222220975E-2</v>
      </c>
      <c r="Q41">
        <f t="shared" ref="Q41" si="181">F41*P41</f>
        <v>-1511168.419444425</v>
      </c>
      <c r="R41">
        <f t="shared" ref="R41" si="182">R42+Q41</f>
        <v>1675566940.3329368</v>
      </c>
      <c r="S41">
        <f t="shared" ref="S41" si="183">R41/100000</f>
        <v>16755.669403329368</v>
      </c>
      <c r="T41">
        <f t="shared" ref="T41" si="184">S41/1000</f>
        <v>16.755669403329367</v>
      </c>
    </row>
    <row r="42" spans="1:20" x14ac:dyDescent="0.25">
      <c r="A42" s="5">
        <v>44551</v>
      </c>
      <c r="B42">
        <v>3.1880000000000002</v>
      </c>
      <c r="C42">
        <v>3.36</v>
      </c>
      <c r="D42">
        <v>3.1739999999999999</v>
      </c>
      <c r="E42">
        <v>3.3109999999999999</v>
      </c>
      <c r="F42">
        <v>19249431.899999999</v>
      </c>
      <c r="G42">
        <v>3.3109999999999999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0.47311827956989305</v>
      </c>
      <c r="Q42">
        <f t="shared" ref="Q42" si="186">F42*P42</f>
        <v>9107258.103225816</v>
      </c>
      <c r="R42">
        <f t="shared" ref="R42" si="187">R43+Q42</f>
        <v>1677078108.7523811</v>
      </c>
      <c r="S42">
        <f t="shared" ref="S42" si="188">R42/100000</f>
        <v>16770.78108752381</v>
      </c>
      <c r="T42">
        <f t="shared" ref="T42" si="189">S42/1000</f>
        <v>16.770781087523812</v>
      </c>
    </row>
    <row r="43" spans="1:20" x14ac:dyDescent="0.25">
      <c r="A43" s="5">
        <v>44550</v>
      </c>
      <c r="B43">
        <v>3.1859999999999999</v>
      </c>
      <c r="C43">
        <v>3.339</v>
      </c>
      <c r="D43">
        <v>3.089</v>
      </c>
      <c r="E43">
        <v>3.1880000000000002</v>
      </c>
      <c r="F43">
        <v>25192235.399999999</v>
      </c>
      <c r="G43">
        <v>3.1880000000000002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-0.20799999999999841</v>
      </c>
      <c r="Q43">
        <f t="shared" ref="Q43" si="191">F43*P43</f>
        <v>-5239984.9631999591</v>
      </c>
      <c r="R43">
        <f t="shared" ref="R43" si="192">R44+Q43</f>
        <v>1667970850.6491554</v>
      </c>
      <c r="S43">
        <f t="shared" ref="S43" si="193">R43/100000</f>
        <v>16679.708506491555</v>
      </c>
      <c r="T43">
        <f t="shared" ref="T43" si="194">S43/1000</f>
        <v>16.679708506491554</v>
      </c>
    </row>
    <row r="44" spans="1:20" x14ac:dyDescent="0.25">
      <c r="A44" s="5">
        <v>44549</v>
      </c>
      <c r="B44">
        <v>3.242</v>
      </c>
      <c r="C44">
        <v>3.306</v>
      </c>
      <c r="D44">
        <v>3.1739999999999999</v>
      </c>
      <c r="E44">
        <v>3.1869999999999998</v>
      </c>
      <c r="F44">
        <v>13270091.9</v>
      </c>
      <c r="G44">
        <v>3.1869999999999998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-0.80303030303030476</v>
      </c>
      <c r="Q44">
        <f t="shared" ref="Q44" si="196">F44*P44</f>
        <v>-10656285.919696992</v>
      </c>
      <c r="R44">
        <f t="shared" ref="R44" si="197">R45+Q44</f>
        <v>1673210835.6123552</v>
      </c>
      <c r="S44">
        <f t="shared" ref="S44" si="198">R44/100000</f>
        <v>16732.108356123554</v>
      </c>
      <c r="T44">
        <f t="shared" ref="T44" si="199">S44/1000</f>
        <v>16.732108356123554</v>
      </c>
    </row>
    <row r="45" spans="1:20" x14ac:dyDescent="0.25">
      <c r="A45" s="5">
        <v>44548</v>
      </c>
      <c r="B45">
        <v>3.1520000000000001</v>
      </c>
      <c r="C45">
        <v>3.31</v>
      </c>
      <c r="D45">
        <v>3.1080000000000001</v>
      </c>
      <c r="E45">
        <v>3.242</v>
      </c>
      <c r="F45">
        <v>11886054.699999999</v>
      </c>
      <c r="G45">
        <v>3.242</v>
      </c>
      <c r="L45" t="s">
        <v>8</v>
      </c>
      <c r="M45" t="s">
        <v>7</v>
      </c>
      <c r="N45" t="s">
        <v>8</v>
      </c>
      <c r="P45">
        <f t="shared" ref="P45" si="200">IF(C45=D45,0,((E45-D45)-(C45-E45))/(C45-D45))</f>
        <v>0.32673267326732597</v>
      </c>
      <c r="Q45">
        <f t="shared" ref="Q45" si="201">F45*P45</f>
        <v>3883562.426732664</v>
      </c>
      <c r="R45">
        <f t="shared" ref="R45" si="202">R46+Q45</f>
        <v>1683867121.5320523</v>
      </c>
      <c r="S45">
        <f t="shared" ref="S45" si="203">R45/100000</f>
        <v>16838.671215320523</v>
      </c>
      <c r="T45">
        <f t="shared" ref="T45" si="204">S45/1000</f>
        <v>16.838671215320524</v>
      </c>
    </row>
    <row r="46" spans="1:20" x14ac:dyDescent="0.25">
      <c r="A46" s="5">
        <v>44547</v>
      </c>
      <c r="B46">
        <v>3.21</v>
      </c>
      <c r="C46">
        <v>3.2669999999999999</v>
      </c>
      <c r="D46">
        <v>3.0550000000000002</v>
      </c>
      <c r="E46">
        <v>3.1509999999999998</v>
      </c>
      <c r="F46">
        <v>19163599.600000001</v>
      </c>
      <c r="G46">
        <v>3.1509999999999998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-9.4339622641511731E-2</v>
      </c>
      <c r="Q46">
        <f t="shared" ref="Q46" si="206">F46*P46</f>
        <v>-1807886.7547170252</v>
      </c>
      <c r="R46">
        <f t="shared" ref="R46" si="207">R47+Q46</f>
        <v>1679983559.1053195</v>
      </c>
      <c r="S46">
        <f t="shared" ref="S46" si="208">R46/100000</f>
        <v>16799.835591053194</v>
      </c>
      <c r="T46">
        <f t="shared" ref="T46" si="209">S46/1000</f>
        <v>16.799835591053192</v>
      </c>
    </row>
    <row r="47" spans="1:20" x14ac:dyDescent="0.25">
      <c r="A47" s="5">
        <v>44546</v>
      </c>
      <c r="B47">
        <v>3.3639999999999999</v>
      </c>
      <c r="C47">
        <v>3.399</v>
      </c>
      <c r="D47">
        <v>3.1920000000000002</v>
      </c>
      <c r="E47">
        <v>3.21</v>
      </c>
      <c r="F47">
        <v>20983556.899999999</v>
      </c>
      <c r="G47">
        <v>3.21</v>
      </c>
      <c r="L47" t="s">
        <v>7</v>
      </c>
      <c r="M47" t="s">
        <v>7</v>
      </c>
      <c r="N47" t="s">
        <v>8</v>
      </c>
      <c r="P47">
        <f t="shared" ref="P47" si="210">IF(C47=D47,0,((E47-D47)-(C47-E47))/(C47-D47))</f>
        <v>-0.82608695652174102</v>
      </c>
      <c r="Q47">
        <f t="shared" ref="Q47" si="211">F47*P47</f>
        <v>-17334242.656521779</v>
      </c>
      <c r="R47">
        <f t="shared" ref="R47" si="212">R48+Q47</f>
        <v>1681791445.8600366</v>
      </c>
      <c r="S47">
        <f t="shared" ref="S47" si="213">R47/100000</f>
        <v>16817.914458600368</v>
      </c>
      <c r="T47">
        <f t="shared" ref="T47" si="214">S47/1000</f>
        <v>16.817914458600367</v>
      </c>
    </row>
    <row r="48" spans="1:20" x14ac:dyDescent="0.25">
      <c r="A48" s="5">
        <v>44545</v>
      </c>
      <c r="B48">
        <v>3.3530000000000002</v>
      </c>
      <c r="C48">
        <v>3.496</v>
      </c>
      <c r="D48">
        <v>3.137</v>
      </c>
      <c r="E48">
        <v>3.3620000000000001</v>
      </c>
      <c r="F48">
        <v>38319399.399999999</v>
      </c>
      <c r="G48">
        <v>3.3620000000000001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0.25348189415041839</v>
      </c>
      <c r="Q48">
        <f t="shared" ref="Q48" si="216">F48*P48</f>
        <v>9713273.9426184054</v>
      </c>
      <c r="R48">
        <f t="shared" ref="R48" si="217">R49+Q48</f>
        <v>1699125688.5165584</v>
      </c>
      <c r="S48">
        <f t="shared" ref="S48" si="218">R48/100000</f>
        <v>16991.256885165585</v>
      </c>
      <c r="T48">
        <f t="shared" ref="T48" si="219">S48/1000</f>
        <v>16.991256885165583</v>
      </c>
    </row>
    <row r="49" spans="1:20" x14ac:dyDescent="0.25">
      <c r="A49" s="5">
        <v>44544</v>
      </c>
      <c r="B49">
        <v>3.093</v>
      </c>
      <c r="C49">
        <v>3.4289999999999998</v>
      </c>
      <c r="D49">
        <v>3.0449999999999999</v>
      </c>
      <c r="E49">
        <v>3.3530000000000002</v>
      </c>
      <c r="F49">
        <v>47700931.700000003</v>
      </c>
      <c r="G49">
        <v>3.3530000000000002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0.60416666666666852</v>
      </c>
      <c r="Q49">
        <f t="shared" ref="Q49" si="221">F49*P49</f>
        <v>28819312.902083423</v>
      </c>
      <c r="R49">
        <f t="shared" ref="R49" si="222">R50+Q49</f>
        <v>1689412414.57394</v>
      </c>
      <c r="S49">
        <f t="shared" ref="S49" si="223">R49/100000</f>
        <v>16894.124145739399</v>
      </c>
      <c r="T49">
        <f t="shared" ref="T49" si="224">S49/1000</f>
        <v>16.894124145739401</v>
      </c>
    </row>
    <row r="50" spans="1:20" x14ac:dyDescent="0.25">
      <c r="A50" s="5">
        <v>44543</v>
      </c>
      <c r="B50">
        <v>3.3319999999999999</v>
      </c>
      <c r="C50">
        <v>3.4</v>
      </c>
      <c r="D50">
        <v>3.008</v>
      </c>
      <c r="E50">
        <v>3.0910000000000002</v>
      </c>
      <c r="F50">
        <v>29572184.5</v>
      </c>
      <c r="G50">
        <v>3.0910000000000002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-0.57653061224489688</v>
      </c>
      <c r="Q50">
        <f t="shared" ref="Q50" si="226">F50*P50</f>
        <v>-17049269.635204051</v>
      </c>
      <c r="R50">
        <f t="shared" ref="R50" si="227">R51+Q50</f>
        <v>1660593101.6718566</v>
      </c>
      <c r="S50">
        <f t="shared" ref="S50" si="228">R50/100000</f>
        <v>16605.931016718565</v>
      </c>
      <c r="T50">
        <f t="shared" ref="T50" si="229">S50/1000</f>
        <v>16.605931016718564</v>
      </c>
    </row>
    <row r="51" spans="1:20" x14ac:dyDescent="0.25">
      <c r="A51" s="5">
        <v>44542</v>
      </c>
      <c r="B51">
        <v>3.4129999999999998</v>
      </c>
      <c r="C51">
        <v>3.5129999999999999</v>
      </c>
      <c r="D51">
        <v>3.2370000000000001</v>
      </c>
      <c r="E51">
        <v>3.3330000000000002</v>
      </c>
      <c r="F51">
        <v>22722438.300000001</v>
      </c>
      <c r="G51">
        <v>3.3330000000000002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-0.30434782608695538</v>
      </c>
      <c r="Q51">
        <f t="shared" ref="Q51" si="231">F51*P51</f>
        <v>-6915524.6999999741</v>
      </c>
      <c r="R51">
        <f t="shared" ref="R51" si="232">R52+Q51</f>
        <v>1677642371.3070607</v>
      </c>
      <c r="S51">
        <f t="shared" ref="S51" si="233">R51/100000</f>
        <v>16776.423713070606</v>
      </c>
      <c r="T51">
        <f t="shared" ref="T51" si="234">S51/1000</f>
        <v>16.776423713070606</v>
      </c>
    </row>
    <row r="52" spans="1:20" x14ac:dyDescent="0.25">
      <c r="A52" s="5">
        <v>44541</v>
      </c>
      <c r="B52">
        <v>3.04</v>
      </c>
      <c r="C52">
        <v>3.09</v>
      </c>
      <c r="D52">
        <v>2.984</v>
      </c>
      <c r="E52">
        <v>3.0750000000000002</v>
      </c>
      <c r="F52">
        <v>1636581.8</v>
      </c>
      <c r="G52">
        <v>3.0750000000000002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0.71698113207547742</v>
      </c>
      <c r="Q52">
        <f t="shared" ref="Q52" si="236">F52*P52</f>
        <v>1173398.2716981226</v>
      </c>
      <c r="R52">
        <f t="shared" ref="R52" si="237">R53+Q52</f>
        <v>1684557896.0070608</v>
      </c>
      <c r="S52">
        <f t="shared" ref="S52" si="238">R52/100000</f>
        <v>16845.578960070608</v>
      </c>
      <c r="T52">
        <f t="shared" ref="T52" si="239">S52/1000</f>
        <v>16.845578960070608</v>
      </c>
    </row>
    <row r="53" spans="1:20" x14ac:dyDescent="0.25">
      <c r="A53" s="5">
        <v>44540</v>
      </c>
      <c r="B53">
        <v>3.218</v>
      </c>
      <c r="C53">
        <v>3.3460000000000001</v>
      </c>
      <c r="D53">
        <v>3.024</v>
      </c>
      <c r="E53">
        <v>3.04</v>
      </c>
      <c r="F53">
        <v>25603807.399999999</v>
      </c>
      <c r="G53">
        <v>3.04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-0.90062111801242228</v>
      </c>
      <c r="Q53">
        <f t="shared" ref="Q53" si="241">F53*P53</f>
        <v>-23059329.64596273</v>
      </c>
      <c r="R53">
        <f t="shared" ref="R53" si="242">R54+Q53</f>
        <v>1683384497.7353625</v>
      </c>
      <c r="S53">
        <f t="shared" ref="S53" si="243">R53/100000</f>
        <v>16833.844977353627</v>
      </c>
      <c r="T53">
        <f t="shared" ref="T53" si="244">S53/1000</f>
        <v>16.833844977353628</v>
      </c>
    </row>
    <row r="54" spans="1:20" x14ac:dyDescent="0.25">
      <c r="A54" s="5">
        <v>44539</v>
      </c>
      <c r="B54">
        <v>3.649</v>
      </c>
      <c r="C54">
        <v>3.7130000000000001</v>
      </c>
      <c r="D54">
        <v>3.2090000000000001</v>
      </c>
      <c r="E54">
        <v>3.2189999999999999</v>
      </c>
      <c r="F54">
        <v>35973568</v>
      </c>
      <c r="G54">
        <v>3.2189999999999999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-0.96031746031746112</v>
      </c>
      <c r="Q54">
        <f t="shared" ref="Q54" si="246">F54*P54</f>
        <v>-34546045.460317492</v>
      </c>
      <c r="R54">
        <f t="shared" ref="R54" si="247">R55+Q54</f>
        <v>1706443827.3813252</v>
      </c>
      <c r="S54">
        <f t="shared" ref="S54" si="248">R54/100000</f>
        <v>17064.438273813252</v>
      </c>
      <c r="T54">
        <f t="shared" ref="T54" si="249">S54/1000</f>
        <v>17.064438273813252</v>
      </c>
    </row>
    <row r="55" spans="1:20" x14ac:dyDescent="0.25">
      <c r="A55" s="5">
        <v>44538</v>
      </c>
      <c r="B55">
        <v>3.2210000000000001</v>
      </c>
      <c r="C55">
        <v>3.9009999999999998</v>
      </c>
      <c r="D55">
        <v>3.117</v>
      </c>
      <c r="E55">
        <v>3.6480000000000001</v>
      </c>
      <c r="F55">
        <v>84351484.5</v>
      </c>
      <c r="G55">
        <v>3.6480000000000001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0.35459183673469458</v>
      </c>
      <c r="Q55">
        <f t="shared" ref="Q55" si="251">F55*P55</f>
        <v>29910347.820153121</v>
      </c>
      <c r="R55">
        <f t="shared" ref="R55" si="252">R56+Q55</f>
        <v>1740989872.8416426</v>
      </c>
      <c r="S55">
        <f t="shared" ref="S55" si="253">R55/100000</f>
        <v>17409.898728416425</v>
      </c>
      <c r="T55">
        <f t="shared" ref="T55" si="254">S55/1000</f>
        <v>17.409898728416426</v>
      </c>
    </row>
    <row r="56" spans="1:20" x14ac:dyDescent="0.25">
      <c r="A56" s="5">
        <v>44537</v>
      </c>
      <c r="B56">
        <v>3.2719999999999998</v>
      </c>
      <c r="C56">
        <v>3.331</v>
      </c>
      <c r="D56">
        <v>3.173</v>
      </c>
      <c r="E56">
        <v>3.222</v>
      </c>
      <c r="F56">
        <v>19073540.399999999</v>
      </c>
      <c r="G56">
        <v>3.222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-0.3797468354430385</v>
      </c>
      <c r="Q56">
        <f t="shared" ref="Q56" si="256">F56*P56</f>
        <v>-7243116.6075949464</v>
      </c>
      <c r="R56">
        <f t="shared" ref="R56" si="257">R57+Q56</f>
        <v>1711079525.0214894</v>
      </c>
      <c r="S56">
        <f t="shared" ref="S56" si="258">R56/100000</f>
        <v>17110.795250214895</v>
      </c>
      <c r="T56">
        <f t="shared" ref="T56" si="259">S56/1000</f>
        <v>17.110795250214895</v>
      </c>
    </row>
    <row r="57" spans="1:20" x14ac:dyDescent="0.25">
      <c r="A57" s="5">
        <v>44536</v>
      </c>
      <c r="B57">
        <v>3.0329999999999999</v>
      </c>
      <c r="C57">
        <v>3.2949999999999999</v>
      </c>
      <c r="D57">
        <v>2.8079999999999998</v>
      </c>
      <c r="E57">
        <v>3.2730000000000001</v>
      </c>
      <c r="F57">
        <v>52104470.399999999</v>
      </c>
      <c r="G57">
        <v>3.2730000000000001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0.90965092402464154</v>
      </c>
      <c r="Q57">
        <f t="shared" ref="Q57" si="261">F57*P57</f>
        <v>47396879.645174585</v>
      </c>
      <c r="R57">
        <f t="shared" ref="R57" si="262">R58+Q57</f>
        <v>1718322641.6290843</v>
      </c>
      <c r="S57">
        <f t="shared" ref="S57" si="263">R57/100000</f>
        <v>17183.226416290843</v>
      </c>
      <c r="T57">
        <f t="shared" ref="T57" si="264">S57/1000</f>
        <v>17.183226416290843</v>
      </c>
    </row>
    <row r="58" spans="1:20" x14ac:dyDescent="0.25">
      <c r="A58" s="5">
        <v>44535</v>
      </c>
      <c r="B58">
        <v>3.1440000000000001</v>
      </c>
      <c r="C58">
        <v>3.1890000000000001</v>
      </c>
      <c r="D58">
        <v>2.8570000000000002</v>
      </c>
      <c r="E58">
        <v>3.032</v>
      </c>
      <c r="F58">
        <v>28738640.600000001</v>
      </c>
      <c r="G58">
        <v>3.032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5.4216867469878922E-2</v>
      </c>
      <c r="Q58">
        <f t="shared" ref="Q58" si="266">F58*P58</f>
        <v>1558119.0686746817</v>
      </c>
      <c r="R58">
        <f t="shared" ref="R58" si="267">R59+Q58</f>
        <v>1670925761.9839098</v>
      </c>
      <c r="S58">
        <f t="shared" ref="S58" si="268">R58/100000</f>
        <v>16709.2576198391</v>
      </c>
      <c r="T58">
        <f t="shared" ref="T58" si="269">S58/1000</f>
        <v>16.7092576198391</v>
      </c>
    </row>
    <row r="59" spans="1:20" x14ac:dyDescent="0.25">
      <c r="A59" s="5">
        <v>44534</v>
      </c>
      <c r="B59">
        <v>3.7909999999999999</v>
      </c>
      <c r="C59">
        <v>3.8050000000000002</v>
      </c>
      <c r="D59">
        <v>2.3910999999999998</v>
      </c>
      <c r="E59">
        <v>3.1440000000000001</v>
      </c>
      <c r="F59">
        <v>71759201.730000004</v>
      </c>
      <c r="G59">
        <v>3.1440000000000001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6.4997524577410204E-2</v>
      </c>
      <c r="Q59">
        <f t="shared" ref="Q59" si="271">F59*P59</f>
        <v>4664170.4781010123</v>
      </c>
      <c r="R59">
        <f t="shared" ref="R59" si="272">R60+Q59</f>
        <v>1669367642.9152353</v>
      </c>
      <c r="S59">
        <f t="shared" ref="S59" si="273">R59/100000</f>
        <v>16693.676429152354</v>
      </c>
      <c r="T59">
        <f t="shared" ref="T59" si="274">S59/1000</f>
        <v>16.693676429152355</v>
      </c>
    </row>
    <row r="60" spans="1:20" x14ac:dyDescent="0.25">
      <c r="A60" s="5">
        <v>44533</v>
      </c>
      <c r="B60">
        <v>3.964</v>
      </c>
      <c r="C60">
        <v>4.1689999999999996</v>
      </c>
      <c r="D60">
        <v>3.665</v>
      </c>
      <c r="E60">
        <v>3.7909999999999999</v>
      </c>
      <c r="F60">
        <v>21042000.5</v>
      </c>
      <c r="G60">
        <v>3.7909999999999999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</v>
      </c>
      <c r="Q60">
        <f t="shared" ref="Q60" si="276">F60*P60</f>
        <v>-10521000.25</v>
      </c>
      <c r="R60">
        <f t="shared" ref="R60" si="277">R61+Q60</f>
        <v>1664703472.4371343</v>
      </c>
      <c r="S60">
        <f t="shared" ref="S60" si="278">R60/100000</f>
        <v>16647.034724371344</v>
      </c>
      <c r="T60">
        <f t="shared" ref="T60" si="279">S60/1000</f>
        <v>16.647034724371345</v>
      </c>
    </row>
    <row r="61" spans="1:20" x14ac:dyDescent="0.25">
      <c r="A61" s="5">
        <v>44532</v>
      </c>
      <c r="B61">
        <v>3.9910000000000001</v>
      </c>
      <c r="C61">
        <v>4.0069999999999997</v>
      </c>
      <c r="D61">
        <v>3.855</v>
      </c>
      <c r="E61">
        <v>3.964</v>
      </c>
      <c r="F61">
        <v>10970330.6</v>
      </c>
      <c r="G61">
        <v>3.964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0.43421052631579221</v>
      </c>
      <c r="Q61">
        <f t="shared" ref="Q61" si="281">F61*P61</f>
        <v>4763433.0236842399</v>
      </c>
      <c r="R61">
        <f t="shared" ref="R61" si="282">R62+Q61</f>
        <v>1675224472.6871343</v>
      </c>
      <c r="S61">
        <f t="shared" ref="S61" si="283">R61/100000</f>
        <v>16752.244726871344</v>
      </c>
      <c r="T61">
        <f t="shared" ref="T61" si="284">S61/1000</f>
        <v>16.752244726871343</v>
      </c>
    </row>
    <row r="62" spans="1:20" x14ac:dyDescent="0.25">
      <c r="A62" s="5">
        <v>44531</v>
      </c>
      <c r="B62">
        <v>4.0039999999999996</v>
      </c>
      <c r="C62">
        <v>4.117</v>
      </c>
      <c r="D62">
        <v>3.9340000000000002</v>
      </c>
      <c r="E62">
        <v>3.9910000000000001</v>
      </c>
      <c r="F62">
        <v>12998367</v>
      </c>
      <c r="G62">
        <v>3.9910000000000001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-0.37704918032786894</v>
      </c>
      <c r="Q62">
        <f t="shared" ref="Q62" si="286">F62*P62</f>
        <v>-4901023.6229508212</v>
      </c>
      <c r="R62">
        <f t="shared" ref="R62" si="287">R63+Q62</f>
        <v>1670461039.66345</v>
      </c>
      <c r="S62">
        <f t="shared" ref="S62" si="288">R62/100000</f>
        <v>16704.6103966345</v>
      </c>
      <c r="T62">
        <f t="shared" ref="T62" si="289">S62/1000</f>
        <v>16.7046103966345</v>
      </c>
    </row>
    <row r="63" spans="1:20" x14ac:dyDescent="0.25">
      <c r="A63" s="5">
        <v>44530</v>
      </c>
      <c r="B63">
        <v>4.0019999999999998</v>
      </c>
      <c r="C63">
        <v>4.1719999999999997</v>
      </c>
      <c r="D63">
        <v>3.8769999999999998</v>
      </c>
      <c r="E63">
        <v>4.0039999999999996</v>
      </c>
      <c r="F63">
        <v>20989540.699999999</v>
      </c>
      <c r="G63">
        <v>4.0039999999999996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-0.13898305084745891</v>
      </c>
      <c r="Q63">
        <f t="shared" ref="Q63" si="291">F63*P63</f>
        <v>-2917190.4023729083</v>
      </c>
      <c r="R63">
        <f t="shared" ref="R63" si="292">R64+Q63</f>
        <v>1675362063.2864008</v>
      </c>
      <c r="S63">
        <f t="shared" ref="S63" si="293">R63/100000</f>
        <v>16753.620632864007</v>
      </c>
      <c r="T63">
        <f t="shared" ref="T63" si="294">S63/1000</f>
        <v>16.753620632864006</v>
      </c>
    </row>
    <row r="64" spans="1:20" x14ac:dyDescent="0.25">
      <c r="A64" s="5">
        <v>44529</v>
      </c>
      <c r="B64">
        <v>3.9660000000000002</v>
      </c>
      <c r="C64">
        <v>4.0449999999999999</v>
      </c>
      <c r="D64">
        <v>3.9009999999999998</v>
      </c>
      <c r="E64">
        <v>4.0019999999999998</v>
      </c>
      <c r="F64">
        <v>13328084.1</v>
      </c>
      <c r="G64">
        <v>4.0019999999999998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0.40277777777777624</v>
      </c>
      <c r="Q64">
        <f t="shared" ref="Q64" si="296">F64*P64</f>
        <v>5368256.0958333127</v>
      </c>
      <c r="R64">
        <f t="shared" ref="R64" si="297">R65+Q64</f>
        <v>1678279253.6887736</v>
      </c>
      <c r="S64">
        <f t="shared" ref="S64" si="298">R64/100000</f>
        <v>16782.792536887737</v>
      </c>
      <c r="T64">
        <f t="shared" ref="T64" si="299">S64/1000</f>
        <v>16.782792536887737</v>
      </c>
    </row>
    <row r="65" spans="1:20" x14ac:dyDescent="0.25">
      <c r="A65" s="5">
        <v>44528</v>
      </c>
      <c r="B65">
        <v>3.8969999999999998</v>
      </c>
      <c r="C65">
        <v>3.97</v>
      </c>
      <c r="D65">
        <v>3.66</v>
      </c>
      <c r="E65">
        <v>3.9660000000000002</v>
      </c>
      <c r="F65">
        <v>18037930.699999999</v>
      </c>
      <c r="G65">
        <v>3.9660000000000002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0.97419354838709671</v>
      </c>
      <c r="Q65">
        <f t="shared" ref="Q65" si="301">F65*P65</f>
        <v>17572435.714193545</v>
      </c>
      <c r="R65">
        <f t="shared" ref="R65" si="302">R66+Q65</f>
        <v>1672910997.5929403</v>
      </c>
      <c r="S65">
        <f t="shared" ref="S65" si="303">R65/100000</f>
        <v>16729.109975929405</v>
      </c>
      <c r="T65">
        <f t="shared" ref="T65" si="304">S65/1000</f>
        <v>16.729109975929404</v>
      </c>
    </row>
    <row r="66" spans="1:20" x14ac:dyDescent="0.25">
      <c r="A66" s="5">
        <v>44527</v>
      </c>
      <c r="B66">
        <v>3.851</v>
      </c>
      <c r="C66">
        <v>3.9769999999999999</v>
      </c>
      <c r="D66">
        <v>3.831</v>
      </c>
      <c r="E66">
        <v>3.8980000000000001</v>
      </c>
      <c r="F66">
        <v>14378274.6</v>
      </c>
      <c r="G66">
        <v>3.8980000000000001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-8.2191780821914889E-2</v>
      </c>
      <c r="Q66">
        <f t="shared" ref="Q66" si="306">F66*P66</f>
        <v>-1181775.9945205059</v>
      </c>
      <c r="R66">
        <f t="shared" ref="R66" si="307">R67+Q66</f>
        <v>1655338561.8787467</v>
      </c>
      <c r="S66">
        <f t="shared" ref="S66" si="308">R66/100000</f>
        <v>16553.385618787466</v>
      </c>
      <c r="T66">
        <f t="shared" ref="T66" si="309">S66/1000</f>
        <v>16.553385618787466</v>
      </c>
    </row>
    <row r="67" spans="1:20" x14ac:dyDescent="0.25">
      <c r="A67" s="5">
        <v>44526</v>
      </c>
      <c r="B67">
        <v>4.2519999999999998</v>
      </c>
      <c r="C67">
        <v>4.2670000000000003</v>
      </c>
      <c r="D67">
        <v>3.7629999999999999</v>
      </c>
      <c r="E67">
        <v>3.8519999999999999</v>
      </c>
      <c r="F67">
        <v>29782044.800000001</v>
      </c>
      <c r="G67">
        <v>3.8519999999999999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-0.6468253968253973</v>
      </c>
      <c r="Q67">
        <f t="shared" ref="Q67" si="311">F67*P67</f>
        <v>-19263782.94603176</v>
      </c>
      <c r="R67">
        <f t="shared" ref="R67" si="312">R68+Q67</f>
        <v>1656520337.8732672</v>
      </c>
      <c r="S67">
        <f t="shared" ref="S67" si="313">R67/100000</f>
        <v>16565.203378732673</v>
      </c>
      <c r="T67">
        <f t="shared" ref="T67" si="314">S67/1000</f>
        <v>16.565203378732672</v>
      </c>
    </row>
    <row r="68" spans="1:20" x14ac:dyDescent="0.25">
      <c r="A68" s="5">
        <v>44525</v>
      </c>
      <c r="B68">
        <v>4.12</v>
      </c>
      <c r="C68">
        <v>4.3140000000000001</v>
      </c>
      <c r="D68">
        <v>4.0940000000000003</v>
      </c>
      <c r="E68">
        <v>4.2510000000000003</v>
      </c>
      <c r="F68">
        <v>15019079.5</v>
      </c>
      <c r="G68">
        <v>4.2510000000000003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0.42727272727272914</v>
      </c>
      <c r="Q68">
        <f t="shared" ref="Q68" si="316">F68*P68</f>
        <v>6417243.0590909375</v>
      </c>
      <c r="R68">
        <f t="shared" ref="R68" si="317">R69+Q68</f>
        <v>1675784120.819299</v>
      </c>
      <c r="S68">
        <f t="shared" ref="S68" si="318">R68/100000</f>
        <v>16757.841208192989</v>
      </c>
      <c r="T68">
        <f t="shared" ref="T68" si="319">S68/1000</f>
        <v>16.757841208192989</v>
      </c>
    </row>
    <row r="69" spans="1:20" x14ac:dyDescent="0.25">
      <c r="A69" s="5">
        <v>44524</v>
      </c>
      <c r="B69">
        <v>4.2320000000000002</v>
      </c>
      <c r="C69">
        <v>4.26</v>
      </c>
      <c r="D69">
        <v>4.1150000000000002</v>
      </c>
      <c r="E69">
        <v>4.1760000000000002</v>
      </c>
      <c r="F69">
        <v>4954444.7</v>
      </c>
      <c r="G69">
        <v>4.1760000000000002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-0.15862068965517073</v>
      </c>
      <c r="Q69">
        <f t="shared" ref="Q69" si="321">F69*P69</f>
        <v>-785877.43517240544</v>
      </c>
      <c r="R69">
        <f t="shared" ref="R69" si="322">R70+Q69</f>
        <v>1669366877.7602081</v>
      </c>
      <c r="S69">
        <f t="shared" ref="S69" si="323">R69/100000</f>
        <v>16693.668777602081</v>
      </c>
      <c r="T69">
        <f t="shared" ref="T69" si="324">S69/1000</f>
        <v>16.693668777602081</v>
      </c>
    </row>
    <row r="70" spans="1:20" x14ac:dyDescent="0.25">
      <c r="A70" s="5">
        <v>44523</v>
      </c>
      <c r="B70">
        <v>4.1349999999999998</v>
      </c>
      <c r="C70">
        <v>4.25</v>
      </c>
      <c r="D70">
        <v>4.0540000000000003</v>
      </c>
      <c r="E70">
        <v>4.2320000000000002</v>
      </c>
      <c r="F70">
        <v>19767828.600000001</v>
      </c>
      <c r="G70">
        <v>4.2320000000000002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0.81632653061224669</v>
      </c>
      <c r="Q70">
        <f t="shared" ref="Q70" si="326">F70*P70</f>
        <v>16137002.938775547</v>
      </c>
      <c r="R70">
        <f t="shared" ref="R70" si="327">R71+Q70</f>
        <v>1670152755.1953804</v>
      </c>
      <c r="S70">
        <f t="shared" ref="S70" si="328">R70/100000</f>
        <v>16701.527551953805</v>
      </c>
      <c r="T70">
        <f t="shared" ref="T70" si="329">S70/1000</f>
        <v>16.701527551953806</v>
      </c>
    </row>
    <row r="71" spans="1:20" x14ac:dyDescent="0.25">
      <c r="A71" s="5">
        <v>44522</v>
      </c>
      <c r="B71">
        <v>4.2439999999999998</v>
      </c>
      <c r="C71">
        <v>4.2869999999999999</v>
      </c>
      <c r="D71">
        <v>4.0519999999999996</v>
      </c>
      <c r="E71">
        <v>4.1340000000000003</v>
      </c>
      <c r="F71">
        <v>19316813.5</v>
      </c>
      <c r="G71">
        <v>4.1340000000000003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-0.30212765957446275</v>
      </c>
      <c r="Q71">
        <f t="shared" ref="Q71" si="331">F71*P71</f>
        <v>-5836143.6531913867</v>
      </c>
      <c r="R71">
        <f t="shared" ref="R71" si="332">R72+Q71</f>
        <v>1654015752.2566049</v>
      </c>
      <c r="S71">
        <f t="shared" ref="S71" si="333">R71/100000</f>
        <v>16540.157522566049</v>
      </c>
      <c r="T71">
        <f t="shared" ref="T71" si="334">S71/1000</f>
        <v>16.540157522566048</v>
      </c>
    </row>
    <row r="72" spans="1:20" x14ac:dyDescent="0.25">
      <c r="A72" s="5">
        <v>44521</v>
      </c>
      <c r="B72">
        <v>4.34</v>
      </c>
      <c r="C72">
        <v>4.3810000000000002</v>
      </c>
      <c r="D72">
        <v>4.2300000000000004</v>
      </c>
      <c r="E72">
        <v>4.2430000000000003</v>
      </c>
      <c r="F72">
        <v>13647114.5</v>
      </c>
      <c r="G72">
        <v>4.2430000000000003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-0.82781456953642496</v>
      </c>
      <c r="Q72">
        <f t="shared" ref="Q72" si="336">F72*P72</f>
        <v>-11297280.215231804</v>
      </c>
      <c r="R72">
        <f t="shared" ref="R72" si="337">R73+Q72</f>
        <v>1659851895.9097962</v>
      </c>
      <c r="S72">
        <f t="shared" ref="S72" si="338">R72/100000</f>
        <v>16598.518959097961</v>
      </c>
      <c r="T72">
        <f t="shared" ref="T72" si="339">S72/1000</f>
        <v>16.598518959097962</v>
      </c>
    </row>
    <row r="73" spans="1:20" x14ac:dyDescent="0.25">
      <c r="A73" s="5">
        <v>44520</v>
      </c>
      <c r="B73">
        <v>4.2880000000000003</v>
      </c>
      <c r="C73">
        <v>4.3490000000000002</v>
      </c>
      <c r="D73">
        <v>4.17</v>
      </c>
      <c r="E73">
        <v>4.3410000000000002</v>
      </c>
      <c r="F73">
        <v>13125947.800000001</v>
      </c>
      <c r="G73">
        <v>4.3410000000000002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0.9106145251396649</v>
      </c>
      <c r="Q73">
        <f t="shared" ref="Q73" si="341">F73*P73</f>
        <v>11952678.72290503</v>
      </c>
      <c r="R73">
        <f t="shared" ref="R73" si="342">R74+Q73</f>
        <v>1671149176.1250281</v>
      </c>
      <c r="S73">
        <f t="shared" ref="S73" si="343">R73/100000</f>
        <v>16711.49176125028</v>
      </c>
      <c r="T73">
        <f t="shared" ref="T73" si="344">S73/1000</f>
        <v>16.711491761250279</v>
      </c>
    </row>
    <row r="74" spans="1:20" x14ac:dyDescent="0.25">
      <c r="A74" s="5">
        <v>44519</v>
      </c>
      <c r="B74">
        <v>4.0869999999999997</v>
      </c>
      <c r="C74">
        <v>4.3170000000000002</v>
      </c>
      <c r="D74">
        <v>4.0469999999999997</v>
      </c>
      <c r="E74">
        <v>4.2880000000000003</v>
      </c>
      <c r="F74">
        <v>17197998.600000001</v>
      </c>
      <c r="G74">
        <v>4.2880000000000003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0.78518518518518621</v>
      </c>
      <c r="Q74">
        <f t="shared" ref="Q74" si="346">F74*P74</f>
        <v>13503613.715555575</v>
      </c>
      <c r="R74">
        <f t="shared" ref="R74" si="347">R75+Q74</f>
        <v>1659196497.4021232</v>
      </c>
      <c r="S74">
        <f t="shared" ref="S74" si="348">R74/100000</f>
        <v>16591.964974021234</v>
      </c>
      <c r="T74">
        <f t="shared" ref="T74" si="349">S74/1000</f>
        <v>16.591964974021234</v>
      </c>
    </row>
    <row r="75" spans="1:20" x14ac:dyDescent="0.25">
      <c r="A75" s="5">
        <v>44518</v>
      </c>
      <c r="B75">
        <v>4.3689999999999998</v>
      </c>
      <c r="C75">
        <v>4.444</v>
      </c>
      <c r="D75">
        <v>3.9350000000000001</v>
      </c>
      <c r="E75">
        <v>4.0869999999999997</v>
      </c>
      <c r="F75">
        <v>30364138.5</v>
      </c>
      <c r="G75">
        <v>4.0869999999999997</v>
      </c>
      <c r="L75" t="s">
        <v>8</v>
      </c>
      <c r="M75" t="s">
        <v>7</v>
      </c>
      <c r="N75" t="s">
        <v>8</v>
      </c>
      <c r="P75">
        <f t="shared" ref="P75" si="350">IF(C75=D75,0,((E75-D75)-(C75-E75))/(C75-D75))</f>
        <v>-0.40275049115913664</v>
      </c>
      <c r="Q75">
        <f t="shared" ref="Q75" si="351">F75*P75</f>
        <v>-12229171.694499051</v>
      </c>
      <c r="R75">
        <f t="shared" ref="R75" si="352">R76+Q75</f>
        <v>1645692883.6865675</v>
      </c>
      <c r="S75">
        <f t="shared" ref="S75" si="353">R75/100000</f>
        <v>16456.928836865674</v>
      </c>
      <c r="T75">
        <f t="shared" ref="T75" si="354">S75/1000</f>
        <v>16.456928836865675</v>
      </c>
    </row>
    <row r="76" spans="1:20" x14ac:dyDescent="0.25">
      <c r="A76" s="5">
        <v>44517</v>
      </c>
      <c r="B76">
        <v>4.327</v>
      </c>
      <c r="C76">
        <v>4.4109999999999996</v>
      </c>
      <c r="D76">
        <v>4.1719999999999997</v>
      </c>
      <c r="E76">
        <v>4.3680000000000003</v>
      </c>
      <c r="F76">
        <v>20470792.800000001</v>
      </c>
      <c r="G76">
        <v>4.3680000000000003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0.64016736401674246</v>
      </c>
      <c r="Q76">
        <f t="shared" ref="Q76" si="356">F76*P76</f>
        <v>13104733.466108911</v>
      </c>
      <c r="R76">
        <f t="shared" ref="R76" si="357">R77+Q76</f>
        <v>1657922055.3810666</v>
      </c>
      <c r="S76">
        <f t="shared" ref="S76" si="358">R76/100000</f>
        <v>16579.220553810665</v>
      </c>
      <c r="T76">
        <f t="shared" ref="T76" si="359">S76/1000</f>
        <v>16.579220553810664</v>
      </c>
    </row>
    <row r="77" spans="1:20" x14ac:dyDescent="0.25">
      <c r="A77" s="5">
        <v>44516</v>
      </c>
      <c r="B77">
        <v>4.8079999999999998</v>
      </c>
      <c r="C77">
        <v>4.8099999999999996</v>
      </c>
      <c r="D77">
        <v>4.0739999999999998</v>
      </c>
      <c r="E77">
        <v>4.327</v>
      </c>
      <c r="F77">
        <v>38791692.899999999</v>
      </c>
      <c r="G77">
        <v>4.327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-0.31249999999999944</v>
      </c>
      <c r="Q77">
        <f t="shared" ref="Q77" si="361">F77*P77</f>
        <v>-12122404.031249978</v>
      </c>
      <c r="R77">
        <f t="shared" ref="R77" si="362">R78+Q77</f>
        <v>1644817321.9149578</v>
      </c>
      <c r="S77">
        <f t="shared" ref="S77" si="363">R77/100000</f>
        <v>16448.173219149579</v>
      </c>
      <c r="T77">
        <f t="shared" ref="T77" si="364">S77/1000</f>
        <v>16.448173219149581</v>
      </c>
    </row>
    <row r="78" spans="1:20" x14ac:dyDescent="0.25">
      <c r="A78" s="5">
        <v>44515</v>
      </c>
      <c r="B78">
        <v>4.9560000000000004</v>
      </c>
      <c r="C78">
        <v>5.0979999999999999</v>
      </c>
      <c r="D78">
        <v>4.7640000000000002</v>
      </c>
      <c r="E78">
        <v>4.8070000000000004</v>
      </c>
      <c r="F78">
        <v>16281171.6</v>
      </c>
      <c r="G78">
        <v>4.8070000000000004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-0.7425149700598791</v>
      </c>
      <c r="Q78">
        <f t="shared" ref="Q78" si="366">F78*P78</f>
        <v>-12089013.643113753</v>
      </c>
      <c r="R78">
        <f t="shared" ref="R78" si="367">R79+Q78</f>
        <v>1656939725.9462078</v>
      </c>
      <c r="S78">
        <f t="shared" ref="S78" si="368">R78/100000</f>
        <v>16569.397259462079</v>
      </c>
      <c r="T78">
        <f t="shared" ref="T78" si="369">S78/1000</f>
        <v>16.569397259462079</v>
      </c>
    </row>
    <row r="79" spans="1:20" x14ac:dyDescent="0.25">
      <c r="A79" s="5">
        <v>44514</v>
      </c>
      <c r="B79">
        <v>5.0090000000000003</v>
      </c>
      <c r="C79">
        <v>5.0890000000000004</v>
      </c>
      <c r="D79">
        <v>4.83</v>
      </c>
      <c r="E79">
        <v>4.9569999999999999</v>
      </c>
      <c r="F79">
        <v>14510762.5</v>
      </c>
      <c r="G79">
        <v>4.9569999999999999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-1.9305019305022299E-2</v>
      </c>
      <c r="Q79">
        <f t="shared" ref="Q79" si="371">F79*P79</f>
        <v>-280130.55019309366</v>
      </c>
      <c r="R79">
        <f t="shared" ref="R79" si="372">R80+Q79</f>
        <v>1669028739.5893216</v>
      </c>
      <c r="S79">
        <f t="shared" ref="S79" si="373">R79/100000</f>
        <v>16690.287395893218</v>
      </c>
      <c r="T79">
        <f t="shared" ref="T79" si="374">S79/1000</f>
        <v>16.690287395893218</v>
      </c>
    </row>
    <row r="80" spans="1:20" x14ac:dyDescent="0.25">
      <c r="A80" s="5">
        <v>44513</v>
      </c>
      <c r="B80">
        <v>4.8490000000000002</v>
      </c>
      <c r="C80">
        <v>5.069</v>
      </c>
      <c r="D80">
        <v>4.7960000000000003</v>
      </c>
      <c r="E80">
        <v>5.0090000000000003</v>
      </c>
      <c r="F80">
        <v>14628256.699999999</v>
      </c>
      <c r="G80">
        <v>5.0090000000000003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0.56043956043956278</v>
      </c>
      <c r="Q80">
        <f t="shared" ref="Q80" si="376">F80*P80</f>
        <v>8198253.7549450891</v>
      </c>
      <c r="R80">
        <f t="shared" ref="R80" si="377">R81+Q80</f>
        <v>1669308870.1395147</v>
      </c>
      <c r="S80">
        <f t="shared" ref="S80" si="378">R80/100000</f>
        <v>16693.088701395147</v>
      </c>
      <c r="T80">
        <f t="shared" ref="T80" si="379">S80/1000</f>
        <v>16.693088701395148</v>
      </c>
    </row>
    <row r="81" spans="1:20" x14ac:dyDescent="0.25">
      <c r="A81" s="5">
        <v>44512</v>
      </c>
      <c r="B81">
        <v>4.9210000000000003</v>
      </c>
      <c r="C81">
        <v>5.1050000000000004</v>
      </c>
      <c r="D81">
        <v>4.6660000000000004</v>
      </c>
      <c r="E81">
        <v>4.8490000000000002</v>
      </c>
      <c r="F81">
        <v>26107040.300000001</v>
      </c>
      <c r="G81">
        <v>4.8490000000000002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-0.16628701594533118</v>
      </c>
      <c r="Q81">
        <f t="shared" ref="Q81" si="381">F81*P81</f>
        <v>-4341261.8266515043</v>
      </c>
      <c r="R81">
        <f t="shared" ref="R81" si="382">R82+Q81</f>
        <v>1661110616.3845696</v>
      </c>
      <c r="S81">
        <f t="shared" ref="S81" si="383">R81/100000</f>
        <v>16611.106163845696</v>
      </c>
      <c r="T81">
        <f t="shared" ref="T81" si="384">S81/1000</f>
        <v>16.611106163845697</v>
      </c>
    </row>
    <row r="82" spans="1:20" x14ac:dyDescent="0.25">
      <c r="A82" s="5">
        <v>44511</v>
      </c>
      <c r="B82">
        <v>4.8419999999999996</v>
      </c>
      <c r="C82">
        <v>5.0259999999999998</v>
      </c>
      <c r="D82">
        <v>4.7949999999999999</v>
      </c>
      <c r="E82">
        <v>4.9219999999999997</v>
      </c>
      <c r="F82">
        <v>19002289</v>
      </c>
      <c r="G82">
        <v>4.9219999999999997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9.9567099567098263E-2</v>
      </c>
      <c r="Q82">
        <f t="shared" ref="Q82" si="386">F82*P82</f>
        <v>1892002.8008657761</v>
      </c>
      <c r="R82">
        <f t="shared" ref="R82" si="387">R83+Q82</f>
        <v>1665451878.2112212</v>
      </c>
      <c r="S82">
        <f t="shared" ref="S82" si="388">R82/100000</f>
        <v>16654.518782112213</v>
      </c>
      <c r="T82">
        <f t="shared" ref="T82" si="389">S82/1000</f>
        <v>16.654518782112213</v>
      </c>
    </row>
    <row r="83" spans="1:20" x14ac:dyDescent="0.25">
      <c r="A83" s="5">
        <v>44510</v>
      </c>
      <c r="B83">
        <v>5.2089999999999996</v>
      </c>
      <c r="C83">
        <v>5.44</v>
      </c>
      <c r="D83">
        <v>4.5199999999999996</v>
      </c>
      <c r="E83">
        <v>4.8410000000000002</v>
      </c>
      <c r="F83">
        <v>50489248.5</v>
      </c>
      <c r="G83">
        <v>4.8410000000000002</v>
      </c>
      <c r="L83" t="s">
        <v>8</v>
      </c>
      <c r="M83" t="s">
        <v>7</v>
      </c>
      <c r="N83" t="s">
        <v>8</v>
      </c>
      <c r="P83">
        <f t="shared" ref="P83" si="390">IF(C83=D83,0,((E83-D83)-(C83-E83))/(C83-D83))</f>
        <v>-0.30217391304347752</v>
      </c>
      <c r="Q83">
        <f t="shared" ref="Q83" si="391">F83*P83</f>
        <v>-15256533.785869528</v>
      </c>
      <c r="R83">
        <f t="shared" ref="R83" si="392">R84+Q83</f>
        <v>1663559875.4103553</v>
      </c>
      <c r="S83">
        <f t="shared" ref="S83" si="393">R83/100000</f>
        <v>16635.598754103554</v>
      </c>
      <c r="T83">
        <f t="shared" ref="T83" si="394">S83/1000</f>
        <v>16.635598754103555</v>
      </c>
    </row>
    <row r="84" spans="1:20" x14ac:dyDescent="0.25">
      <c r="A84" s="5">
        <v>44509</v>
      </c>
      <c r="B84">
        <v>4.859</v>
      </c>
      <c r="C84">
        <v>5.38</v>
      </c>
      <c r="D84">
        <v>4.835</v>
      </c>
      <c r="E84">
        <v>5.2089999999999996</v>
      </c>
      <c r="F84">
        <v>59359542.399999999</v>
      </c>
      <c r="G84">
        <v>5.2089999999999996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0.37247706422018245</v>
      </c>
      <c r="Q84">
        <f t="shared" ref="Q84" si="396">F84*P84</f>
        <v>22110068.086605441</v>
      </c>
      <c r="R84">
        <f t="shared" ref="R84" si="397">R85+Q84</f>
        <v>1678816409.1962249</v>
      </c>
      <c r="S84">
        <f t="shared" ref="S84" si="398">R84/100000</f>
        <v>16788.164091962248</v>
      </c>
      <c r="T84">
        <f t="shared" ref="T84" si="399">S84/1000</f>
        <v>16.788164091962248</v>
      </c>
    </row>
    <row r="85" spans="1:20" x14ac:dyDescent="0.25">
      <c r="A85" s="5">
        <v>44508</v>
      </c>
      <c r="B85">
        <v>4.5979999999999999</v>
      </c>
      <c r="C85">
        <v>4.8879999999999999</v>
      </c>
      <c r="D85">
        <v>4.58</v>
      </c>
      <c r="E85">
        <v>4.859</v>
      </c>
      <c r="F85">
        <v>20652512.899999999</v>
      </c>
      <c r="G85">
        <v>4.859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0.81168831168831213</v>
      </c>
      <c r="Q85">
        <f t="shared" ref="Q85" si="401">F85*P85</f>
        <v>16763403.327922085</v>
      </c>
      <c r="R85">
        <f t="shared" ref="R85" si="402">R86+Q85</f>
        <v>1656706341.1096194</v>
      </c>
      <c r="S85">
        <f t="shared" ref="S85" si="403">R85/100000</f>
        <v>16567.063411096195</v>
      </c>
      <c r="T85">
        <f t="shared" ref="T85" si="404">S85/1000</f>
        <v>16.567063411096196</v>
      </c>
    </row>
    <row r="86" spans="1:20" x14ac:dyDescent="0.25">
      <c r="A86" s="5">
        <v>44507</v>
      </c>
      <c r="B86">
        <v>4.4470000000000001</v>
      </c>
      <c r="C86">
        <v>4.5999999999999996</v>
      </c>
      <c r="D86">
        <v>4.4169999999999998</v>
      </c>
      <c r="E86">
        <v>4.5990000000000002</v>
      </c>
      <c r="F86">
        <v>9720905.5</v>
      </c>
      <c r="G86">
        <v>4.5990000000000002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0.98907103825137221</v>
      </c>
      <c r="Q86">
        <f t="shared" ref="Q86" si="406">F86*P86</f>
        <v>9614666.0956284739</v>
      </c>
      <c r="R86">
        <f t="shared" ref="R86" si="407">R87+Q86</f>
        <v>1639942937.7816973</v>
      </c>
      <c r="S86">
        <f t="shared" ref="S86" si="408">R86/100000</f>
        <v>16399.429377816974</v>
      </c>
      <c r="T86">
        <f t="shared" ref="T86" si="409">S86/1000</f>
        <v>16.399429377816976</v>
      </c>
    </row>
    <row r="87" spans="1:20" x14ac:dyDescent="0.25">
      <c r="A87" s="5">
        <v>44506</v>
      </c>
      <c r="B87">
        <v>4.5019999999999998</v>
      </c>
      <c r="C87">
        <v>4.5469999999999997</v>
      </c>
      <c r="D87">
        <v>4.22</v>
      </c>
      <c r="E87">
        <v>4.4459999999999997</v>
      </c>
      <c r="F87">
        <v>14213765.9</v>
      </c>
      <c r="G87">
        <v>4.4459999999999997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0.38226299694189608</v>
      </c>
      <c r="Q87">
        <f t="shared" ref="Q87" si="411">F87*P87</f>
        <v>5433396.7507645274</v>
      </c>
      <c r="R87">
        <f t="shared" ref="R87" si="412">R88+Q87</f>
        <v>1630328271.6860688</v>
      </c>
      <c r="S87">
        <f t="shared" ref="S87" si="413">R87/100000</f>
        <v>16303.282716860687</v>
      </c>
      <c r="T87">
        <f t="shared" ref="T87" si="414">S87/1000</f>
        <v>16.303282716860686</v>
      </c>
    </row>
    <row r="88" spans="1:20" x14ac:dyDescent="0.25">
      <c r="A88" s="5">
        <v>44505</v>
      </c>
      <c r="B88">
        <v>4.5410000000000004</v>
      </c>
      <c r="C88">
        <v>4.5970000000000004</v>
      </c>
      <c r="D88">
        <v>4.4580000000000002</v>
      </c>
      <c r="E88">
        <v>4.5019999999999998</v>
      </c>
      <c r="F88">
        <v>14024528.800000001</v>
      </c>
      <c r="G88">
        <v>4.5019999999999998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-0.36690647482015076</v>
      </c>
      <c r="Q88">
        <f t="shared" ref="Q88" si="416">F88*P88</f>
        <v>-5145690.4230216797</v>
      </c>
      <c r="R88">
        <f t="shared" ref="R88" si="417">R89+Q88</f>
        <v>1624894874.9353042</v>
      </c>
      <c r="S88">
        <f t="shared" ref="S88" si="418">R88/100000</f>
        <v>16248.948749353041</v>
      </c>
      <c r="T88">
        <f t="shared" ref="T88" si="419">S88/1000</f>
        <v>16.24894874935304</v>
      </c>
    </row>
    <row r="89" spans="1:20" x14ac:dyDescent="0.25">
      <c r="A89" s="5">
        <v>44504</v>
      </c>
      <c r="B89">
        <v>4.7080000000000002</v>
      </c>
      <c r="C89">
        <v>4.7549999999999999</v>
      </c>
      <c r="D89">
        <v>4.4320000000000004</v>
      </c>
      <c r="E89">
        <v>4.5419999999999998</v>
      </c>
      <c r="F89">
        <v>16252097.6</v>
      </c>
      <c r="G89">
        <v>4.5419999999999998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-0.31888544891641113</v>
      </c>
      <c r="Q89">
        <f t="shared" ref="Q89" si="421">F89*P89</f>
        <v>-5182557.4390093274</v>
      </c>
      <c r="R89">
        <f t="shared" ref="R89" si="422">R90+Q89</f>
        <v>1630040565.358326</v>
      </c>
      <c r="S89">
        <f t="shared" ref="S89" si="423">R89/100000</f>
        <v>16300.405653583259</v>
      </c>
      <c r="T89">
        <f t="shared" ref="T89" si="424">S89/1000</f>
        <v>16.300405653583258</v>
      </c>
    </row>
    <row r="90" spans="1:20" x14ac:dyDescent="0.25">
      <c r="A90" s="5">
        <v>44503</v>
      </c>
      <c r="B90">
        <v>4.7009999999999996</v>
      </c>
      <c r="C90">
        <v>4.8710000000000004</v>
      </c>
      <c r="D90">
        <v>4.516</v>
      </c>
      <c r="E90">
        <v>4.7069999999999999</v>
      </c>
      <c r="F90">
        <v>28218731.100000001</v>
      </c>
      <c r="G90">
        <v>4.7069999999999999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7.6056338028166803E-2</v>
      </c>
      <c r="Q90">
        <f t="shared" ref="Q90" si="426">F90*P90</f>
        <v>2146213.3512675432</v>
      </c>
      <c r="R90">
        <f t="shared" ref="R90" si="427">R91+Q90</f>
        <v>1635223122.7973354</v>
      </c>
      <c r="S90">
        <f t="shared" ref="S90" si="428">R90/100000</f>
        <v>16352.231227973354</v>
      </c>
      <c r="T90">
        <f t="shared" ref="T90" si="429">S90/1000</f>
        <v>16.352231227973355</v>
      </c>
    </row>
    <row r="91" spans="1:20" x14ac:dyDescent="0.25">
      <c r="A91" s="5">
        <v>44502</v>
      </c>
      <c r="B91">
        <v>4.6360000000000001</v>
      </c>
      <c r="C91">
        <v>4.7939999999999996</v>
      </c>
      <c r="D91">
        <v>4.5759999999999996</v>
      </c>
      <c r="E91">
        <v>4.7009999999999996</v>
      </c>
      <c r="F91">
        <v>14808000.5</v>
      </c>
      <c r="G91">
        <v>4.7009999999999996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0.14678899082568822</v>
      </c>
      <c r="Q91">
        <f t="shared" ref="Q91" si="431">F91*P91</f>
        <v>2173651.4495412866</v>
      </c>
      <c r="R91">
        <f t="shared" ref="R91" si="432">R92+Q91</f>
        <v>1633076909.4460678</v>
      </c>
      <c r="S91">
        <f t="shared" ref="S91" si="433">R91/100000</f>
        <v>16330.769094460678</v>
      </c>
      <c r="T91">
        <f t="shared" ref="T91" si="434">S91/1000</f>
        <v>16.330769094460678</v>
      </c>
    </row>
    <row r="92" spans="1:20" x14ac:dyDescent="0.25">
      <c r="A92" s="5">
        <v>44501</v>
      </c>
      <c r="B92">
        <v>4.6369999999999996</v>
      </c>
      <c r="C92">
        <v>4.72</v>
      </c>
      <c r="D92">
        <v>4.4569999999999999</v>
      </c>
      <c r="E92">
        <v>4.6390000000000002</v>
      </c>
      <c r="F92">
        <v>20145941.399999999</v>
      </c>
      <c r="G92">
        <v>4.6390000000000002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0.38403041825095402</v>
      </c>
      <c r="Q92">
        <f t="shared" ref="Q92" si="436">F92*P92</f>
        <v>7736654.3019012092</v>
      </c>
      <c r="R92">
        <f t="shared" ref="R92" si="437">R93+Q92</f>
        <v>1630903257.9965265</v>
      </c>
      <c r="S92">
        <f t="shared" ref="S92" si="438">R92/100000</f>
        <v>16309.032579965266</v>
      </c>
      <c r="T92">
        <f t="shared" ref="T92" si="439">S92/1000</f>
        <v>16.309032579965265</v>
      </c>
    </row>
    <row r="93" spans="1:20" x14ac:dyDescent="0.25">
      <c r="A93" s="5">
        <v>44500</v>
      </c>
      <c r="B93">
        <v>4.4800000000000004</v>
      </c>
      <c r="C93">
        <v>4.7729999999999997</v>
      </c>
      <c r="D93">
        <v>4.4429999999999996</v>
      </c>
      <c r="E93">
        <v>4.6369999999999996</v>
      </c>
      <c r="F93">
        <v>23251890.899999999</v>
      </c>
      <c r="G93">
        <v>4.6369999999999996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0.1757575757575752</v>
      </c>
      <c r="Q93">
        <f t="shared" ref="Q93" si="441">F93*P93</f>
        <v>4086695.976363623</v>
      </c>
      <c r="R93">
        <f t="shared" ref="R93" si="442">R94+Q93</f>
        <v>1623166603.6946254</v>
      </c>
      <c r="S93">
        <f t="shared" ref="S93" si="443">R93/100000</f>
        <v>16231.666036946253</v>
      </c>
      <c r="T93">
        <f t="shared" ref="T93" si="444">S93/1000</f>
        <v>16.231666036946255</v>
      </c>
    </row>
    <row r="94" spans="1:20" x14ac:dyDescent="0.25">
      <c r="A94" s="5">
        <v>44499</v>
      </c>
      <c r="B94">
        <v>4.5019999999999998</v>
      </c>
      <c r="C94">
        <v>4.524</v>
      </c>
      <c r="D94">
        <v>4.3479999999999999</v>
      </c>
      <c r="E94">
        <v>4.4800000000000004</v>
      </c>
      <c r="F94">
        <v>12769295.9</v>
      </c>
      <c r="G94">
        <v>4.4800000000000004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0.500000000000005</v>
      </c>
      <c r="Q94">
        <f t="shared" ref="Q94" si="446">F94*P94</f>
        <v>6384647.9500000644</v>
      </c>
      <c r="R94">
        <f t="shared" ref="R94" si="447">R95+Q94</f>
        <v>1619079907.7182617</v>
      </c>
      <c r="S94">
        <f t="shared" ref="S94" si="448">R94/100000</f>
        <v>16190.799077182617</v>
      </c>
      <c r="T94">
        <f t="shared" ref="T94" si="449">S94/1000</f>
        <v>16.190799077182618</v>
      </c>
    </row>
    <row r="95" spans="1:20" x14ac:dyDescent="0.25">
      <c r="A95" s="5">
        <v>44498</v>
      </c>
      <c r="B95">
        <v>4.4009999999999998</v>
      </c>
      <c r="C95">
        <v>4.5419999999999998</v>
      </c>
      <c r="D95">
        <v>4.3739999999999997</v>
      </c>
      <c r="E95">
        <v>4.5019999999999998</v>
      </c>
      <c r="F95">
        <v>13111625.6</v>
      </c>
      <c r="G95">
        <v>4.5019999999999998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0.52380952380952384</v>
      </c>
      <c r="Q95">
        <f t="shared" ref="Q95" si="451">F95*P95</f>
        <v>6867994.3619047618</v>
      </c>
      <c r="R95">
        <f t="shared" ref="R95" si="452">R96+Q95</f>
        <v>1612695259.7682617</v>
      </c>
      <c r="S95">
        <f t="shared" ref="S95" si="453">R95/100000</f>
        <v>16126.952597682617</v>
      </c>
      <c r="T95">
        <f t="shared" ref="T95" si="454">S95/1000</f>
        <v>16.126952597682617</v>
      </c>
    </row>
    <row r="96" spans="1:20" x14ac:dyDescent="0.25">
      <c r="A96" s="5">
        <v>44497</v>
      </c>
      <c r="B96">
        <v>4.1509999999999998</v>
      </c>
      <c r="C96">
        <v>4.4950000000000001</v>
      </c>
      <c r="D96">
        <v>4.133</v>
      </c>
      <c r="E96">
        <v>4.4009999999999998</v>
      </c>
      <c r="F96">
        <v>24985864.100000001</v>
      </c>
      <c r="G96">
        <v>4.4009999999999998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0.4806629834254128</v>
      </c>
      <c r="Q96">
        <f t="shared" ref="Q96" si="456">F96*P96</f>
        <v>12009779.981767917</v>
      </c>
      <c r="R96">
        <f t="shared" ref="R96" si="457">R97+Q96</f>
        <v>1605827265.4063568</v>
      </c>
      <c r="S96">
        <f t="shared" ref="S96" si="458">R96/100000</f>
        <v>16058.272654063569</v>
      </c>
      <c r="T96">
        <f t="shared" ref="T96" si="459">S96/1000</f>
        <v>16.058272654063568</v>
      </c>
    </row>
    <row r="97" spans="1:20" x14ac:dyDescent="0.25">
      <c r="A97" s="5">
        <v>44496</v>
      </c>
      <c r="B97">
        <v>4.7160000000000002</v>
      </c>
      <c r="C97">
        <v>4.774</v>
      </c>
      <c r="D97">
        <v>3.85</v>
      </c>
      <c r="E97">
        <v>4.149</v>
      </c>
      <c r="F97">
        <v>40607807</v>
      </c>
      <c r="G97">
        <v>4.149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-0.35281385281385291</v>
      </c>
      <c r="Q97">
        <f t="shared" ref="Q97" si="461">F97*P97</f>
        <v>-14326996.841991346</v>
      </c>
      <c r="R97">
        <f t="shared" ref="R97" si="462">R98+Q97</f>
        <v>1593817485.4245889</v>
      </c>
      <c r="S97">
        <f t="shared" ref="S97" si="463">R97/100000</f>
        <v>15938.17485424589</v>
      </c>
      <c r="T97">
        <f t="shared" ref="T97" si="464">S97/1000</f>
        <v>15.93817485424589</v>
      </c>
    </row>
    <row r="98" spans="1:20" x14ac:dyDescent="0.25">
      <c r="A98" s="5">
        <v>44495</v>
      </c>
      <c r="B98">
        <v>4.819</v>
      </c>
      <c r="C98">
        <v>4.9340000000000002</v>
      </c>
      <c r="D98">
        <v>4.6559999999999997</v>
      </c>
      <c r="E98">
        <v>4.7160000000000002</v>
      </c>
      <c r="F98">
        <v>15429483.4</v>
      </c>
      <c r="G98">
        <v>4.7160000000000002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-0.56834532374100433</v>
      </c>
      <c r="Q98">
        <f t="shared" ref="Q98" si="466">F98*P98</f>
        <v>-8769274.7381294519</v>
      </c>
      <c r="R98">
        <f t="shared" ref="R98" si="467">R99+Q98</f>
        <v>1608144482.2665803</v>
      </c>
      <c r="S98">
        <f t="shared" ref="S98" si="468">R98/100000</f>
        <v>16081.444822665804</v>
      </c>
      <c r="T98">
        <f t="shared" ref="T98" si="469">S98/1000</f>
        <v>16.081444822665805</v>
      </c>
    </row>
    <row r="99" spans="1:20" x14ac:dyDescent="0.25">
      <c r="A99" s="5">
        <v>44494</v>
      </c>
      <c r="B99">
        <v>4.7439999999999998</v>
      </c>
      <c r="C99">
        <v>4.8499999999999996</v>
      </c>
      <c r="D99">
        <v>4.7119999999999997</v>
      </c>
      <c r="E99">
        <v>4.8179999999999996</v>
      </c>
      <c r="F99">
        <v>12763816.1</v>
      </c>
      <c r="G99">
        <v>4.8179999999999996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0.53623188405797029</v>
      </c>
      <c r="Q99">
        <f t="shared" ref="Q99" si="471">F99*P99</f>
        <v>6844365.1550724544</v>
      </c>
      <c r="R99">
        <f t="shared" ref="R99" si="472">R100+Q99</f>
        <v>1616913757.0047097</v>
      </c>
      <c r="S99">
        <f t="shared" ref="S99" si="473">R99/100000</f>
        <v>16169.137570047098</v>
      </c>
      <c r="T99">
        <f t="shared" ref="T99" si="474">S99/1000</f>
        <v>16.169137570047099</v>
      </c>
    </row>
    <row r="100" spans="1:20" x14ac:dyDescent="0.25">
      <c r="A100" s="5">
        <v>44493</v>
      </c>
      <c r="B100">
        <v>4.7460000000000004</v>
      </c>
      <c r="C100">
        <v>5.0860000000000003</v>
      </c>
      <c r="D100">
        <v>4.6559999999999997</v>
      </c>
      <c r="E100">
        <v>4.7439999999999998</v>
      </c>
      <c r="F100">
        <v>30399276</v>
      </c>
      <c r="G100">
        <v>4.7439999999999998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-0.59069767441860488</v>
      </c>
      <c r="Q100">
        <f t="shared" ref="Q100" si="476">F100*P100</f>
        <v>-17956781.637209307</v>
      </c>
      <c r="R100">
        <f t="shared" ref="R100" si="477">R101+Q100</f>
        <v>1610069391.8496373</v>
      </c>
      <c r="S100">
        <f t="shared" ref="S100" si="478">R100/100000</f>
        <v>16100.693918496372</v>
      </c>
      <c r="T100">
        <f t="shared" ref="T100" si="479">S100/1000</f>
        <v>16.100693918496372</v>
      </c>
    </row>
    <row r="101" spans="1:20" x14ac:dyDescent="0.25">
      <c r="A101" s="5">
        <v>44492</v>
      </c>
      <c r="B101">
        <v>4.6130000000000004</v>
      </c>
      <c r="C101">
        <v>4.7699999999999996</v>
      </c>
      <c r="D101">
        <v>4.58</v>
      </c>
      <c r="E101">
        <v>4.7469999999999999</v>
      </c>
      <c r="F101">
        <v>10514736</v>
      </c>
      <c r="G101">
        <v>4.7469999999999999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0.75789473684210795</v>
      </c>
      <c r="Q101">
        <f t="shared" ref="Q101" si="481">F101*P101</f>
        <v>7969063.0736842388</v>
      </c>
      <c r="R101">
        <f t="shared" ref="R101" si="482">R102+Q101</f>
        <v>1628026173.4868467</v>
      </c>
      <c r="S101">
        <f t="shared" ref="S101" si="483">R101/100000</f>
        <v>16280.261734868467</v>
      </c>
      <c r="T101">
        <f t="shared" ref="T101" si="484">S101/1000</f>
        <v>16.280261734868468</v>
      </c>
    </row>
    <row r="102" spans="1:20" x14ac:dyDescent="0.25">
      <c r="A102" s="5">
        <v>44491</v>
      </c>
      <c r="B102">
        <v>4.665</v>
      </c>
      <c r="C102">
        <v>4.7889999999999997</v>
      </c>
      <c r="D102">
        <v>4.5519999999999996</v>
      </c>
      <c r="E102">
        <v>4.6139999999999999</v>
      </c>
      <c r="F102">
        <v>13932361</v>
      </c>
      <c r="G102">
        <v>4.6139999999999999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-0.47679324894514558</v>
      </c>
      <c r="Q102">
        <f t="shared" ref="Q102" si="486">F102*P102</f>
        <v>-6642855.6666666372</v>
      </c>
      <c r="R102">
        <f t="shared" ref="R102" si="487">R103+Q102</f>
        <v>1620057110.4131625</v>
      </c>
      <c r="S102">
        <f t="shared" ref="S102" si="488">R102/100000</f>
        <v>16200.571104131624</v>
      </c>
      <c r="T102">
        <f t="shared" ref="T102" si="489">S102/1000</f>
        <v>16.200571104131626</v>
      </c>
    </row>
    <row r="103" spans="1:20" x14ac:dyDescent="0.25">
      <c r="A103" s="5">
        <v>44490</v>
      </c>
      <c r="B103">
        <v>4.8250000000000002</v>
      </c>
      <c r="C103">
        <v>4.9480000000000004</v>
      </c>
      <c r="D103">
        <v>4.5949999999999998</v>
      </c>
      <c r="E103">
        <v>4.6660000000000004</v>
      </c>
      <c r="F103">
        <v>25051048.600000001</v>
      </c>
      <c r="G103">
        <v>4.6660000000000004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-0.59773371104815587</v>
      </c>
      <c r="Q103">
        <f t="shared" ref="Q103" si="491">F103*P103</f>
        <v>-14973856.245325711</v>
      </c>
      <c r="R103">
        <f t="shared" ref="R103" si="492">R104+Q103</f>
        <v>1626699966.0798292</v>
      </c>
      <c r="S103">
        <f t="shared" ref="S103" si="493">R103/100000</f>
        <v>16266.999660798292</v>
      </c>
      <c r="T103">
        <f t="shared" ref="T103" si="494">S103/1000</f>
        <v>16.266999660798291</v>
      </c>
    </row>
    <row r="104" spans="1:20" x14ac:dyDescent="0.25">
      <c r="A104" s="5">
        <v>44489</v>
      </c>
      <c r="B104">
        <v>4.4580000000000002</v>
      </c>
      <c r="C104">
        <v>4.8890000000000002</v>
      </c>
      <c r="D104">
        <v>4.444</v>
      </c>
      <c r="E104">
        <v>4.8250000000000002</v>
      </c>
      <c r="F104">
        <v>20887352.800000001</v>
      </c>
      <c r="G104">
        <v>4.8250000000000002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0.71235955056179767</v>
      </c>
      <c r="Q104">
        <f t="shared" ref="Q104" si="496">F104*P104</f>
        <v>14879305.253033707</v>
      </c>
      <c r="R104">
        <f t="shared" ref="R104" si="497">R105+Q104</f>
        <v>1641673822.325155</v>
      </c>
      <c r="S104">
        <f t="shared" ref="S104" si="498">R104/100000</f>
        <v>16416.738223251552</v>
      </c>
      <c r="T104">
        <f t="shared" ref="T104" si="499">S104/1000</f>
        <v>16.416738223251553</v>
      </c>
    </row>
    <row r="105" spans="1:20" x14ac:dyDescent="0.25">
      <c r="A105" s="5">
        <v>44488</v>
      </c>
      <c r="B105">
        <v>4.42</v>
      </c>
      <c r="C105">
        <v>4.5179999999999998</v>
      </c>
      <c r="D105">
        <v>4.3639999999999999</v>
      </c>
      <c r="E105">
        <v>4.4589999999999996</v>
      </c>
      <c r="F105">
        <v>12650710.6</v>
      </c>
      <c r="G105">
        <v>4.4589999999999996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0.23376623376623121</v>
      </c>
      <c r="Q105">
        <f t="shared" ref="Q105" si="501">F105*P105</f>
        <v>2957308.9714285391</v>
      </c>
      <c r="R105">
        <f t="shared" ref="R105" si="502">R106+Q105</f>
        <v>1626794517.0721214</v>
      </c>
      <c r="S105">
        <f t="shared" ref="S105" si="503">R105/100000</f>
        <v>16267.945170721214</v>
      </c>
      <c r="T105">
        <f t="shared" ref="T105" si="504">S105/1000</f>
        <v>16.267945170721212</v>
      </c>
    </row>
    <row r="106" spans="1:20" x14ac:dyDescent="0.25">
      <c r="A106" s="5">
        <v>44487</v>
      </c>
      <c r="B106">
        <v>4.4119999999999999</v>
      </c>
      <c r="C106">
        <v>4.5659999999999998</v>
      </c>
      <c r="D106">
        <v>4.3570000000000002</v>
      </c>
      <c r="E106">
        <v>4.4210000000000003</v>
      </c>
      <c r="F106">
        <v>16999418.300000001</v>
      </c>
      <c r="G106">
        <v>4.4210000000000003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-0.38755980861243855</v>
      </c>
      <c r="Q106">
        <f t="shared" ref="Q106" si="506">F106*P106</f>
        <v>-6588291.3028707858</v>
      </c>
      <c r="R106">
        <f t="shared" ref="R106" si="507">R107+Q106</f>
        <v>1623837208.1006927</v>
      </c>
      <c r="S106">
        <f t="shared" ref="S106" si="508">R106/100000</f>
        <v>16238.372081006928</v>
      </c>
      <c r="T106">
        <f t="shared" ref="T106" si="509">S106/1000</f>
        <v>16.238372081006929</v>
      </c>
    </row>
    <row r="107" spans="1:20" x14ac:dyDescent="0.25">
      <c r="A107" s="5">
        <v>44486</v>
      </c>
      <c r="B107">
        <v>4.57</v>
      </c>
      <c r="C107">
        <v>4.5999999999999996</v>
      </c>
      <c r="D107">
        <v>4.218</v>
      </c>
      <c r="E107">
        <v>4.4119999999999999</v>
      </c>
      <c r="F107">
        <v>15230531.4</v>
      </c>
      <c r="G107">
        <v>4.4119999999999999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1.5706806282723123E-2</v>
      </c>
      <c r="Q107">
        <f t="shared" ref="Q107" si="511">F107*P107</f>
        <v>239223.0062827318</v>
      </c>
      <c r="R107">
        <f t="shared" ref="R107" si="512">R108+Q107</f>
        <v>1630425499.4035635</v>
      </c>
      <c r="S107">
        <f t="shared" ref="S107" si="513">R107/100000</f>
        <v>16304.254994035635</v>
      </c>
      <c r="T107">
        <f t="shared" ref="T107" si="514">S107/1000</f>
        <v>16.304254994035634</v>
      </c>
    </row>
    <row r="108" spans="1:20" x14ac:dyDescent="0.25">
      <c r="A108" s="5">
        <v>44485</v>
      </c>
      <c r="B108">
        <v>4.6420000000000003</v>
      </c>
      <c r="C108">
        <v>4.7149999999999999</v>
      </c>
      <c r="D108">
        <v>4.53</v>
      </c>
      <c r="E108">
        <v>4.57</v>
      </c>
      <c r="F108">
        <v>14738669.199999999</v>
      </c>
      <c r="G108">
        <v>4.57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-0.56756756756756632</v>
      </c>
      <c r="Q108">
        <f t="shared" ref="Q108" si="516">F108*P108</f>
        <v>-8365190.6270270087</v>
      </c>
      <c r="R108">
        <f t="shared" ref="R108" si="517">R109+Q108</f>
        <v>1630186276.3972807</v>
      </c>
      <c r="S108">
        <f t="shared" ref="S108" si="518">R108/100000</f>
        <v>16301.862763972807</v>
      </c>
      <c r="T108">
        <f t="shared" ref="T108" si="519">S108/1000</f>
        <v>16.301862763972807</v>
      </c>
    </row>
    <row r="109" spans="1:20" x14ac:dyDescent="0.25">
      <c r="A109" s="5">
        <v>44484</v>
      </c>
      <c r="B109">
        <v>4.6219999999999999</v>
      </c>
      <c r="C109">
        <v>4.7359999999999998</v>
      </c>
      <c r="D109">
        <v>4.4420000000000002</v>
      </c>
      <c r="E109">
        <v>4.6429999999999998</v>
      </c>
      <c r="F109">
        <v>28078076.199999999</v>
      </c>
      <c r="G109">
        <v>4.6429999999999998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0.3673469387755095</v>
      </c>
      <c r="Q109">
        <f t="shared" ref="Q109" si="521">F109*P109</f>
        <v>10314395.338775489</v>
      </c>
      <c r="R109">
        <f t="shared" ref="R109" si="522">R110+Q109</f>
        <v>1638551467.0243077</v>
      </c>
      <c r="S109">
        <f t="shared" ref="S109" si="523">R109/100000</f>
        <v>16385.514670243076</v>
      </c>
      <c r="T109">
        <f t="shared" ref="T109" si="524">S109/1000</f>
        <v>16.385514670243076</v>
      </c>
    </row>
    <row r="110" spans="1:20" x14ac:dyDescent="0.25">
      <c r="A110" s="5">
        <v>44483</v>
      </c>
      <c r="B110">
        <v>4.6050000000000004</v>
      </c>
      <c r="C110">
        <v>4.7359999999999998</v>
      </c>
      <c r="D110">
        <v>4.5529999999999999</v>
      </c>
      <c r="E110">
        <v>4.6230000000000002</v>
      </c>
      <c r="F110">
        <v>17639292.300000001</v>
      </c>
      <c r="G110">
        <v>4.6230000000000002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-0.2349726775956246</v>
      </c>
      <c r="Q110">
        <f t="shared" ref="Q110" si="526">F110*P110</f>
        <v>-4144751.7426228835</v>
      </c>
      <c r="R110">
        <f t="shared" ref="R110" si="527">R111+Q110</f>
        <v>1628237071.6855323</v>
      </c>
      <c r="S110">
        <f t="shared" ref="S110" si="528">R110/100000</f>
        <v>16282.370716855323</v>
      </c>
      <c r="T110">
        <f t="shared" ref="T110" si="529">S110/1000</f>
        <v>16.282370716855322</v>
      </c>
    </row>
    <row r="111" spans="1:20" x14ac:dyDescent="0.25">
      <c r="A111" s="5">
        <v>44482</v>
      </c>
      <c r="B111">
        <v>4.492</v>
      </c>
      <c r="C111">
        <v>4.6120000000000001</v>
      </c>
      <c r="D111">
        <v>4.3719999999999999</v>
      </c>
      <c r="E111">
        <v>4.6040000000000001</v>
      </c>
      <c r="F111">
        <v>19455515.800000001</v>
      </c>
      <c r="G111">
        <v>4.6040000000000001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0.93333333333333335</v>
      </c>
      <c r="Q111">
        <f t="shared" ref="Q111" si="531">F111*P111</f>
        <v>18158481.413333334</v>
      </c>
      <c r="R111">
        <f t="shared" ref="R111" si="532">R112+Q111</f>
        <v>1632381823.4281552</v>
      </c>
      <c r="S111">
        <f t="shared" ref="S111" si="533">R111/100000</f>
        <v>16323.818234281553</v>
      </c>
      <c r="T111">
        <f t="shared" ref="T111" si="534">S111/1000</f>
        <v>16.323818234281553</v>
      </c>
    </row>
    <row r="112" spans="1:20" x14ac:dyDescent="0.25">
      <c r="A112" s="5">
        <v>44481</v>
      </c>
      <c r="B112">
        <v>4.55</v>
      </c>
      <c r="C112">
        <v>4.5519999999999996</v>
      </c>
      <c r="D112">
        <v>4.2640000000000002</v>
      </c>
      <c r="E112">
        <v>4.4950000000000001</v>
      </c>
      <c r="F112">
        <v>26667232.600000001</v>
      </c>
      <c r="G112">
        <v>4.4950000000000001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0.60416666666666929</v>
      </c>
      <c r="Q112">
        <f t="shared" ref="Q112" si="536">F112*P112</f>
        <v>16111453.029166738</v>
      </c>
      <c r="R112">
        <f t="shared" ref="R112" si="537">R113+Q112</f>
        <v>1614223342.0148218</v>
      </c>
      <c r="S112">
        <f t="shared" ref="S112" si="538">R112/100000</f>
        <v>16142.233420148217</v>
      </c>
      <c r="T112">
        <f t="shared" ref="T112" si="539">S112/1000</f>
        <v>16.142233420148216</v>
      </c>
    </row>
    <row r="113" spans="1:20" x14ac:dyDescent="0.25">
      <c r="A113" s="5">
        <v>44480</v>
      </c>
      <c r="B113">
        <v>4.5750000000000002</v>
      </c>
      <c r="C113">
        <v>4.7590000000000003</v>
      </c>
      <c r="D113">
        <v>4.431</v>
      </c>
      <c r="E113">
        <v>4.55</v>
      </c>
      <c r="F113">
        <v>20889970</v>
      </c>
      <c r="G113">
        <v>4.55</v>
      </c>
      <c r="L113" t="s">
        <v>7</v>
      </c>
      <c r="M113" t="s">
        <v>8</v>
      </c>
      <c r="N113" t="s">
        <v>8</v>
      </c>
      <c r="P113">
        <f t="shared" ref="P113" si="540">IF(C113=D113,0,((E113-D113)-(C113-E113))/(C113-D113))</f>
        <v>-0.27439024390244104</v>
      </c>
      <c r="Q113">
        <f t="shared" ref="Q113" si="541">F113*P113</f>
        <v>-5732003.9634146765</v>
      </c>
      <c r="R113">
        <f t="shared" ref="R113" si="542">R114+Q113</f>
        <v>1598111888.9856551</v>
      </c>
      <c r="S113">
        <f t="shared" ref="S113" si="543">R113/100000</f>
        <v>15981.118889856551</v>
      </c>
      <c r="T113">
        <f t="shared" ref="T113" si="544">S113/1000</f>
        <v>15.98111888985655</v>
      </c>
    </row>
    <row r="114" spans="1:20" x14ac:dyDescent="0.25">
      <c r="A114" s="5">
        <v>44479</v>
      </c>
      <c r="B114">
        <v>5</v>
      </c>
      <c r="C114">
        <v>5.0049999999999999</v>
      </c>
      <c r="D114">
        <v>4.5570000000000004</v>
      </c>
      <c r="E114">
        <v>4.577</v>
      </c>
      <c r="F114">
        <v>21944306.100000001</v>
      </c>
      <c r="G114">
        <v>4.577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-0.91071428571428747</v>
      </c>
      <c r="Q114">
        <f t="shared" ref="Q114" si="546">F114*P114</f>
        <v>-19984993.055357184</v>
      </c>
      <c r="R114">
        <f t="shared" ref="R114" si="547">R115+Q114</f>
        <v>1603843892.9490697</v>
      </c>
      <c r="S114">
        <f t="shared" ref="S114" si="548">R114/100000</f>
        <v>16038.438929490698</v>
      </c>
      <c r="T114">
        <f t="shared" ref="T114" si="549">S114/1000</f>
        <v>16.038438929490699</v>
      </c>
    </row>
    <row r="115" spans="1:20" x14ac:dyDescent="0.25">
      <c r="A115" s="5">
        <v>44478</v>
      </c>
      <c r="B115">
        <v>4.649</v>
      </c>
      <c r="C115">
        <v>5.0670000000000002</v>
      </c>
      <c r="D115">
        <v>4.6100000000000003</v>
      </c>
      <c r="E115">
        <v>5</v>
      </c>
      <c r="F115">
        <v>25713708.5</v>
      </c>
      <c r="G115">
        <v>5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0.70678336980306267</v>
      </c>
      <c r="Q115">
        <f t="shared" ref="Q115" si="551">F115*P115</f>
        <v>18174021.543763656</v>
      </c>
      <c r="R115">
        <f t="shared" ref="R115" si="552">R116+Q115</f>
        <v>1623828886.004427</v>
      </c>
      <c r="S115">
        <f t="shared" ref="S115" si="553">R115/100000</f>
        <v>16238.288860044269</v>
      </c>
      <c r="T115">
        <f t="shared" ref="T115" si="554">S115/1000</f>
        <v>16.238288860044268</v>
      </c>
    </row>
    <row r="116" spans="1:20" x14ac:dyDescent="0.25">
      <c r="A116" s="5">
        <v>44477</v>
      </c>
      <c r="B116">
        <v>4.7220000000000004</v>
      </c>
      <c r="C116">
        <v>4.83</v>
      </c>
      <c r="D116">
        <v>4.5750000000000002</v>
      </c>
      <c r="E116">
        <v>4.6470000000000002</v>
      </c>
      <c r="F116">
        <v>20709977.300000001</v>
      </c>
      <c r="G116">
        <v>4.6470000000000002</v>
      </c>
      <c r="L116" t="s">
        <v>7</v>
      </c>
      <c r="M116" t="s">
        <v>8</v>
      </c>
      <c r="N116" t="s">
        <v>7</v>
      </c>
      <c r="P116">
        <f t="shared" ref="P116" si="555">IF(C116=D116,0,((E116-D116)-(C116-E116))/(C116-D116))</f>
        <v>-0.43529411764705811</v>
      </c>
      <c r="Q116">
        <f t="shared" ref="Q116" si="556">F116*P116</f>
        <v>-9014931.2952941023</v>
      </c>
      <c r="R116">
        <f t="shared" ref="R116" si="557">R117+Q116</f>
        <v>1605654864.4606633</v>
      </c>
      <c r="S116">
        <f t="shared" ref="S116" si="558">R116/100000</f>
        <v>16056.548644606633</v>
      </c>
      <c r="T116">
        <f t="shared" ref="T116" si="559">S116/1000</f>
        <v>16.056548644606632</v>
      </c>
    </row>
    <row r="117" spans="1:20" x14ac:dyDescent="0.25">
      <c r="A117" s="5">
        <v>44476</v>
      </c>
      <c r="B117">
        <v>4.7489999999999997</v>
      </c>
      <c r="C117">
        <v>4.8410000000000002</v>
      </c>
      <c r="D117">
        <v>4.5510000000000002</v>
      </c>
      <c r="E117">
        <v>4.7220000000000004</v>
      </c>
      <c r="F117">
        <v>25271697.399999999</v>
      </c>
      <c r="G117">
        <v>4.7220000000000004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0.17931034482758787</v>
      </c>
      <c r="Q117">
        <f t="shared" ref="Q117" si="561">F117*P117</f>
        <v>4531476.7751724552</v>
      </c>
      <c r="R117">
        <f t="shared" ref="R117" si="562">R118+Q117</f>
        <v>1614669795.7559574</v>
      </c>
      <c r="S117">
        <f t="shared" ref="S117" si="563">R117/100000</f>
        <v>16146.697957559574</v>
      </c>
      <c r="T117">
        <f t="shared" ref="T117" si="564">S117/1000</f>
        <v>16.146697957559574</v>
      </c>
    </row>
    <row r="118" spans="1:20" x14ac:dyDescent="0.25">
      <c r="A118" s="5">
        <v>44475</v>
      </c>
      <c r="B118">
        <v>4.7309999999999999</v>
      </c>
      <c r="C118">
        <v>4.923</v>
      </c>
      <c r="D118">
        <v>4.3719999999999999</v>
      </c>
      <c r="E118">
        <v>4.7480000000000002</v>
      </c>
      <c r="F118">
        <v>35779423.700000003</v>
      </c>
      <c r="G118">
        <v>4.7480000000000002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0.36479128856624404</v>
      </c>
      <c r="Q118">
        <f t="shared" ref="Q118" si="566">F118*P118</f>
        <v>13052022.075680612</v>
      </c>
      <c r="R118">
        <f t="shared" ref="R118" si="567">R119+Q118</f>
        <v>1610138318.9807849</v>
      </c>
      <c r="S118">
        <f t="shared" ref="S118" si="568">R118/100000</f>
        <v>16101.38318980785</v>
      </c>
      <c r="T118">
        <f t="shared" ref="T118" si="569">S118/1000</f>
        <v>16.101383189807851</v>
      </c>
    </row>
    <row r="119" spans="1:20" x14ac:dyDescent="0.25">
      <c r="A119" s="5">
        <v>44474</v>
      </c>
      <c r="B119">
        <v>4.5940000000000003</v>
      </c>
      <c r="C119">
        <v>4.79</v>
      </c>
      <c r="D119">
        <v>4.5469999999999997</v>
      </c>
      <c r="E119">
        <v>4.7300000000000004</v>
      </c>
      <c r="F119">
        <v>24827362.899999999</v>
      </c>
      <c r="G119">
        <v>4.7300000000000004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0.50617283950617675</v>
      </c>
      <c r="Q119">
        <f t="shared" ref="Q119" si="571">F119*P119</f>
        <v>12566936.776543306</v>
      </c>
      <c r="R119">
        <f t="shared" ref="R119" si="572">R120+Q119</f>
        <v>1597086296.9051044</v>
      </c>
      <c r="S119">
        <f t="shared" ref="S119" si="573">R119/100000</f>
        <v>15970.862969051044</v>
      </c>
      <c r="T119">
        <f t="shared" ref="T119" si="574">S119/1000</f>
        <v>15.970862969051044</v>
      </c>
    </row>
    <row r="120" spans="1:20" x14ac:dyDescent="0.25">
      <c r="A120" s="5">
        <v>44473</v>
      </c>
      <c r="B120">
        <v>4.6369999999999996</v>
      </c>
      <c r="C120">
        <v>4.7409999999999997</v>
      </c>
      <c r="D120">
        <v>4.3360000000000003</v>
      </c>
      <c r="E120">
        <v>4.5830000000000002</v>
      </c>
      <c r="F120">
        <v>29004763.699999999</v>
      </c>
      <c r="G120">
        <v>4.5830000000000002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0.21975308641975444</v>
      </c>
      <c r="Q120">
        <f t="shared" ref="Q120" si="576">F120*P120</f>
        <v>6373886.3439506562</v>
      </c>
      <c r="R120">
        <f t="shared" ref="R120" si="577">R121+Q120</f>
        <v>1584519360.128561</v>
      </c>
      <c r="S120">
        <f t="shared" ref="S120" si="578">R120/100000</f>
        <v>15845.193601285609</v>
      </c>
      <c r="T120">
        <f t="shared" ref="T120" si="579">S120/1000</f>
        <v>15.84519360128561</v>
      </c>
    </row>
    <row r="121" spans="1:20" x14ac:dyDescent="0.25">
      <c r="A121" s="5">
        <v>44472</v>
      </c>
      <c r="B121">
        <v>4.32</v>
      </c>
      <c r="C121">
        <v>4.8630000000000004</v>
      </c>
      <c r="D121">
        <v>4.2229999999999999</v>
      </c>
      <c r="E121">
        <v>4.6459999999999999</v>
      </c>
      <c r="F121">
        <v>32037249.899999999</v>
      </c>
      <c r="G121">
        <v>4.6459999999999999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0.32187499999999897</v>
      </c>
      <c r="Q121">
        <f t="shared" ref="Q121" si="581">F121*P121</f>
        <v>10311989.811562467</v>
      </c>
      <c r="R121">
        <f t="shared" ref="R121" si="582">R122+Q121</f>
        <v>1578145473.7846103</v>
      </c>
      <c r="S121">
        <f t="shared" ref="S121" si="583">R121/100000</f>
        <v>15781.454737846103</v>
      </c>
      <c r="T121">
        <f t="shared" ref="T121" si="584">S121/1000</f>
        <v>15.781454737846103</v>
      </c>
    </row>
    <row r="122" spans="1:20" x14ac:dyDescent="0.25">
      <c r="A122" s="5">
        <v>44471</v>
      </c>
      <c r="B122">
        <v>4.274</v>
      </c>
      <c r="C122">
        <v>4.4619999999999997</v>
      </c>
      <c r="D122">
        <v>4.1909999999999998</v>
      </c>
      <c r="E122">
        <v>4.3220000000000001</v>
      </c>
      <c r="F122">
        <v>16433586.9</v>
      </c>
      <c r="G122">
        <v>4.3220000000000001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-3.3210332103319029E-2</v>
      </c>
      <c r="Q122">
        <f t="shared" ref="Q122" si="586">F122*P122</f>
        <v>-545764.87859775301</v>
      </c>
      <c r="R122">
        <f t="shared" ref="R122" si="587">R123+Q122</f>
        <v>1567833483.9730477</v>
      </c>
      <c r="S122">
        <f t="shared" ref="S122" si="588">R122/100000</f>
        <v>15678.334839730478</v>
      </c>
      <c r="T122">
        <f t="shared" ref="T122" si="589">S122/1000</f>
        <v>15.678334839730478</v>
      </c>
    </row>
    <row r="123" spans="1:20" x14ac:dyDescent="0.25">
      <c r="A123" s="5">
        <v>44470</v>
      </c>
      <c r="B123">
        <v>3.9380000000000002</v>
      </c>
      <c r="C123">
        <v>4.29</v>
      </c>
      <c r="D123">
        <v>3.907</v>
      </c>
      <c r="E123">
        <v>4.2750000000000004</v>
      </c>
      <c r="F123">
        <v>25546810.899999999</v>
      </c>
      <c r="G123">
        <v>4.2750000000000004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0.92167101827676412</v>
      </c>
      <c r="Q123">
        <f t="shared" ref="Q123" si="591">F123*P123</f>
        <v>23545755.215926934</v>
      </c>
      <c r="R123">
        <f t="shared" ref="R123" si="592">R124+Q123</f>
        <v>1568379248.8516455</v>
      </c>
      <c r="S123">
        <f t="shared" ref="S123" si="593">R123/100000</f>
        <v>15683.792488516454</v>
      </c>
      <c r="T123">
        <f t="shared" ref="T123" si="594">S123/1000</f>
        <v>15.683792488516454</v>
      </c>
    </row>
    <row r="124" spans="1:20" x14ac:dyDescent="0.25">
      <c r="A124" s="5">
        <v>44469</v>
      </c>
      <c r="B124">
        <v>3.7450000000000001</v>
      </c>
      <c r="C124">
        <v>3.9489999999999998</v>
      </c>
      <c r="D124">
        <v>3.7210000000000001</v>
      </c>
      <c r="E124">
        <v>3.9380000000000002</v>
      </c>
      <c r="F124">
        <v>14072530.4</v>
      </c>
      <c r="G124">
        <v>3.9380000000000002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0.90350877192982726</v>
      </c>
      <c r="Q124">
        <f t="shared" ref="Q124" si="596">F124*P124</f>
        <v>12714654.659649162</v>
      </c>
      <c r="R124">
        <f t="shared" ref="R124" si="597">R125+Q124</f>
        <v>1544833493.6357186</v>
      </c>
      <c r="S124">
        <f t="shared" ref="S124" si="598">R124/100000</f>
        <v>15448.334936357185</v>
      </c>
      <c r="T124">
        <f t="shared" ref="T124" si="599">S124/1000</f>
        <v>15.448334936357185</v>
      </c>
    </row>
    <row r="125" spans="1:20" x14ac:dyDescent="0.25">
      <c r="A125" s="5">
        <v>44468</v>
      </c>
      <c r="B125">
        <v>3.6819999999999999</v>
      </c>
      <c r="C125">
        <v>3.8690000000000002</v>
      </c>
      <c r="D125">
        <v>3.6360000000000001</v>
      </c>
      <c r="E125">
        <v>3.7450000000000001</v>
      </c>
      <c r="F125">
        <v>14602456.4</v>
      </c>
      <c r="G125">
        <v>3.7450000000000001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-6.4377682403433986E-2</v>
      </c>
      <c r="Q125">
        <f t="shared" ref="Q125" si="601">F125*P125</f>
        <v>-940072.30042919202</v>
      </c>
      <c r="R125">
        <f t="shared" ref="R125" si="602">R126+Q125</f>
        <v>1532118838.9760695</v>
      </c>
      <c r="S125">
        <f t="shared" ref="S125" si="603">R125/100000</f>
        <v>15321.188389760695</v>
      </c>
      <c r="T125">
        <f t="shared" ref="T125" si="604">S125/1000</f>
        <v>15.321188389760694</v>
      </c>
    </row>
    <row r="126" spans="1:20" x14ac:dyDescent="0.25">
      <c r="A126" s="5">
        <v>44467</v>
      </c>
      <c r="B126">
        <v>3.827</v>
      </c>
      <c r="C126">
        <v>3.9009999999999998</v>
      </c>
      <c r="D126">
        <v>3.6539999999999999</v>
      </c>
      <c r="E126">
        <v>3.6829999999999998</v>
      </c>
      <c r="F126">
        <v>19207471.379999999</v>
      </c>
      <c r="G126">
        <v>3.6829999999999998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-0.76518218623481837</v>
      </c>
      <c r="Q126">
        <f t="shared" ref="Q126" si="606">F126*P126</f>
        <v>-14697214.942591103</v>
      </c>
      <c r="R126">
        <f t="shared" ref="R126" si="607">R127+Q126</f>
        <v>1533058911.2764986</v>
      </c>
      <c r="S126">
        <f t="shared" ref="S126" si="608">R126/100000</f>
        <v>15330.589112764985</v>
      </c>
      <c r="T126">
        <f t="shared" ref="T126" si="609">S126/1000</f>
        <v>15.330589112764985</v>
      </c>
    </row>
    <row r="127" spans="1:20" x14ac:dyDescent="0.25">
      <c r="A127" s="5">
        <v>44466</v>
      </c>
      <c r="B127">
        <v>3.9689999999999999</v>
      </c>
      <c r="C127">
        <v>4.1120000000000001</v>
      </c>
      <c r="D127">
        <v>3.823</v>
      </c>
      <c r="E127">
        <v>3.8290000000000002</v>
      </c>
      <c r="F127">
        <v>20144158.5</v>
      </c>
      <c r="G127">
        <v>3.8290000000000002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-0.95847750865051751</v>
      </c>
      <c r="Q127">
        <f t="shared" ref="Q127" si="611">F127*P127</f>
        <v>-19307722.852941144</v>
      </c>
      <c r="R127">
        <f t="shared" ref="R127" si="612">R128+Q127</f>
        <v>1547756126.2190897</v>
      </c>
      <c r="S127">
        <f t="shared" ref="S127" si="613">R127/100000</f>
        <v>15477.561262190897</v>
      </c>
      <c r="T127">
        <f t="shared" ref="T127" si="614">S127/1000</f>
        <v>15.477561262190896</v>
      </c>
    </row>
    <row r="128" spans="1:20" x14ac:dyDescent="0.25">
      <c r="A128" s="5">
        <v>44465</v>
      </c>
      <c r="B128">
        <v>4.0090000000000003</v>
      </c>
      <c r="C128">
        <v>4.1550000000000002</v>
      </c>
      <c r="D128">
        <v>3.673</v>
      </c>
      <c r="E128">
        <v>3.9710000000000001</v>
      </c>
      <c r="F128">
        <v>31792881.190000001</v>
      </c>
      <c r="G128">
        <v>3.9710000000000001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0.23651452282157642</v>
      </c>
      <c r="Q128">
        <f t="shared" ref="Q128" si="616">F128*P128</f>
        <v>7519478.1237759227</v>
      </c>
      <c r="R128">
        <f t="shared" ref="R128" si="617">R129+Q128</f>
        <v>1567063849.0720308</v>
      </c>
      <c r="S128">
        <f t="shared" ref="S128" si="618">R128/100000</f>
        <v>15670.638490720308</v>
      </c>
      <c r="T128">
        <f t="shared" ref="T128" si="619">S128/1000</f>
        <v>15.670638490720309</v>
      </c>
    </row>
    <row r="129" spans="1:20" x14ac:dyDescent="0.25">
      <c r="A129" s="5">
        <v>44464</v>
      </c>
      <c r="B129">
        <v>4.0279999999999996</v>
      </c>
      <c r="C129">
        <v>4.0970000000000004</v>
      </c>
      <c r="D129">
        <v>3.903</v>
      </c>
      <c r="E129">
        <v>4.0110000000000001</v>
      </c>
      <c r="F129">
        <v>17591135.600000001</v>
      </c>
      <c r="G129">
        <v>4.0110000000000001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0.11340206185566883</v>
      </c>
      <c r="Q129">
        <f t="shared" ref="Q129" si="621">F129*P129</f>
        <v>1994871.0474226582</v>
      </c>
      <c r="R129">
        <f t="shared" ref="R129" si="622">R130+Q129</f>
        <v>1559544370.9482548</v>
      </c>
      <c r="S129">
        <f t="shared" ref="S129" si="623">R129/100000</f>
        <v>15595.443709482548</v>
      </c>
      <c r="T129">
        <f t="shared" ref="T129" si="624">S129/1000</f>
        <v>15.595443709482549</v>
      </c>
    </row>
    <row r="130" spans="1:20" x14ac:dyDescent="0.25">
      <c r="A130" s="5">
        <v>44463</v>
      </c>
      <c r="B130">
        <v>4.3730000000000002</v>
      </c>
      <c r="C130">
        <v>4.3879999999999999</v>
      </c>
      <c r="D130">
        <v>3.7850000000000001</v>
      </c>
      <c r="E130">
        <v>4.0279999999999996</v>
      </c>
      <c r="F130">
        <v>33853500</v>
      </c>
      <c r="G130">
        <v>4.0279999999999996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-0.19402985074627019</v>
      </c>
      <c r="Q130">
        <f t="shared" ref="Q130" si="626">F130*P130</f>
        <v>-6568589.5522388574</v>
      </c>
      <c r="R130">
        <f t="shared" ref="R130" si="627">R131+Q130</f>
        <v>1557549499.9008322</v>
      </c>
      <c r="S130">
        <f t="shared" ref="S130" si="628">R130/100000</f>
        <v>15575.494999008322</v>
      </c>
      <c r="T130">
        <f t="shared" ref="T130" si="629">S130/1000</f>
        <v>15.575494999008322</v>
      </c>
    </row>
    <row r="131" spans="1:20" x14ac:dyDescent="0.25">
      <c r="A131" s="5">
        <v>44462</v>
      </c>
      <c r="B131">
        <v>4.2990000000000004</v>
      </c>
      <c r="C131">
        <v>4.3890000000000002</v>
      </c>
      <c r="D131">
        <v>4.1920000000000002</v>
      </c>
      <c r="E131">
        <v>4.3739999999999997</v>
      </c>
      <c r="F131">
        <v>18849293.899999999</v>
      </c>
      <c r="G131">
        <v>4.3739999999999997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0.84771573604060346</v>
      </c>
      <c r="Q131">
        <f t="shared" ref="Q131" si="631">F131*P131</f>
        <v>15978843.052284155</v>
      </c>
      <c r="R131">
        <f t="shared" ref="R131" si="632">R132+Q131</f>
        <v>1564118089.4530711</v>
      </c>
      <c r="S131">
        <f t="shared" ref="S131" si="633">R131/100000</f>
        <v>15641.180894530711</v>
      </c>
      <c r="T131">
        <f t="shared" ref="T131" si="634">S131/1000</f>
        <v>15.641180894530711</v>
      </c>
    </row>
    <row r="132" spans="1:20" x14ac:dyDescent="0.25">
      <c r="A132" s="5">
        <v>44461</v>
      </c>
      <c r="B132">
        <v>3.887</v>
      </c>
      <c r="C132">
        <v>4.3310000000000004</v>
      </c>
      <c r="D132">
        <v>3.806</v>
      </c>
      <c r="E132">
        <v>4.3</v>
      </c>
      <c r="F132">
        <v>25447899.699999999</v>
      </c>
      <c r="G132">
        <v>4.3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0.88190476190475975</v>
      </c>
      <c r="Q132">
        <f t="shared" ref="Q132" si="636">F132*P132</f>
        <v>22442623.925904706</v>
      </c>
      <c r="R132">
        <f t="shared" ref="R132" si="637">R133+Q132</f>
        <v>1548139246.4007869</v>
      </c>
      <c r="S132">
        <f t="shared" ref="S132" si="638">R132/100000</f>
        <v>15481.392464007869</v>
      </c>
      <c r="T132">
        <f t="shared" ref="T132" si="639">S132/1000</f>
        <v>15.48139246400787</v>
      </c>
    </row>
    <row r="133" spans="1:20" x14ac:dyDescent="0.25">
      <c r="A133" s="5">
        <v>44460</v>
      </c>
      <c r="B133">
        <v>4.202</v>
      </c>
      <c r="C133">
        <v>4.3099999999999996</v>
      </c>
      <c r="D133">
        <v>3.7850000000000001</v>
      </c>
      <c r="E133">
        <v>3.8860000000000001</v>
      </c>
      <c r="F133">
        <v>42840173.920000002</v>
      </c>
      <c r="G133">
        <v>3.8860000000000001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-0.61523809523809492</v>
      </c>
      <c r="Q133">
        <f t="shared" ref="Q133" si="641">F133*P133</f>
        <v>-26356907.002209511</v>
      </c>
      <c r="R133">
        <f t="shared" ref="R133" si="642">R134+Q133</f>
        <v>1525696622.4748821</v>
      </c>
      <c r="S133">
        <f t="shared" ref="S133" si="643">R133/100000</f>
        <v>15256.966224748821</v>
      </c>
      <c r="T133">
        <f t="shared" ref="T133" si="644">S133/1000</f>
        <v>15.256966224748821</v>
      </c>
    </row>
    <row r="134" spans="1:20" x14ac:dyDescent="0.25">
      <c r="A134" s="5">
        <v>44459</v>
      </c>
      <c r="B134">
        <v>4.9080000000000004</v>
      </c>
      <c r="C134">
        <v>4.9320000000000004</v>
      </c>
      <c r="D134">
        <v>4.407</v>
      </c>
      <c r="E134">
        <v>4.5259999999999998</v>
      </c>
      <c r="F134">
        <v>21285618.199999999</v>
      </c>
      <c r="G134">
        <v>4.5259999999999998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-0.54666666666666786</v>
      </c>
      <c r="Q134">
        <f t="shared" ref="Q134" si="646">F134*P134</f>
        <v>-11636137.949333359</v>
      </c>
      <c r="R134">
        <f t="shared" ref="R134" si="647">R135+Q134</f>
        <v>1552053529.4770916</v>
      </c>
      <c r="S134">
        <f t="shared" ref="S134" si="648">R134/100000</f>
        <v>15520.535294770916</v>
      </c>
      <c r="T134">
        <f t="shared" ref="T134" si="649">S134/1000</f>
        <v>15.520535294770916</v>
      </c>
    </row>
    <row r="135" spans="1:20" x14ac:dyDescent="0.25">
      <c r="A135" s="5">
        <v>44458</v>
      </c>
      <c r="B135">
        <v>5.468</v>
      </c>
      <c r="C135">
        <v>5.5060000000000002</v>
      </c>
      <c r="D135">
        <v>4.8559999999999999</v>
      </c>
      <c r="E135">
        <v>4.9089999999999998</v>
      </c>
      <c r="F135">
        <v>24530825.899999999</v>
      </c>
      <c r="G135">
        <v>4.9089999999999998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-0.83692307692307721</v>
      </c>
      <c r="Q135">
        <f t="shared" ref="Q135" si="651">F135*P135</f>
        <v>-20530414.291692313</v>
      </c>
      <c r="R135">
        <f t="shared" ref="R135" si="652">R136+Q135</f>
        <v>1563689667.426425</v>
      </c>
      <c r="S135">
        <f t="shared" ref="S135" si="653">R135/100000</f>
        <v>15636.89667426425</v>
      </c>
      <c r="T135">
        <f t="shared" ref="T135" si="654">S135/1000</f>
        <v>15.63689667426425</v>
      </c>
    </row>
    <row r="136" spans="1:20" x14ac:dyDescent="0.25">
      <c r="A136" s="5">
        <v>44457</v>
      </c>
      <c r="B136">
        <v>5.2510000000000003</v>
      </c>
      <c r="C136">
        <v>5.51</v>
      </c>
      <c r="D136">
        <v>5.101</v>
      </c>
      <c r="E136">
        <v>5.4660000000000002</v>
      </c>
      <c r="F136">
        <v>32809284.800000001</v>
      </c>
      <c r="G136">
        <v>5.4660000000000002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0.78484107579462292</v>
      </c>
      <c r="Q136">
        <f t="shared" ref="Q136" si="656">F136*P136</f>
        <v>25750074.378484171</v>
      </c>
      <c r="R136">
        <f t="shared" ref="R136" si="657">R137+Q136</f>
        <v>1584220081.7181172</v>
      </c>
      <c r="S136">
        <f t="shared" ref="S136" si="658">R136/100000</f>
        <v>15842.200817181172</v>
      </c>
      <c r="T136">
        <f t="shared" ref="T136" si="659">S136/1000</f>
        <v>15.842200817181173</v>
      </c>
    </row>
    <row r="137" spans="1:20" x14ac:dyDescent="0.25">
      <c r="A137" s="5">
        <v>44456</v>
      </c>
      <c r="B137">
        <v>5.016</v>
      </c>
      <c r="C137">
        <v>5.52</v>
      </c>
      <c r="D137">
        <v>4.9480000000000004</v>
      </c>
      <c r="E137">
        <v>5.2510000000000003</v>
      </c>
      <c r="F137">
        <v>50141724.700000003</v>
      </c>
      <c r="G137">
        <v>5.2510000000000003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5.9440559440560745E-2</v>
      </c>
      <c r="Q137">
        <f t="shared" ref="Q137" si="661">F137*P137</f>
        <v>2980452.1674825829</v>
      </c>
      <c r="R137">
        <f t="shared" ref="R137" si="662">R138+Q137</f>
        <v>1558470007.339633</v>
      </c>
      <c r="S137">
        <f t="shared" ref="S137" si="663">R137/100000</f>
        <v>15584.70007339633</v>
      </c>
      <c r="T137">
        <f t="shared" ref="T137" si="664">S137/1000</f>
        <v>15.584700073396331</v>
      </c>
    </row>
    <row r="138" spans="1:20" x14ac:dyDescent="0.25">
      <c r="A138" s="5">
        <v>44455</v>
      </c>
      <c r="B138">
        <v>5.1040000000000001</v>
      </c>
      <c r="C138">
        <v>5.1870000000000003</v>
      </c>
      <c r="D138">
        <v>4.8760000000000003</v>
      </c>
      <c r="E138">
        <v>5.016</v>
      </c>
      <c r="F138">
        <v>23139019.899999999</v>
      </c>
      <c r="G138">
        <v>5.016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-9.9678456591641762E-2</v>
      </c>
      <c r="Q138">
        <f t="shared" ref="Q138" si="666">F138*P138</f>
        <v>-2306461.7906752848</v>
      </c>
      <c r="R138">
        <f t="shared" ref="R138" si="667">R139+Q138</f>
        <v>1555489555.1721504</v>
      </c>
      <c r="S138">
        <f t="shared" ref="S138" si="668">R138/100000</f>
        <v>15554.895551721504</v>
      </c>
      <c r="T138">
        <f t="shared" ref="T138" si="669">S138/1000</f>
        <v>15.554895551721504</v>
      </c>
    </row>
    <row r="139" spans="1:20" x14ac:dyDescent="0.25">
      <c r="A139" s="5">
        <v>44454</v>
      </c>
      <c r="B139">
        <v>4.8630000000000004</v>
      </c>
      <c r="C139">
        <v>5.1559999999999997</v>
      </c>
      <c r="D139">
        <v>4.7699999999999996</v>
      </c>
      <c r="E139">
        <v>5.1029999999999998</v>
      </c>
      <c r="F139">
        <v>23099748.800000001</v>
      </c>
      <c r="G139">
        <v>5.1029999999999998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0.7253886010362699</v>
      </c>
      <c r="Q139">
        <f t="shared" ref="Q139" si="671">F139*P139</f>
        <v>16756294.466321254</v>
      </c>
      <c r="R139">
        <f t="shared" ref="R139" si="672">R140+Q139</f>
        <v>1557796016.9628258</v>
      </c>
      <c r="S139">
        <f t="shared" ref="S139" si="673">R139/100000</f>
        <v>15577.960169628257</v>
      </c>
      <c r="T139">
        <f t="shared" ref="T139" si="674">S139/1000</f>
        <v>15.577960169628257</v>
      </c>
    </row>
    <row r="140" spans="1:20" x14ac:dyDescent="0.25">
      <c r="A140" s="5">
        <v>44453</v>
      </c>
      <c r="B140">
        <v>4.7389999999999999</v>
      </c>
      <c r="C140">
        <v>4.8789999999999996</v>
      </c>
      <c r="D140">
        <v>4.7030000000000003</v>
      </c>
      <c r="E140">
        <v>4.8639999999999999</v>
      </c>
      <c r="F140">
        <v>21272840.300000001</v>
      </c>
      <c r="G140">
        <v>4.8639999999999999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0.82954545454545747</v>
      </c>
      <c r="Q140">
        <f t="shared" ref="Q140" si="676">F140*P140</f>
        <v>17646787.976136427</v>
      </c>
      <c r="R140">
        <f t="shared" ref="R140" si="677">R141+Q140</f>
        <v>1541039722.4965045</v>
      </c>
      <c r="S140">
        <f t="shared" ref="S140" si="678">R140/100000</f>
        <v>15410.397224965045</v>
      </c>
      <c r="T140">
        <f t="shared" ref="T140" si="679">S140/1000</f>
        <v>15.410397224965045</v>
      </c>
    </row>
    <row r="141" spans="1:20" x14ac:dyDescent="0.25">
      <c r="A141" s="5">
        <v>44452</v>
      </c>
      <c r="B141">
        <v>4.8789999999999996</v>
      </c>
      <c r="C141">
        <v>4.9489999999999998</v>
      </c>
      <c r="D141">
        <v>4.484</v>
      </c>
      <c r="E141">
        <v>4.7409999999999997</v>
      </c>
      <c r="F141">
        <v>35828237.100000001</v>
      </c>
      <c r="G141">
        <v>4.7409999999999997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0.10537634408602044</v>
      </c>
      <c r="Q141">
        <f t="shared" ref="Q141" si="681">F141*P141</f>
        <v>3775448.6406451231</v>
      </c>
      <c r="R141">
        <f t="shared" ref="R141" si="682">R142+Q141</f>
        <v>1523392934.5203681</v>
      </c>
      <c r="S141">
        <f t="shared" ref="S141" si="683">R141/100000</f>
        <v>15233.929345203682</v>
      </c>
      <c r="T141">
        <f t="shared" ref="T141" si="684">S141/1000</f>
        <v>15.233929345203682</v>
      </c>
    </row>
    <row r="142" spans="1:20" x14ac:dyDescent="0.25">
      <c r="A142" s="5">
        <v>44451</v>
      </c>
      <c r="B142">
        <v>4.6740000000000004</v>
      </c>
      <c r="C142">
        <v>5.08</v>
      </c>
      <c r="D142">
        <v>4.5739999999999998</v>
      </c>
      <c r="E142">
        <v>4.8780000000000001</v>
      </c>
      <c r="F142">
        <v>25603107.899999999</v>
      </c>
      <c r="G142">
        <v>4.8780000000000001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0.20158102766798472</v>
      </c>
      <c r="Q142">
        <f t="shared" ref="Q142" si="686">F142*P142</f>
        <v>5161100.801976298</v>
      </c>
      <c r="R142">
        <f t="shared" ref="R142" si="687">R143+Q142</f>
        <v>1519617485.8797231</v>
      </c>
      <c r="S142">
        <f t="shared" ref="S142" si="688">R142/100000</f>
        <v>15196.174858797231</v>
      </c>
      <c r="T142">
        <f t="shared" ref="T142" si="689">S142/1000</f>
        <v>15.19617485879723</v>
      </c>
    </row>
    <row r="143" spans="1:20" x14ac:dyDescent="0.25">
      <c r="A143" s="5">
        <v>44450</v>
      </c>
      <c r="B143">
        <v>4.5650000000000004</v>
      </c>
      <c r="C143">
        <v>4.7880000000000003</v>
      </c>
      <c r="D143">
        <v>4.5469999999999997</v>
      </c>
      <c r="E143">
        <v>4.6740000000000004</v>
      </c>
      <c r="F143">
        <v>17358531</v>
      </c>
      <c r="G143">
        <v>4.6740000000000004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5.3941908713696099E-2</v>
      </c>
      <c r="Q143">
        <f t="shared" ref="Q143" si="691">F143*P143</f>
        <v>936352.29460586386</v>
      </c>
      <c r="R143">
        <f t="shared" ref="R143" si="692">R144+Q143</f>
        <v>1514456385.0777469</v>
      </c>
      <c r="S143">
        <f t="shared" ref="S143" si="693">R143/100000</f>
        <v>15144.563850777469</v>
      </c>
      <c r="T143">
        <f t="shared" ref="T143" si="694">S143/1000</f>
        <v>15.14456385077747</v>
      </c>
    </row>
    <row r="144" spans="1:20" x14ac:dyDescent="0.25">
      <c r="A144" s="5">
        <v>44449</v>
      </c>
      <c r="B144">
        <v>4.8150000000000004</v>
      </c>
      <c r="C144">
        <v>5.0540000000000003</v>
      </c>
      <c r="D144">
        <v>4.4539999999999997</v>
      </c>
      <c r="E144">
        <v>4.5670000000000002</v>
      </c>
      <c r="F144">
        <v>29959604.5</v>
      </c>
      <c r="G144">
        <v>4.5670000000000002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-0.62333333333333218</v>
      </c>
      <c r="Q144">
        <f t="shared" ref="Q144" si="696">F144*P144</f>
        <v>-18674820.138333298</v>
      </c>
      <c r="R144">
        <f t="shared" ref="R144" si="697">R145+Q144</f>
        <v>1513520032.7831409</v>
      </c>
      <c r="S144">
        <f t="shared" ref="S144" si="698">R144/100000</f>
        <v>15135.20032783141</v>
      </c>
      <c r="T144">
        <f t="shared" ref="T144" si="699">S144/1000</f>
        <v>15.135200327831409</v>
      </c>
    </row>
    <row r="145" spans="1:20" x14ac:dyDescent="0.25">
      <c r="A145" s="5">
        <v>44448</v>
      </c>
      <c r="B145">
        <v>4.7439999999999998</v>
      </c>
      <c r="C145">
        <v>4.9530000000000003</v>
      </c>
      <c r="D145">
        <v>4.6550000000000002</v>
      </c>
      <c r="E145">
        <v>4.8150000000000004</v>
      </c>
      <c r="F145">
        <v>32137823.699999999</v>
      </c>
      <c r="G145">
        <v>4.8150000000000004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7.3825503355705493E-2</v>
      </c>
      <c r="Q145">
        <f t="shared" ref="Q145" si="701">F145*P145</f>
        <v>2372591.0114094215</v>
      </c>
      <c r="R145">
        <f t="shared" ref="R145" si="702">R146+Q145</f>
        <v>1532194852.9214742</v>
      </c>
      <c r="S145">
        <f t="shared" ref="S145" si="703">R145/100000</f>
        <v>15321.948529214742</v>
      </c>
      <c r="T145">
        <f t="shared" ref="T145" si="704">S145/1000</f>
        <v>15.321948529214742</v>
      </c>
    </row>
    <row r="146" spans="1:20" x14ac:dyDescent="0.25">
      <c r="A146" s="5">
        <v>44447</v>
      </c>
      <c r="B146">
        <v>4.8890000000000002</v>
      </c>
      <c r="C146">
        <v>4.9649999999999999</v>
      </c>
      <c r="D146">
        <v>4.4210000000000003</v>
      </c>
      <c r="E146">
        <v>4.7450000000000001</v>
      </c>
      <c r="F146">
        <v>44544821.899999999</v>
      </c>
      <c r="G146">
        <v>4.7450000000000001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0.19117647058823561</v>
      </c>
      <c r="Q146">
        <f t="shared" ref="Q146" si="706">F146*P146</f>
        <v>8515921.833823543</v>
      </c>
      <c r="R146">
        <f t="shared" ref="R146" si="707">R147+Q146</f>
        <v>1529822261.9100647</v>
      </c>
      <c r="S146">
        <f t="shared" ref="S146" si="708">R146/100000</f>
        <v>15298.222619100647</v>
      </c>
      <c r="T146">
        <f t="shared" ref="T146" si="709">S146/1000</f>
        <v>15.298222619100647</v>
      </c>
    </row>
    <row r="147" spans="1:20" x14ac:dyDescent="0.25">
      <c r="A147" s="5">
        <v>44446</v>
      </c>
      <c r="B147">
        <v>6.2160000000000002</v>
      </c>
      <c r="C147">
        <v>6.2569999999999997</v>
      </c>
      <c r="D147">
        <v>4.2610000000000001</v>
      </c>
      <c r="E147">
        <v>4.8869999999999996</v>
      </c>
      <c r="F147">
        <v>83993277.5</v>
      </c>
      <c r="G147">
        <v>4.8869999999999996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-0.37274549098196436</v>
      </c>
      <c r="Q147">
        <f t="shared" ref="Q147" si="711">F147*P147</f>
        <v>-31308115.46092188</v>
      </c>
      <c r="R147">
        <f t="shared" ref="R147" si="712">R148+Q147</f>
        <v>1521306340.0762413</v>
      </c>
      <c r="S147">
        <f t="shared" ref="S147" si="713">R147/100000</f>
        <v>15213.063400762412</v>
      </c>
      <c r="T147">
        <f t="shared" ref="T147" si="714">S147/1000</f>
        <v>15.213063400762412</v>
      </c>
    </row>
    <row r="148" spans="1:20" x14ac:dyDescent="0.25">
      <c r="A148" s="5">
        <v>44445</v>
      </c>
      <c r="B148">
        <v>6.2939999999999996</v>
      </c>
      <c r="C148">
        <v>6.4240000000000004</v>
      </c>
      <c r="D148">
        <v>5.8689999999999998</v>
      </c>
      <c r="E148">
        <v>6.2160000000000002</v>
      </c>
      <c r="F148">
        <v>41343997.859999999</v>
      </c>
      <c r="G148">
        <v>6.2160000000000002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0.25045045045045061</v>
      </c>
      <c r="Q148">
        <f t="shared" ref="Q148" si="716">F148*P148</f>
        <v>10354622.887459466</v>
      </c>
      <c r="R148">
        <f t="shared" ref="R148" si="717">R149+Q148</f>
        <v>1552614455.537163</v>
      </c>
      <c r="S148">
        <f t="shared" ref="S148" si="718">R148/100000</f>
        <v>15526.144555371629</v>
      </c>
      <c r="T148">
        <f t="shared" ref="T148" si="719">S148/1000</f>
        <v>15.52614455537163</v>
      </c>
    </row>
    <row r="149" spans="1:20" x14ac:dyDescent="0.25">
      <c r="A149" s="5">
        <v>44444</v>
      </c>
      <c r="B149">
        <v>5.6920000000000002</v>
      </c>
      <c r="C149">
        <v>6.33</v>
      </c>
      <c r="D149">
        <v>5.5110000000000001</v>
      </c>
      <c r="E149">
        <v>6.2939999999999996</v>
      </c>
      <c r="F149">
        <v>44796093.93</v>
      </c>
      <c r="G149">
        <v>6.2939999999999996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0.91208791208791096</v>
      </c>
      <c r="Q149">
        <f t="shared" ref="Q149" si="721">F149*P149</f>
        <v>40857975.78230764</v>
      </c>
      <c r="R149">
        <f t="shared" ref="R149" si="722">R150+Q149</f>
        <v>1542259832.6497035</v>
      </c>
      <c r="S149">
        <f t="shared" ref="S149" si="723">R149/100000</f>
        <v>15422.598326497035</v>
      </c>
      <c r="T149">
        <f t="shared" ref="T149" si="724">S149/1000</f>
        <v>15.422598326497035</v>
      </c>
    </row>
    <row r="150" spans="1:20" x14ac:dyDescent="0.25">
      <c r="A150" s="5">
        <v>44443</v>
      </c>
      <c r="B150">
        <v>5.6719999999999997</v>
      </c>
      <c r="C150">
        <v>5.8890000000000002</v>
      </c>
      <c r="D150">
        <v>5.5419999999999998</v>
      </c>
      <c r="E150">
        <v>5.6920000000000002</v>
      </c>
      <c r="F150">
        <v>36202187.640000001</v>
      </c>
      <c r="G150">
        <v>5.6920000000000002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-0.13544668587896153</v>
      </c>
      <c r="Q150">
        <f t="shared" ref="Q150" si="726">F150*P150</f>
        <v>-4903466.3374063037</v>
      </c>
      <c r="R150">
        <f t="shared" ref="R150" si="727">R151+Q150</f>
        <v>1501401856.8673959</v>
      </c>
      <c r="S150">
        <f t="shared" ref="S150" si="728">R150/100000</f>
        <v>15014.018568673959</v>
      </c>
      <c r="T150">
        <f t="shared" ref="T150" si="729">S150/1000</f>
        <v>15.01401856867396</v>
      </c>
    </row>
    <row r="151" spans="1:20" x14ac:dyDescent="0.25">
      <c r="A151" s="5">
        <v>44442</v>
      </c>
      <c r="B151">
        <v>5.2549999999999999</v>
      </c>
      <c r="C151">
        <v>5.742</v>
      </c>
      <c r="D151">
        <v>5.1260000000000003</v>
      </c>
      <c r="E151">
        <v>5.6710000000000003</v>
      </c>
      <c r="F151">
        <v>35918476.990000002</v>
      </c>
      <c r="G151">
        <v>5.6710000000000003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0.76948051948052021</v>
      </c>
      <c r="Q151">
        <f t="shared" ref="Q151" si="731">F151*P151</f>
        <v>27638568.333214313</v>
      </c>
      <c r="R151">
        <f t="shared" ref="R151" si="732">R152+Q151</f>
        <v>1506305323.2048023</v>
      </c>
      <c r="S151">
        <f t="shared" ref="S151" si="733">R151/100000</f>
        <v>15063.053232048023</v>
      </c>
      <c r="T151">
        <f t="shared" ref="T151" si="734">S151/1000</f>
        <v>15.063053232048023</v>
      </c>
    </row>
    <row r="152" spans="1:20" x14ac:dyDescent="0.25">
      <c r="A152" s="5">
        <v>44441</v>
      </c>
      <c r="B152">
        <v>5.31</v>
      </c>
      <c r="C152">
        <v>5.39</v>
      </c>
      <c r="D152">
        <v>5.17</v>
      </c>
      <c r="E152">
        <v>5.2560000000000002</v>
      </c>
      <c r="F152">
        <v>22117590.559999999</v>
      </c>
      <c r="G152">
        <v>5.2560000000000002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-0.21818181818181459</v>
      </c>
      <c r="Q152">
        <f t="shared" ref="Q152" si="736">F152*P152</f>
        <v>-4825656.1221817387</v>
      </c>
      <c r="R152">
        <f t="shared" ref="R152" si="737">R153+Q152</f>
        <v>1478666754.871588</v>
      </c>
      <c r="S152">
        <f t="shared" ref="S152" si="738">R152/100000</f>
        <v>14786.667548715879</v>
      </c>
      <c r="T152">
        <f t="shared" ref="T152" si="739">S152/1000</f>
        <v>14.786667548715879</v>
      </c>
    </row>
    <row r="153" spans="1:20" x14ac:dyDescent="0.25">
      <c r="A153" s="5">
        <v>44440</v>
      </c>
      <c r="B153">
        <v>5.0359999999999996</v>
      </c>
      <c r="C153">
        <v>5.33</v>
      </c>
      <c r="D153">
        <v>4.9039999999999999</v>
      </c>
      <c r="E153">
        <v>5.3120000000000003</v>
      </c>
      <c r="F153">
        <v>22888889.699999999</v>
      </c>
      <c r="G153">
        <v>5.3120000000000003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0.91549295774647987</v>
      </c>
      <c r="Q153">
        <f t="shared" ref="Q153" si="741">F153*P153</f>
        <v>20954617.330985937</v>
      </c>
      <c r="R153">
        <f t="shared" ref="R153" si="742">R154+Q153</f>
        <v>1483492410.9937696</v>
      </c>
      <c r="S153">
        <f t="shared" ref="S153" si="743">R153/100000</f>
        <v>14834.924109937696</v>
      </c>
      <c r="T153">
        <f t="shared" ref="T153" si="744">S153/1000</f>
        <v>14.834924109937695</v>
      </c>
    </row>
    <row r="154" spans="1:20" x14ac:dyDescent="0.25">
      <c r="A154" s="5">
        <v>44439</v>
      </c>
      <c r="B154">
        <v>4.819</v>
      </c>
      <c r="C154">
        <v>5.0990000000000002</v>
      </c>
      <c r="D154">
        <v>4.7539999999999996</v>
      </c>
      <c r="E154">
        <v>5.0369999999999999</v>
      </c>
      <c r="F154">
        <v>22327854.899999999</v>
      </c>
      <c r="G154">
        <v>5.0369999999999999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0.64057971014492665</v>
      </c>
      <c r="Q154">
        <f t="shared" ref="Q154" si="746">F154*P154</f>
        <v>14302770.81999998</v>
      </c>
      <c r="R154">
        <f t="shared" ref="R154" si="747">R155+Q154</f>
        <v>1462537793.6627836</v>
      </c>
      <c r="S154">
        <f t="shared" ref="S154" si="748">R154/100000</f>
        <v>14625.377936627836</v>
      </c>
      <c r="T154">
        <f t="shared" ref="T154" si="749">S154/1000</f>
        <v>14.625377936627835</v>
      </c>
    </row>
    <row r="155" spans="1:20" x14ac:dyDescent="0.25">
      <c r="A155" s="5">
        <v>44438</v>
      </c>
      <c r="B155">
        <v>5.0590000000000002</v>
      </c>
      <c r="C155">
        <v>5.077</v>
      </c>
      <c r="D155">
        <v>4.798</v>
      </c>
      <c r="E155">
        <v>4.82</v>
      </c>
      <c r="F155">
        <v>15171797.800000001</v>
      </c>
      <c r="G155">
        <v>4.82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-0.84229390681003402</v>
      </c>
      <c r="Q155">
        <f t="shared" ref="Q155" si="751">F155*P155</f>
        <v>-12779112.842293879</v>
      </c>
      <c r="R155">
        <f t="shared" ref="R155" si="752">R156+Q155</f>
        <v>1448235022.8427837</v>
      </c>
      <c r="S155">
        <f t="shared" ref="S155" si="753">R155/100000</f>
        <v>14482.350228427837</v>
      </c>
      <c r="T155">
        <f t="shared" ref="T155" si="754">S155/1000</f>
        <v>14.482350228427837</v>
      </c>
    </row>
    <row r="156" spans="1:20" x14ac:dyDescent="0.25">
      <c r="A156" s="5">
        <v>44437</v>
      </c>
      <c r="B156">
        <v>5.008</v>
      </c>
      <c r="C156">
        <v>5.2439</v>
      </c>
      <c r="D156">
        <v>4.97</v>
      </c>
      <c r="E156">
        <v>5.0590000000000002</v>
      </c>
      <c r="F156">
        <v>21113765.879999999</v>
      </c>
      <c r="G156">
        <v>5.0590000000000002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-0.3501277838627212</v>
      </c>
      <c r="Q156">
        <f t="shared" ref="Q156" si="756">F156*P156</f>
        <v>-7392516.0565607371</v>
      </c>
      <c r="R156">
        <f t="shared" ref="R156" si="757">R157+Q156</f>
        <v>1461014135.6850777</v>
      </c>
      <c r="S156">
        <f t="shared" ref="S156" si="758">R156/100000</f>
        <v>14610.141356850776</v>
      </c>
      <c r="T156">
        <f t="shared" ref="T156" si="759">S156/1000</f>
        <v>14.610141356850775</v>
      </c>
    </row>
    <row r="157" spans="1:20" x14ac:dyDescent="0.25">
      <c r="A157" s="5">
        <v>44436</v>
      </c>
      <c r="B157">
        <v>5.09</v>
      </c>
      <c r="C157">
        <v>5.1040000000000001</v>
      </c>
      <c r="D157">
        <v>4.875</v>
      </c>
      <c r="E157">
        <v>5.008</v>
      </c>
      <c r="F157">
        <v>15245359.41</v>
      </c>
      <c r="G157">
        <v>5.008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0.16157205240174632</v>
      </c>
      <c r="Q157">
        <f t="shared" ref="Q157" si="761">F157*P157</f>
        <v>2463224.0094759762</v>
      </c>
      <c r="R157">
        <f t="shared" ref="R157" si="762">R158+Q157</f>
        <v>1468406651.7416384</v>
      </c>
      <c r="S157">
        <f t="shared" ref="S157" si="763">R157/100000</f>
        <v>14684.066517416384</v>
      </c>
      <c r="T157">
        <f t="shared" ref="T157" si="764">S157/1000</f>
        <v>14.684066517416385</v>
      </c>
    </row>
    <row r="158" spans="1:20" x14ac:dyDescent="0.25">
      <c r="A158" s="5">
        <v>44435</v>
      </c>
      <c r="B158">
        <v>4.74</v>
      </c>
      <c r="C158">
        <v>5.0921000000000003</v>
      </c>
      <c r="D158">
        <v>4.62</v>
      </c>
      <c r="E158">
        <v>5.09</v>
      </c>
      <c r="F158">
        <v>24504849.800000001</v>
      </c>
      <c r="G158">
        <v>5.09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0.99110357975005114</v>
      </c>
      <c r="Q158">
        <f t="shared" ref="Q158" si="766">F158*P158</f>
        <v>24286844.358017325</v>
      </c>
      <c r="R158">
        <f t="shared" ref="R158" si="767">R159+Q158</f>
        <v>1465943427.7321625</v>
      </c>
      <c r="S158">
        <f t="shared" ref="S158" si="768">R158/100000</f>
        <v>14659.434277321625</v>
      </c>
      <c r="T158">
        <f t="shared" ref="T158" si="769">S158/1000</f>
        <v>14.659434277321624</v>
      </c>
    </row>
    <row r="159" spans="1:20" x14ac:dyDescent="0.25">
      <c r="A159" s="5">
        <v>44434</v>
      </c>
      <c r="B159">
        <v>5.2076000000000002</v>
      </c>
      <c r="C159">
        <v>5.2762000000000002</v>
      </c>
      <c r="D159">
        <v>4.6500000000000004</v>
      </c>
      <c r="E159">
        <v>4.74</v>
      </c>
      <c r="F159">
        <v>29201730.43</v>
      </c>
      <c r="G159">
        <v>4.74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-0.71255190035132587</v>
      </c>
      <c r="Q159">
        <f t="shared" ref="Q159" si="771">F159*P159</f>
        <v>-20807748.511443641</v>
      </c>
      <c r="R159">
        <f t="shared" ref="R159" si="772">R160+Q159</f>
        <v>1441656583.374145</v>
      </c>
      <c r="S159">
        <f t="shared" ref="S159" si="773">R159/100000</f>
        <v>14416.56583374145</v>
      </c>
      <c r="T159">
        <f t="shared" ref="T159" si="774">S159/1000</f>
        <v>14.41656583374145</v>
      </c>
    </row>
    <row r="160" spans="1:20" x14ac:dyDescent="0.25">
      <c r="A160" s="5">
        <v>44433</v>
      </c>
      <c r="B160">
        <v>5.0578000000000003</v>
      </c>
      <c r="C160">
        <v>5.25</v>
      </c>
      <c r="D160">
        <v>4.9031000000000002</v>
      </c>
      <c r="E160">
        <v>5.2093999999999996</v>
      </c>
      <c r="F160">
        <v>26365184.129999999</v>
      </c>
      <c r="G160">
        <v>5.2093999999999996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0.76592678005188564</v>
      </c>
      <c r="Q160">
        <f t="shared" ref="Q160" si="776">F160*P160</f>
        <v>20193800.586165976</v>
      </c>
      <c r="R160">
        <f t="shared" ref="R160" si="777">R161+Q160</f>
        <v>1462464331.8855886</v>
      </c>
      <c r="S160">
        <f t="shared" ref="S160" si="778">R160/100000</f>
        <v>14624.643318855886</v>
      </c>
      <c r="T160">
        <f t="shared" ref="T160" si="779">S160/1000</f>
        <v>14.624643318855886</v>
      </c>
    </row>
    <row r="161" spans="1:20" x14ac:dyDescent="0.25">
      <c r="A161" s="5">
        <v>44432</v>
      </c>
      <c r="B161">
        <v>5.5928000000000004</v>
      </c>
      <c r="C161">
        <v>5.6920000000000002</v>
      </c>
      <c r="D161">
        <v>4.8887999999999998</v>
      </c>
      <c r="E161">
        <v>5.0583</v>
      </c>
      <c r="F161">
        <v>36116074.219999999</v>
      </c>
      <c r="G161">
        <v>5.0583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-0.57793824701195184</v>
      </c>
      <c r="Q161">
        <f t="shared" ref="Q161" si="781">F161*P161</f>
        <v>-20872860.623660345</v>
      </c>
      <c r="R161">
        <f t="shared" ref="R161" si="782">R162+Q161</f>
        <v>1442270531.2994227</v>
      </c>
      <c r="S161">
        <f t="shared" ref="S161" si="783">R161/100000</f>
        <v>14422.705312994227</v>
      </c>
      <c r="T161">
        <f t="shared" ref="T161" si="784">S161/1000</f>
        <v>14.422705312994227</v>
      </c>
    </row>
    <row r="162" spans="1:20" x14ac:dyDescent="0.25">
      <c r="A162" s="5">
        <v>44431</v>
      </c>
      <c r="B162">
        <v>5.4138999999999999</v>
      </c>
      <c r="C162">
        <v>5.7039999999999997</v>
      </c>
      <c r="D162">
        <v>5.3608000000000002</v>
      </c>
      <c r="E162">
        <v>5.5928000000000004</v>
      </c>
      <c r="F162">
        <v>28113002.239999998</v>
      </c>
      <c r="G162">
        <v>5.5928000000000004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0.35198135198135511</v>
      </c>
      <c r="Q162">
        <f t="shared" ref="Q162" si="786">F162*P162</f>
        <v>9895252.5366900638</v>
      </c>
      <c r="R162">
        <f t="shared" ref="R162" si="787">R163+Q162</f>
        <v>1463143391.9230831</v>
      </c>
      <c r="S162">
        <f t="shared" ref="S162" si="788">R162/100000</f>
        <v>14631.433919230831</v>
      </c>
      <c r="T162">
        <f t="shared" ref="T162" si="789">S162/1000</f>
        <v>14.631433919230831</v>
      </c>
    </row>
    <row r="163" spans="1:20" x14ac:dyDescent="0.25">
      <c r="A163" s="5">
        <v>44430</v>
      </c>
      <c r="B163">
        <v>5.3536000000000001</v>
      </c>
      <c r="C163">
        <v>5.48</v>
      </c>
      <c r="D163">
        <v>5.3292999999999999</v>
      </c>
      <c r="E163">
        <v>5.4596999999999998</v>
      </c>
      <c r="F163">
        <v>4423404.4800000004</v>
      </c>
      <c r="G163">
        <v>5.4596999999999998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0.73059057730589805</v>
      </c>
      <c r="Q163">
        <f t="shared" ref="Q163" si="791">F163*P163</f>
        <v>3231697.6327006961</v>
      </c>
      <c r="R163">
        <f t="shared" ref="R163" si="792">R164+Q163</f>
        <v>1453248139.3863931</v>
      </c>
      <c r="S163">
        <f t="shared" ref="S163" si="793">R163/100000</f>
        <v>14532.481393863931</v>
      </c>
      <c r="T163">
        <f t="shared" ref="T163" si="794">S163/1000</f>
        <v>14.532481393863931</v>
      </c>
    </row>
    <row r="164" spans="1:20" x14ac:dyDescent="0.25">
      <c r="A164" s="5">
        <v>44429</v>
      </c>
      <c r="B164">
        <v>5.4565000000000001</v>
      </c>
      <c r="C164">
        <v>5.6482999999999999</v>
      </c>
      <c r="D164">
        <v>5.2747999999999999</v>
      </c>
      <c r="E164">
        <v>5.3544999999999998</v>
      </c>
      <c r="F164">
        <v>26318002.329999998</v>
      </c>
      <c r="G164">
        <v>5.3544999999999998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-0.57322623828647978</v>
      </c>
      <c r="Q164">
        <f t="shared" ref="Q164" si="796">F164*P164</f>
        <v>-15086169.47484071</v>
      </c>
      <c r="R164">
        <f t="shared" ref="R164" si="797">R165+Q164</f>
        <v>1450016441.7536924</v>
      </c>
      <c r="S164">
        <f t="shared" ref="S164" si="798">R164/100000</f>
        <v>14500.164417536924</v>
      </c>
      <c r="T164">
        <f t="shared" ref="T164" si="799">S164/1000</f>
        <v>14.500164417536924</v>
      </c>
    </row>
    <row r="165" spans="1:20" x14ac:dyDescent="0.25">
      <c r="A165" s="5">
        <v>44428</v>
      </c>
      <c r="B165">
        <v>5.2553999999999998</v>
      </c>
      <c r="C165">
        <v>5.4764999999999997</v>
      </c>
      <c r="D165">
        <v>5.1859000000000002</v>
      </c>
      <c r="E165">
        <v>5.4560000000000004</v>
      </c>
      <c r="F165">
        <v>22338375.620000001</v>
      </c>
      <c r="G165">
        <v>5.4560000000000004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0.85891259463180092</v>
      </c>
      <c r="Q165">
        <f t="shared" ref="Q165" si="801">F165*P165</f>
        <v>19186712.163633965</v>
      </c>
      <c r="R165">
        <f t="shared" ref="R165" si="802">R166+Q165</f>
        <v>1465102611.228533</v>
      </c>
      <c r="S165">
        <f t="shared" ref="S165" si="803">R165/100000</f>
        <v>14651.02611228533</v>
      </c>
      <c r="T165">
        <f t="shared" ref="T165" si="804">S165/1000</f>
        <v>14.651026112285329</v>
      </c>
    </row>
    <row r="166" spans="1:20" x14ac:dyDescent="0.25">
      <c r="A166" s="5">
        <v>44427</v>
      </c>
      <c r="B166">
        <v>4.9794999999999998</v>
      </c>
      <c r="C166">
        <v>5.2577999999999996</v>
      </c>
      <c r="D166">
        <v>4.8117000000000001</v>
      </c>
      <c r="E166">
        <v>5.2541000000000002</v>
      </c>
      <c r="F166">
        <v>25039173.98</v>
      </c>
      <c r="G166">
        <v>5.2541000000000002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0.9834117910782364</v>
      </c>
      <c r="Q166">
        <f t="shared" ref="Q166" si="806">F166*P166</f>
        <v>24623818.930791374</v>
      </c>
      <c r="R166">
        <f t="shared" ref="R166" si="807">R167+Q166</f>
        <v>1445915899.064899</v>
      </c>
      <c r="S166">
        <f t="shared" ref="S166" si="808">R166/100000</f>
        <v>14459.15899064899</v>
      </c>
      <c r="T166">
        <f t="shared" ref="T166" si="809">S166/1000</f>
        <v>14.459158990648989</v>
      </c>
    </row>
    <row r="167" spans="1:20" x14ac:dyDescent="0.25">
      <c r="A167" s="5">
        <v>44426</v>
      </c>
      <c r="B167">
        <v>5.0620000000000003</v>
      </c>
      <c r="C167">
        <v>5.1772</v>
      </c>
      <c r="D167">
        <v>4.7278000000000002</v>
      </c>
      <c r="E167">
        <v>4.9800000000000004</v>
      </c>
      <c r="F167">
        <v>31200586.129999999</v>
      </c>
      <c r="G167">
        <v>4.9800000000000004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0.12238540275923593</v>
      </c>
      <c r="Q167">
        <f t="shared" ref="Q167" si="811">F167*P167</f>
        <v>3818496.2998442799</v>
      </c>
      <c r="R167">
        <f t="shared" ref="R167" si="812">R168+Q167</f>
        <v>1421292080.1341076</v>
      </c>
      <c r="S167">
        <f t="shared" ref="S167" si="813">R167/100000</f>
        <v>14212.920801341075</v>
      </c>
      <c r="T167">
        <f t="shared" ref="T167" si="814">S167/1000</f>
        <v>14.212920801341076</v>
      </c>
    </row>
    <row r="168" spans="1:20" x14ac:dyDescent="0.25">
      <c r="A168" s="5">
        <v>44425</v>
      </c>
      <c r="B168">
        <v>5.5159000000000002</v>
      </c>
      <c r="C168">
        <v>5.6875</v>
      </c>
      <c r="D168">
        <v>5.0045000000000002</v>
      </c>
      <c r="E168">
        <v>5.0603999999999996</v>
      </c>
      <c r="F168">
        <v>38526139.310000002</v>
      </c>
      <c r="G168">
        <v>5.0603999999999996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-0.83631039531478946</v>
      </c>
      <c r="Q168">
        <f t="shared" ref="Q168" si="816">F168*P168</f>
        <v>-32219810.796298753</v>
      </c>
      <c r="R168">
        <f t="shared" ref="R168" si="817">R169+Q168</f>
        <v>1417473583.8342633</v>
      </c>
      <c r="S168">
        <f t="shared" ref="S168" si="818">R168/100000</f>
        <v>14174.735838342633</v>
      </c>
      <c r="T168">
        <f t="shared" ref="T168" si="819">S168/1000</f>
        <v>14.174735838342633</v>
      </c>
    </row>
    <row r="169" spans="1:20" x14ac:dyDescent="0.25">
      <c r="A169" s="5">
        <v>44424</v>
      </c>
      <c r="B169">
        <v>5.6931000000000003</v>
      </c>
      <c r="C169">
        <v>5.94</v>
      </c>
      <c r="D169">
        <v>5.4458000000000002</v>
      </c>
      <c r="E169">
        <v>5.5170000000000003</v>
      </c>
      <c r="F169">
        <v>37569857.420000002</v>
      </c>
      <c r="G169">
        <v>5.5170000000000003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-0.71185754755159802</v>
      </c>
      <c r="Q169">
        <f t="shared" ref="Q169" si="821">F169*P169</f>
        <v>-26744386.564864408</v>
      </c>
      <c r="R169">
        <f t="shared" ref="R169" si="822">R170+Q169</f>
        <v>1449693394.6305621</v>
      </c>
      <c r="S169">
        <f t="shared" ref="S169" si="823">R169/100000</f>
        <v>14496.93394630562</v>
      </c>
      <c r="T169">
        <f t="shared" ref="T169" si="824">S169/1000</f>
        <v>14.496933946305621</v>
      </c>
    </row>
    <row r="170" spans="1:20" x14ac:dyDescent="0.25">
      <c r="A170" s="5">
        <v>44423</v>
      </c>
      <c r="B170">
        <v>5.4813999999999998</v>
      </c>
      <c r="C170">
        <v>5.7042000000000002</v>
      </c>
      <c r="D170">
        <v>5.1212999999999997</v>
      </c>
      <c r="E170">
        <v>5.6931000000000003</v>
      </c>
      <c r="F170">
        <v>32565166.879999999</v>
      </c>
      <c r="G170">
        <v>5.6931000000000003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0.96191456510550732</v>
      </c>
      <c r="Q170">
        <f t="shared" ref="Q170" si="826">F170*P170</f>
        <v>31324908.336963471</v>
      </c>
      <c r="R170">
        <f t="shared" ref="R170" si="827">R171+Q170</f>
        <v>1476437781.1954265</v>
      </c>
      <c r="S170">
        <f t="shared" ref="S170" si="828">R170/100000</f>
        <v>14764.377811954264</v>
      </c>
      <c r="T170">
        <f t="shared" ref="T170" si="829">S170/1000</f>
        <v>14.764377811954263</v>
      </c>
    </row>
    <row r="171" spans="1:20" x14ac:dyDescent="0.25">
      <c r="A171" s="5">
        <v>44422</v>
      </c>
      <c r="B171">
        <v>5.1590999999999996</v>
      </c>
      <c r="C171">
        <v>5.5514999999999999</v>
      </c>
      <c r="D171">
        <v>5.04</v>
      </c>
      <c r="E171">
        <v>5.4805999999999999</v>
      </c>
      <c r="F171">
        <v>44497220.880000003</v>
      </c>
      <c r="G171">
        <v>5.4805999999999999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0.72277614858260031</v>
      </c>
      <c r="Q171">
        <f t="shared" ref="Q171" si="831">F171*P171</f>
        <v>32161529.930275667</v>
      </c>
      <c r="R171">
        <f t="shared" ref="R171" si="832">R172+Q171</f>
        <v>1445112872.858463</v>
      </c>
      <c r="S171">
        <f t="shared" ref="S171" si="833">R171/100000</f>
        <v>14451.12872858463</v>
      </c>
      <c r="T171">
        <f t="shared" ref="T171" si="834">S171/1000</f>
        <v>14.45112872858463</v>
      </c>
    </row>
    <row r="172" spans="1:20" x14ac:dyDescent="0.25">
      <c r="A172" s="5">
        <v>44421</v>
      </c>
      <c r="B172">
        <v>4.6601999999999997</v>
      </c>
      <c r="C172">
        <v>5.1635</v>
      </c>
      <c r="D172">
        <v>4.6064999999999996</v>
      </c>
      <c r="E172">
        <v>5.1582999999999997</v>
      </c>
      <c r="F172">
        <v>22510588.5</v>
      </c>
      <c r="G172">
        <v>5.1582999999999997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0.9813285457809684</v>
      </c>
      <c r="Q172">
        <f t="shared" ref="Q172" si="836">F172*P172</f>
        <v>22090283.077378791</v>
      </c>
      <c r="R172">
        <f t="shared" ref="R172" si="837">R173+Q172</f>
        <v>1412951342.9281874</v>
      </c>
      <c r="S172">
        <f t="shared" ref="S172" si="838">R172/100000</f>
        <v>14129.513429281873</v>
      </c>
      <c r="T172">
        <f t="shared" ref="T172" si="839">S172/1000</f>
        <v>14.129513429281873</v>
      </c>
    </row>
    <row r="173" spans="1:20" x14ac:dyDescent="0.25">
      <c r="A173" s="5">
        <v>44420</v>
      </c>
      <c r="B173">
        <v>4.7504999999999997</v>
      </c>
      <c r="C173">
        <v>5.0898000000000003</v>
      </c>
      <c r="D173">
        <v>4.5376000000000003</v>
      </c>
      <c r="E173">
        <v>4.6588000000000003</v>
      </c>
      <c r="F173">
        <v>32495735.940000001</v>
      </c>
      <c r="G173">
        <v>4.6588000000000003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-0.56102861282144156</v>
      </c>
      <c r="Q173">
        <f t="shared" ref="Q173" si="841">F173*P173</f>
        <v>-18231037.657030065</v>
      </c>
      <c r="R173">
        <f t="shared" ref="R173" si="842">R174+Q173</f>
        <v>1390861059.8508086</v>
      </c>
      <c r="S173">
        <f t="shared" ref="S173" si="843">R173/100000</f>
        <v>13908.610598508087</v>
      </c>
      <c r="T173">
        <f t="shared" ref="T173" si="844">S173/1000</f>
        <v>13.908610598508087</v>
      </c>
    </row>
    <row r="174" spans="1:20" x14ac:dyDescent="0.25">
      <c r="A174" s="5">
        <v>44419</v>
      </c>
      <c r="B174">
        <v>4.5961999999999996</v>
      </c>
      <c r="C174">
        <v>4.9749999999999996</v>
      </c>
      <c r="D174">
        <v>4.5869999999999997</v>
      </c>
      <c r="E174">
        <v>4.75</v>
      </c>
      <c r="F174">
        <v>28345889.780000001</v>
      </c>
      <c r="G174">
        <v>4.75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-0.15979381443298815</v>
      </c>
      <c r="Q174">
        <f t="shared" ref="Q174" si="846">F174*P174</f>
        <v>-4529497.8514432553</v>
      </c>
      <c r="R174">
        <f t="shared" ref="R174" si="847">R175+Q174</f>
        <v>1409092097.5078387</v>
      </c>
      <c r="S174">
        <f t="shared" ref="S174" si="848">R174/100000</f>
        <v>14090.920975078387</v>
      </c>
      <c r="T174">
        <f t="shared" ref="T174" si="849">S174/1000</f>
        <v>14.090920975078387</v>
      </c>
    </row>
    <row r="175" spans="1:20" x14ac:dyDescent="0.25">
      <c r="A175" s="5">
        <v>44418</v>
      </c>
      <c r="B175">
        <v>4.5323000000000002</v>
      </c>
      <c r="C175">
        <v>4.72</v>
      </c>
      <c r="D175">
        <v>4.4009999999999998</v>
      </c>
      <c r="E175">
        <v>4.5972999999999997</v>
      </c>
      <c r="F175">
        <v>21691565.559999999</v>
      </c>
      <c r="G175">
        <v>4.5972999999999997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0.23072100313479593</v>
      </c>
      <c r="Q175">
        <f t="shared" ref="Q175" si="851">F175*P175</f>
        <v>5004699.7655673912</v>
      </c>
      <c r="R175">
        <f t="shared" ref="R175" si="852">R176+Q175</f>
        <v>1413621595.359282</v>
      </c>
      <c r="S175">
        <f t="shared" ref="S175" si="853">R175/100000</f>
        <v>14136.21595359282</v>
      </c>
      <c r="T175">
        <f t="shared" ref="T175" si="854">S175/1000</f>
        <v>14.136215953592821</v>
      </c>
    </row>
    <row r="176" spans="1:20" x14ac:dyDescent="0.25">
      <c r="A176" s="5">
        <v>44417</v>
      </c>
      <c r="B176">
        <v>4.2945000000000002</v>
      </c>
      <c r="C176">
        <v>4.5656999999999996</v>
      </c>
      <c r="D176">
        <v>4.1593</v>
      </c>
      <c r="E176">
        <v>4.5323000000000002</v>
      </c>
      <c r="F176">
        <v>21594914.530000001</v>
      </c>
      <c r="G176">
        <v>4.5323000000000002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0.83562992125984514</v>
      </c>
      <c r="Q176">
        <f t="shared" ref="Q176" si="856">F176*P176</f>
        <v>18045356.728316985</v>
      </c>
      <c r="R176">
        <f t="shared" ref="R176" si="857">R177+Q176</f>
        <v>1408616895.5937147</v>
      </c>
      <c r="S176">
        <f t="shared" ref="S176" si="858">R176/100000</f>
        <v>14086.168955937148</v>
      </c>
      <c r="T176">
        <f t="shared" ref="T176" si="859">S176/1000</f>
        <v>14.086168955937149</v>
      </c>
    </row>
    <row r="177" spans="1:20" x14ac:dyDescent="0.25">
      <c r="A177" s="5">
        <v>44416</v>
      </c>
      <c r="B177">
        <v>4.5918999999999999</v>
      </c>
      <c r="C177">
        <v>4.6646999999999998</v>
      </c>
      <c r="D177">
        <v>4.2278000000000002</v>
      </c>
      <c r="E177">
        <v>4.2948000000000004</v>
      </c>
      <c r="F177">
        <v>23641646.780000001</v>
      </c>
      <c r="G177">
        <v>4.2948000000000004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-0.6932936598764009</v>
      </c>
      <c r="Q177">
        <f t="shared" ref="Q177" si="861">F177*P177</f>
        <v>-16390603.82161133</v>
      </c>
      <c r="R177">
        <f t="shared" ref="R177" si="862">R178+Q177</f>
        <v>1390571538.8653977</v>
      </c>
      <c r="S177">
        <f t="shared" ref="S177" si="863">R177/100000</f>
        <v>13905.715388653976</v>
      </c>
      <c r="T177">
        <f t="shared" ref="T177" si="864">S177/1000</f>
        <v>13.905715388653975</v>
      </c>
    </row>
    <row r="178" spans="1:20" x14ac:dyDescent="0.25">
      <c r="A178" s="5">
        <v>44415</v>
      </c>
      <c r="B178">
        <v>4.3193000000000001</v>
      </c>
      <c r="C178">
        <v>4.6477000000000004</v>
      </c>
      <c r="D178">
        <v>4.2801999999999998</v>
      </c>
      <c r="E178">
        <v>4.5918999999999999</v>
      </c>
      <c r="F178">
        <v>28826892.379999999</v>
      </c>
      <c r="G178">
        <v>4.5918999999999999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0.69632653061224259</v>
      </c>
      <c r="Q178">
        <f t="shared" ref="Q178" si="866">F178*P178</f>
        <v>20072929.959297892</v>
      </c>
      <c r="R178">
        <f t="shared" ref="R178" si="867">R179+Q178</f>
        <v>1406962142.6870091</v>
      </c>
      <c r="S178">
        <f t="shared" ref="S178" si="868">R178/100000</f>
        <v>14069.621426870091</v>
      </c>
      <c r="T178">
        <f t="shared" ref="T178" si="869">S178/1000</f>
        <v>14.069621426870091</v>
      </c>
    </row>
    <row r="179" spans="1:20" x14ac:dyDescent="0.25">
      <c r="A179" s="5">
        <v>44414</v>
      </c>
      <c r="B179">
        <v>4.1879</v>
      </c>
      <c r="C179">
        <v>4.3521000000000001</v>
      </c>
      <c r="D179">
        <v>4.1017999999999999</v>
      </c>
      <c r="E179">
        <v>4.3190999999999997</v>
      </c>
      <c r="F179">
        <v>23041228.73</v>
      </c>
      <c r="G179">
        <v>4.3190999999999997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0.73631642029564248</v>
      </c>
      <c r="Q179">
        <f t="shared" ref="Q179" si="871">F179*P179</f>
        <v>16965635.057686713</v>
      </c>
      <c r="R179">
        <f t="shared" ref="R179" si="872">R180+Q179</f>
        <v>1386889212.7277112</v>
      </c>
      <c r="S179">
        <f t="shared" ref="S179" si="873">R179/100000</f>
        <v>13868.892127277111</v>
      </c>
      <c r="T179">
        <f t="shared" ref="T179" si="874">S179/1000</f>
        <v>13.86889212727711</v>
      </c>
    </row>
    <row r="180" spans="1:20" x14ac:dyDescent="0.25">
      <c r="A180" s="5">
        <v>44413</v>
      </c>
      <c r="B180">
        <v>4.1138000000000003</v>
      </c>
      <c r="C180">
        <v>4.2149000000000001</v>
      </c>
      <c r="D180">
        <v>3.9419</v>
      </c>
      <c r="E180">
        <v>4.1875999999999998</v>
      </c>
      <c r="F180">
        <v>21476970.699999999</v>
      </c>
      <c r="G180">
        <v>4.1875999999999998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0.79999999999999771</v>
      </c>
      <c r="Q180">
        <f t="shared" ref="Q180" si="876">F180*P180</f>
        <v>17181576.55999995</v>
      </c>
      <c r="R180">
        <f t="shared" ref="R180" si="877">R181+Q180</f>
        <v>1369923577.6700244</v>
      </c>
      <c r="S180">
        <f t="shared" ref="S180" si="878">R180/100000</f>
        <v>13699.235776700243</v>
      </c>
      <c r="T180">
        <f t="shared" ref="T180" si="879">S180/1000</f>
        <v>13.699235776700244</v>
      </c>
    </row>
    <row r="181" spans="1:20" x14ac:dyDescent="0.25">
      <c r="A181" s="5">
        <v>44412</v>
      </c>
      <c r="B181">
        <v>4.0244</v>
      </c>
      <c r="C181">
        <v>4.1535000000000002</v>
      </c>
      <c r="D181">
        <v>3.9253999999999998</v>
      </c>
      <c r="E181">
        <v>4.1142000000000003</v>
      </c>
      <c r="F181">
        <v>14852637.52</v>
      </c>
      <c r="G181">
        <v>4.1142000000000003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0.65541429197720458</v>
      </c>
      <c r="Q181">
        <f t="shared" ref="Q181" si="881">F181*P181</f>
        <v>9734630.9041648638</v>
      </c>
      <c r="R181">
        <f t="shared" ref="R181" si="882">R182+Q181</f>
        <v>1352742001.1100245</v>
      </c>
      <c r="S181">
        <f t="shared" ref="S181" si="883">R181/100000</f>
        <v>13527.420011100245</v>
      </c>
      <c r="T181">
        <f t="shared" ref="T181" si="884">S181/1000</f>
        <v>13.527420011100245</v>
      </c>
    </row>
    <row r="182" spans="1:20" x14ac:dyDescent="0.25">
      <c r="A182" s="5">
        <v>44411</v>
      </c>
      <c r="B182">
        <v>4.0260999999999996</v>
      </c>
      <c r="C182">
        <v>4.0960999999999999</v>
      </c>
      <c r="D182">
        <v>3.8666</v>
      </c>
      <c r="E182">
        <v>4.0244999999999997</v>
      </c>
      <c r="F182">
        <v>15676816.82</v>
      </c>
      <c r="G182">
        <v>4.0244999999999997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0.3760348583877981</v>
      </c>
      <c r="Q182">
        <f t="shared" ref="Q182" si="886">F182*P182</f>
        <v>5895029.5928801512</v>
      </c>
      <c r="R182">
        <f t="shared" ref="R182" si="887">R183+Q182</f>
        <v>1343007370.2058597</v>
      </c>
      <c r="S182">
        <f t="shared" ref="S182" si="888">R182/100000</f>
        <v>13430.073702058597</v>
      </c>
      <c r="T182">
        <f t="shared" ref="T182" si="889">S182/1000</f>
        <v>13.430073702058596</v>
      </c>
    </row>
    <row r="183" spans="1:20" x14ac:dyDescent="0.25">
      <c r="A183" s="5">
        <v>44410</v>
      </c>
      <c r="B183">
        <v>3.9380000000000002</v>
      </c>
      <c r="C183">
        <v>4.1585999999999999</v>
      </c>
      <c r="D183">
        <v>3.8887</v>
      </c>
      <c r="E183">
        <v>4.0270000000000001</v>
      </c>
      <c r="F183">
        <v>18508656.809999999</v>
      </c>
      <c r="G183">
        <v>4.0270000000000001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2.4824008892183686E-2</v>
      </c>
      <c r="Q183">
        <f t="shared" ref="Q183" si="891">F183*P183</f>
        <v>459459.06123381609</v>
      </c>
      <c r="R183">
        <f t="shared" ref="R183" si="892">R184+Q183</f>
        <v>1337112340.6129794</v>
      </c>
      <c r="S183">
        <f t="shared" ref="S183" si="893">R183/100000</f>
        <v>13371.123406129795</v>
      </c>
      <c r="T183">
        <f t="shared" ref="T183" si="894">S183/1000</f>
        <v>13.371123406129795</v>
      </c>
    </row>
    <row r="184" spans="1:20" x14ac:dyDescent="0.25">
      <c r="A184" s="5">
        <v>44409</v>
      </c>
      <c r="B184">
        <v>4.0675999999999997</v>
      </c>
      <c r="C184">
        <v>4.2333999999999996</v>
      </c>
      <c r="D184">
        <v>3.8502000000000001</v>
      </c>
      <c r="E184">
        <v>3.9413999999999998</v>
      </c>
      <c r="F184">
        <v>24901887.739999998</v>
      </c>
      <c r="G184">
        <v>3.9413999999999998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-0.52400835073068974</v>
      </c>
      <c r="Q184">
        <f t="shared" ref="Q184" si="896">F184*P184</f>
        <v>-13048797.124718182</v>
      </c>
      <c r="R184">
        <f t="shared" ref="R184" si="897">R185+Q184</f>
        <v>1336652881.5517457</v>
      </c>
      <c r="S184">
        <f t="shared" ref="S184" si="898">R184/100000</f>
        <v>13366.528815517457</v>
      </c>
      <c r="T184">
        <f t="shared" ref="T184" si="899">S184/1000</f>
        <v>13.366528815517457</v>
      </c>
    </row>
    <row r="185" spans="1:20" x14ac:dyDescent="0.25">
      <c r="A185" s="5">
        <v>44408</v>
      </c>
      <c r="B185">
        <v>4.0663</v>
      </c>
      <c r="C185">
        <v>4.21</v>
      </c>
      <c r="D185">
        <v>4.0007000000000001</v>
      </c>
      <c r="E185">
        <v>4.0679999999999996</v>
      </c>
      <c r="F185">
        <v>23193026.079999998</v>
      </c>
      <c r="G185">
        <v>4.0679999999999996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-0.35690396559962229</v>
      </c>
      <c r="Q185">
        <f t="shared" ref="Q185" si="901">F185*P185</f>
        <v>-8277682.9822074622</v>
      </c>
      <c r="R185">
        <f t="shared" ref="R185" si="902">R186+Q185</f>
        <v>1349701678.6764638</v>
      </c>
      <c r="S185">
        <f t="shared" ref="S185" si="903">R185/100000</f>
        <v>13497.016786764638</v>
      </c>
      <c r="T185">
        <f t="shared" ref="T185" si="904">S185/1000</f>
        <v>13.497016786764638</v>
      </c>
    </row>
    <row r="186" spans="1:20" x14ac:dyDescent="0.25">
      <c r="A186" s="5">
        <v>44407</v>
      </c>
      <c r="B186">
        <v>3.9664999999999999</v>
      </c>
      <c r="C186">
        <v>4.0765000000000002</v>
      </c>
      <c r="D186">
        <v>3.7803</v>
      </c>
      <c r="E186">
        <v>4.0683999999999996</v>
      </c>
      <c r="F186">
        <v>17389367.219999999</v>
      </c>
      <c r="G186">
        <v>4.0683999999999996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0.94530722484807117</v>
      </c>
      <c r="Q186">
        <f t="shared" ref="Q186" si="906">F186*P186</f>
        <v>16438294.468602218</v>
      </c>
      <c r="R186">
        <f t="shared" ref="R186" si="907">R187+Q186</f>
        <v>1357979361.6586714</v>
      </c>
      <c r="S186">
        <f t="shared" ref="S186" si="908">R186/100000</f>
        <v>13579.793616586714</v>
      </c>
      <c r="T186">
        <f t="shared" ref="T186" si="909">S186/1000</f>
        <v>13.579793616586715</v>
      </c>
    </row>
    <row r="187" spans="1:20" x14ac:dyDescent="0.25">
      <c r="A187" s="5">
        <v>44406</v>
      </c>
      <c r="B187">
        <v>3.9197000000000002</v>
      </c>
      <c r="C187">
        <v>3.9868000000000001</v>
      </c>
      <c r="D187">
        <v>3.8026</v>
      </c>
      <c r="E187">
        <v>3.9666999999999999</v>
      </c>
      <c r="F187">
        <v>14221280.619999999</v>
      </c>
      <c r="G187">
        <v>3.9666999999999999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0.78175895765472081</v>
      </c>
      <c r="Q187">
        <f t="shared" ref="Q187" si="911">F187*P187</f>
        <v>11117613.514006481</v>
      </c>
      <c r="R187">
        <f t="shared" ref="R187" si="912">R188+Q187</f>
        <v>1341541067.1900692</v>
      </c>
      <c r="S187">
        <f t="shared" ref="S187" si="913">R187/100000</f>
        <v>13415.410671900692</v>
      </c>
      <c r="T187">
        <f t="shared" ref="T187" si="914">S187/1000</f>
        <v>13.415410671900693</v>
      </c>
    </row>
    <row r="188" spans="1:20" x14ac:dyDescent="0.25">
      <c r="A188" s="5">
        <v>44405</v>
      </c>
      <c r="B188">
        <v>3.7559</v>
      </c>
      <c r="C188">
        <v>4.0179</v>
      </c>
      <c r="D188">
        <v>3.6821999999999999</v>
      </c>
      <c r="E188">
        <v>3.9195000000000002</v>
      </c>
      <c r="F188">
        <v>29423914.890000001</v>
      </c>
      <c r="G188">
        <v>3.9195000000000002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0.41376228775692708</v>
      </c>
      <c r="Q188">
        <f t="shared" ref="Q188" si="916">F188*P188</f>
        <v>12174506.339651512</v>
      </c>
      <c r="R188">
        <f t="shared" ref="R188" si="917">R189+Q188</f>
        <v>1330423453.6760628</v>
      </c>
      <c r="S188">
        <f t="shared" ref="S188" si="918">R188/100000</f>
        <v>13304.234536760629</v>
      </c>
      <c r="T188">
        <f t="shared" ref="T188" si="919">S188/1000</f>
        <v>13.304234536760628</v>
      </c>
    </row>
    <row r="189" spans="1:20" x14ac:dyDescent="0.25">
      <c r="A189" s="5">
        <v>44404</v>
      </c>
      <c r="B189">
        <v>3.6797</v>
      </c>
      <c r="C189">
        <v>3.7894999999999999</v>
      </c>
      <c r="D189">
        <v>3.6004</v>
      </c>
      <c r="E189">
        <v>3.7555999999999998</v>
      </c>
      <c r="F189">
        <v>19660424.16</v>
      </c>
      <c r="G189">
        <v>3.7555999999999998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0.64145954521417159</v>
      </c>
      <c r="Q189">
        <f t="shared" ref="Q189" si="921">F189*P189</f>
        <v>12611366.740391312</v>
      </c>
      <c r="R189">
        <f t="shared" ref="R189" si="922">R190+Q189</f>
        <v>1318248947.3364112</v>
      </c>
      <c r="S189">
        <f t="shared" ref="S189" si="923">R189/100000</f>
        <v>13182.489473364112</v>
      </c>
      <c r="T189">
        <f t="shared" ref="T189" si="924">S189/1000</f>
        <v>13.182489473364113</v>
      </c>
    </row>
    <row r="190" spans="1:20" x14ac:dyDescent="0.25">
      <c r="A190" s="5">
        <v>44403</v>
      </c>
      <c r="B190">
        <v>3.6583999999999999</v>
      </c>
      <c r="C190">
        <v>3.9994000000000001</v>
      </c>
      <c r="D190">
        <v>3.63</v>
      </c>
      <c r="E190">
        <v>3.6795</v>
      </c>
      <c r="F190">
        <v>32958487.050000001</v>
      </c>
      <c r="G190">
        <v>3.6795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-0.73199783432593357</v>
      </c>
      <c r="Q190">
        <f t="shared" ref="Q190" si="926">F190*P190</f>
        <v>-24125541.143259328</v>
      </c>
      <c r="R190">
        <f t="shared" ref="R190" si="927">R191+Q190</f>
        <v>1305637580.59602</v>
      </c>
      <c r="S190">
        <f t="shared" ref="S190" si="928">R190/100000</f>
        <v>13056.375805960201</v>
      </c>
      <c r="T190">
        <f t="shared" ref="T190" si="929">S190/1000</f>
        <v>13.056375805960201</v>
      </c>
    </row>
    <row r="191" spans="1:20" x14ac:dyDescent="0.25">
      <c r="A191" s="5">
        <v>44402</v>
      </c>
      <c r="B191">
        <v>3.6667999999999998</v>
      </c>
      <c r="C191">
        <v>3.6962000000000002</v>
      </c>
      <c r="D191">
        <v>3.5465</v>
      </c>
      <c r="E191">
        <v>3.6587000000000001</v>
      </c>
      <c r="F191">
        <v>13735733.16</v>
      </c>
      <c r="G191">
        <v>3.6587000000000001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0.49899799599198336</v>
      </c>
      <c r="Q191">
        <f t="shared" ref="Q191" si="931">F191*P191</f>
        <v>6854103.3203206332</v>
      </c>
      <c r="R191">
        <f t="shared" ref="R191" si="932">R192+Q191</f>
        <v>1329763121.7392793</v>
      </c>
      <c r="S191">
        <f t="shared" ref="S191" si="933">R191/100000</f>
        <v>13297.631217392793</v>
      </c>
      <c r="T191">
        <f t="shared" ref="T191:T197" si="934">S191/1000</f>
        <v>13.297631217392793</v>
      </c>
    </row>
    <row r="192" spans="1:20" x14ac:dyDescent="0.25">
      <c r="A192" s="5">
        <v>44401</v>
      </c>
      <c r="B192">
        <v>3.6347999999999998</v>
      </c>
      <c r="C192">
        <v>3.74</v>
      </c>
      <c r="D192">
        <v>3.6137999999999999</v>
      </c>
      <c r="E192">
        <v>3.6674000000000002</v>
      </c>
      <c r="F192">
        <v>14909187.23</v>
      </c>
      <c r="G192">
        <v>3.6674000000000002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-0.15055467511885606</v>
      </c>
      <c r="Q192">
        <f t="shared" ref="Q192" si="936">F192*P192</f>
        <v>-2244647.8396988474</v>
      </c>
      <c r="R192">
        <f t="shared" ref="R192" si="937">R193+Q192</f>
        <v>1322909018.4189587</v>
      </c>
      <c r="S192">
        <f t="shared" ref="S192" si="938">R192/100000</f>
        <v>13229.090184189587</v>
      </c>
      <c r="T192">
        <f t="shared" si="934"/>
        <v>13.229090184189587</v>
      </c>
    </row>
    <row r="193" spans="1:20" x14ac:dyDescent="0.25">
      <c r="A193" s="5">
        <v>44400</v>
      </c>
      <c r="B193">
        <v>3.5649000000000002</v>
      </c>
      <c r="C193">
        <v>3.6629999999999998</v>
      </c>
      <c r="D193">
        <v>3.4548000000000001</v>
      </c>
      <c r="E193">
        <v>3.6341000000000001</v>
      </c>
      <c r="F193">
        <v>13940282.75</v>
      </c>
      <c r="G193">
        <v>3.6341000000000001</v>
      </c>
      <c r="L193" t="s">
        <v>8</v>
      </c>
      <c r="M193" t="s">
        <v>7</v>
      </c>
      <c r="N193" t="s">
        <v>8</v>
      </c>
      <c r="P193">
        <f t="shared" ref="P193" si="939">IF(C193=D193,0,((E193-D193)-(C193-E193))/(C193-D193))</f>
        <v>0.72238232468780261</v>
      </c>
      <c r="Q193">
        <f t="shared" ref="Q193" si="940">F193*P193</f>
        <v>10070213.859750275</v>
      </c>
      <c r="R193">
        <f t="shared" ref="R193" si="941">R194+Q193</f>
        <v>1325153666.2586575</v>
      </c>
      <c r="S193">
        <f t="shared" ref="S193" si="942">R193/100000</f>
        <v>13251.536662586575</v>
      </c>
      <c r="T193">
        <f t="shared" si="934"/>
        <v>13.251536662586576</v>
      </c>
    </row>
    <row r="194" spans="1:20" x14ac:dyDescent="0.25">
      <c r="A194" s="5">
        <v>44399</v>
      </c>
      <c r="B194">
        <v>3.5026999999999999</v>
      </c>
      <c r="C194">
        <v>3.58</v>
      </c>
      <c r="D194">
        <v>3.4220999999999999</v>
      </c>
      <c r="E194">
        <v>3.5647000000000002</v>
      </c>
      <c r="F194">
        <v>18133612.16</v>
      </c>
      <c r="G194">
        <v>3.5647000000000002</v>
      </c>
      <c r="L194" t="s">
        <v>8</v>
      </c>
      <c r="M194" t="s">
        <v>7</v>
      </c>
      <c r="N194" t="s">
        <v>8</v>
      </c>
      <c r="P194">
        <f t="shared" ref="P194" si="943">IF(C194=D194,0,((E194-D194)-(C194-E194))/(C194-D194))</f>
        <v>0.80620645978467564</v>
      </c>
      <c r="Q194">
        <f t="shared" ref="Q194" si="944">F194*P194</f>
        <v>14619435.262621945</v>
      </c>
      <c r="R194">
        <f t="shared" ref="R194" si="945">R195+Q194</f>
        <v>1315083452.3989072</v>
      </c>
      <c r="S194">
        <f t="shared" ref="S194" si="946">R194/100000</f>
        <v>13150.834523989071</v>
      </c>
      <c r="T194">
        <f t="shared" si="934"/>
        <v>13.150834523989072</v>
      </c>
    </row>
    <row r="195" spans="1:20" x14ac:dyDescent="0.25">
      <c r="A195" s="5">
        <v>44398</v>
      </c>
      <c r="B195">
        <v>3.2597</v>
      </c>
      <c r="C195">
        <v>3.5710000000000002</v>
      </c>
      <c r="D195">
        <v>3.2080000000000002</v>
      </c>
      <c r="E195">
        <v>3.5026000000000002</v>
      </c>
      <c r="F195">
        <v>25471757.420000002</v>
      </c>
      <c r="G195">
        <v>3.5026000000000002</v>
      </c>
      <c r="L195" t="s">
        <v>8</v>
      </c>
      <c r="M195" t="s">
        <v>7</v>
      </c>
      <c r="N195" t="s">
        <v>8</v>
      </c>
      <c r="P195">
        <f t="shared" ref="P195" si="947">IF(C195=D195,0,((E195-D195)-(C195-E195))/(C195-D195))</f>
        <v>0.62314049586776854</v>
      </c>
      <c r="Q195">
        <f t="shared" ref="Q195" si="948">F195*P195</f>
        <v>15872483.549322315</v>
      </c>
      <c r="R195">
        <f t="shared" ref="R195" si="949">R196+Q195</f>
        <v>1300464017.1362853</v>
      </c>
      <c r="S195">
        <f t="shared" ref="S195" si="950">R195/100000</f>
        <v>13004.640171362853</v>
      </c>
      <c r="T195">
        <f t="shared" si="934"/>
        <v>13.004640171362853</v>
      </c>
    </row>
    <row r="196" spans="1:20" x14ac:dyDescent="0.25">
      <c r="A196" s="5">
        <v>44397</v>
      </c>
      <c r="B196">
        <v>3.4365000000000001</v>
      </c>
      <c r="C196">
        <v>3.5453999999999999</v>
      </c>
      <c r="D196">
        <v>3.1522000000000001</v>
      </c>
      <c r="E196">
        <v>3.2595999999999998</v>
      </c>
      <c r="F196">
        <v>20408294.899999999</v>
      </c>
      <c r="G196">
        <v>3.2595999999999998</v>
      </c>
      <c r="L196" t="s">
        <v>7</v>
      </c>
      <c r="M196" t="s">
        <v>7</v>
      </c>
      <c r="N196" t="s">
        <v>8</v>
      </c>
      <c r="P196">
        <f t="shared" ref="P196" si="951">IF(C196=D196,0,((E196-D196)-(C196-E196))/(C196-D196))</f>
        <v>-0.45371312309257489</v>
      </c>
      <c r="Q196">
        <f t="shared" ref="Q196" si="952">F196*P196</f>
        <v>-9259511.2160732672</v>
      </c>
      <c r="R196">
        <f t="shared" ref="R196" si="953">R197+Q196</f>
        <v>1284591533.5869629</v>
      </c>
      <c r="S196">
        <f t="shared" ref="S196" si="954">R196/100000</f>
        <v>12845.915335869629</v>
      </c>
      <c r="T196">
        <f t="shared" si="934"/>
        <v>12.845915335869629</v>
      </c>
    </row>
    <row r="197" spans="1:20" x14ac:dyDescent="0.25">
      <c r="A197" s="5">
        <v>44396</v>
      </c>
      <c r="B197">
        <v>3.6364999999999998</v>
      </c>
      <c r="C197">
        <v>3.6840999999999999</v>
      </c>
      <c r="D197">
        <v>3.4018999999999999</v>
      </c>
      <c r="E197">
        <v>3.4369999999999998</v>
      </c>
      <c r="F197">
        <v>15850330.779999999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-0.75124025513820047</v>
      </c>
      <c r="Q197">
        <f t="shared" ref="Q197" si="956">F197*P197</f>
        <v>-11907406.539192071</v>
      </c>
      <c r="R197">
        <f t="shared" ref="R197" si="957">R198+Q197</f>
        <v>1293851044.8030362</v>
      </c>
      <c r="S197">
        <f t="shared" ref="S197" si="958">R197/100000</f>
        <v>12938.510448030362</v>
      </c>
      <c r="T197">
        <f t="shared" si="934"/>
        <v>12.938510448030362</v>
      </c>
    </row>
    <row r="198" spans="1:20" x14ac:dyDescent="0.25">
      <c r="A198" s="5">
        <v>44395</v>
      </c>
      <c r="B198">
        <v>3.6574</v>
      </c>
      <c r="C198">
        <v>3.7747000000000002</v>
      </c>
      <c r="D198">
        <v>3.5554999999999999</v>
      </c>
      <c r="E198">
        <v>3.6353</v>
      </c>
      <c r="F198">
        <v>10740097.119999999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-0.27189781021897819</v>
      </c>
      <c r="Q198">
        <f t="shared" ref="Q198:Q261" si="960">F198*P198</f>
        <v>-2920208.888467154</v>
      </c>
      <c r="R198">
        <f t="shared" ref="R198:R261" si="961">R199+Q198</f>
        <v>1305758451.3422282</v>
      </c>
      <c r="S198">
        <f t="shared" ref="S198:S261" si="962">R198/100000</f>
        <v>13057.584513422282</v>
      </c>
      <c r="T198">
        <f t="shared" ref="T198:T261" si="963">S198/1000</f>
        <v>13.057584513422281</v>
      </c>
    </row>
    <row r="199" spans="1:20" x14ac:dyDescent="0.25">
      <c r="A199" s="5">
        <v>44394</v>
      </c>
      <c r="B199">
        <v>3.6536</v>
      </c>
      <c r="C199">
        <v>3.7795999999999998</v>
      </c>
      <c r="D199">
        <v>3.581</v>
      </c>
      <c r="E199">
        <v>3.6562000000000001</v>
      </c>
      <c r="F199">
        <v>18956126.91</v>
      </c>
      <c r="G199">
        <v>0</v>
      </c>
      <c r="L199" t="s">
        <v>8</v>
      </c>
      <c r="M199" t="s">
        <v>7</v>
      </c>
      <c r="N199" t="s">
        <v>8</v>
      </c>
      <c r="P199">
        <f t="shared" si="959"/>
        <v>-0.24269889224571806</v>
      </c>
      <c r="Q199">
        <f t="shared" si="960"/>
        <v>-4600631.0023262464</v>
      </c>
      <c r="R199">
        <f t="shared" si="961"/>
        <v>1308678660.2306952</v>
      </c>
      <c r="S199">
        <f t="shared" si="962"/>
        <v>13086.786602306953</v>
      </c>
      <c r="T199">
        <f t="shared" si="963"/>
        <v>13.086786602306953</v>
      </c>
    </row>
    <row r="200" spans="1:20" x14ac:dyDescent="0.25">
      <c r="A200" s="5">
        <v>44393</v>
      </c>
      <c r="B200">
        <v>3.6707000000000001</v>
      </c>
      <c r="C200">
        <v>3.8384999999999998</v>
      </c>
      <c r="D200">
        <v>3.5301</v>
      </c>
      <c r="E200">
        <v>3.6528999999999998</v>
      </c>
      <c r="F200">
        <v>19626663.370000001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-0.2036316472114145</v>
      </c>
      <c r="Q200">
        <f t="shared" si="960"/>
        <v>-3996609.7912970316</v>
      </c>
      <c r="R200">
        <f t="shared" si="961"/>
        <v>1313279291.2330215</v>
      </c>
      <c r="S200">
        <f t="shared" si="962"/>
        <v>13132.792912330215</v>
      </c>
      <c r="T200">
        <f t="shared" si="963"/>
        <v>13.132792912330215</v>
      </c>
    </row>
    <row r="201" spans="1:20" x14ac:dyDescent="0.25">
      <c r="A201" s="5">
        <v>44392</v>
      </c>
      <c r="B201">
        <v>3.7974000000000001</v>
      </c>
      <c r="C201">
        <v>3.9188999999999998</v>
      </c>
      <c r="D201">
        <v>3.5554999999999999</v>
      </c>
      <c r="E201">
        <v>3.6707000000000001</v>
      </c>
      <c r="F201">
        <v>15566205.810000001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-0.36598789212988325</v>
      </c>
      <c r="Q201">
        <f t="shared" si="960"/>
        <v>-5697042.8528618421</v>
      </c>
      <c r="R201">
        <f t="shared" si="961"/>
        <v>1317275901.0243185</v>
      </c>
      <c r="S201">
        <f t="shared" si="962"/>
        <v>13172.759010243184</v>
      </c>
      <c r="T201">
        <f t="shared" si="963"/>
        <v>13.172759010243183</v>
      </c>
    </row>
    <row r="202" spans="1:20" x14ac:dyDescent="0.25">
      <c r="A202" s="5">
        <v>44391</v>
      </c>
      <c r="B202">
        <v>3.8895</v>
      </c>
      <c r="C202">
        <v>3.9283000000000001</v>
      </c>
      <c r="D202">
        <v>3.5905999999999998</v>
      </c>
      <c r="E202">
        <v>3.7982999999999998</v>
      </c>
      <c r="F202">
        <v>20869223.41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0.23008587503701386</v>
      </c>
      <c r="Q202">
        <f t="shared" si="960"/>
        <v>4801713.5296327844</v>
      </c>
      <c r="R202">
        <f t="shared" si="961"/>
        <v>1322972943.8771803</v>
      </c>
      <c r="S202">
        <f t="shared" si="962"/>
        <v>13229.729438771803</v>
      </c>
      <c r="T202">
        <f t="shared" si="963"/>
        <v>13.229729438771804</v>
      </c>
    </row>
    <row r="203" spans="1:20" x14ac:dyDescent="0.25">
      <c r="A203" s="5">
        <v>44390</v>
      </c>
      <c r="B203">
        <v>4.1870000000000003</v>
      </c>
      <c r="C203">
        <v>4.2138999999999998</v>
      </c>
      <c r="D203">
        <v>3.7866</v>
      </c>
      <c r="E203">
        <v>3.8908999999999998</v>
      </c>
      <c r="F203">
        <v>25083974.82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-0.51181839457055989</v>
      </c>
      <c r="Q203">
        <f t="shared" si="960"/>
        <v>-12838439.721820749</v>
      </c>
      <c r="R203">
        <f t="shared" si="961"/>
        <v>1318171230.3475475</v>
      </c>
      <c r="S203">
        <f t="shared" si="962"/>
        <v>13181.712303475475</v>
      </c>
      <c r="T203">
        <f t="shared" si="963"/>
        <v>13.181712303475475</v>
      </c>
    </row>
    <row r="204" spans="1:20" x14ac:dyDescent="0.25">
      <c r="A204" s="5">
        <v>44389</v>
      </c>
      <c r="B204">
        <v>4.0774999999999997</v>
      </c>
      <c r="C204">
        <v>4.3785999999999996</v>
      </c>
      <c r="D204">
        <v>4.0412999999999997</v>
      </c>
      <c r="E204">
        <v>4.1872999999999996</v>
      </c>
      <c r="F204">
        <v>38217590.789999999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-0.13430180847909909</v>
      </c>
      <c r="Q204">
        <f t="shared" si="960"/>
        <v>-5132691.5588111607</v>
      </c>
      <c r="R204">
        <f t="shared" si="961"/>
        <v>1331009670.0693684</v>
      </c>
      <c r="S204">
        <f t="shared" si="962"/>
        <v>13310.096700693684</v>
      </c>
      <c r="T204">
        <f t="shared" si="963"/>
        <v>13.310096700693684</v>
      </c>
    </row>
    <row r="205" spans="1:20" x14ac:dyDescent="0.25">
      <c r="A205" s="5">
        <v>44388</v>
      </c>
      <c r="B205">
        <v>3.9655999999999998</v>
      </c>
      <c r="C205">
        <v>4.1776999999999997</v>
      </c>
      <c r="D205">
        <v>3.8334000000000001</v>
      </c>
      <c r="E205">
        <v>4.0766</v>
      </c>
      <c r="F205">
        <v>22936376.52</v>
      </c>
      <c r="G205">
        <v>0</v>
      </c>
      <c r="L205" t="s">
        <v>7</v>
      </c>
      <c r="M205" t="s">
        <v>8</v>
      </c>
      <c r="N205" t="s">
        <v>8</v>
      </c>
      <c r="P205">
        <f t="shared" si="959"/>
        <v>0.41272146383967551</v>
      </c>
      <c r="Q205">
        <f t="shared" si="960"/>
        <v>9466334.8925123625</v>
      </c>
      <c r="R205">
        <f t="shared" si="961"/>
        <v>1336142361.6281796</v>
      </c>
      <c r="S205">
        <f t="shared" si="962"/>
        <v>13361.423616281796</v>
      </c>
      <c r="T205">
        <f t="shared" si="963"/>
        <v>13.361423616281796</v>
      </c>
    </row>
    <row r="206" spans="1:20" x14ac:dyDescent="0.25">
      <c r="A206" s="5">
        <v>44387</v>
      </c>
      <c r="B206">
        <v>4.2175000000000002</v>
      </c>
      <c r="C206">
        <v>4.42</v>
      </c>
      <c r="D206">
        <v>3.8723000000000001</v>
      </c>
      <c r="E206">
        <v>3.9632999999999998</v>
      </c>
      <c r="F206">
        <v>39271615.659999996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-0.66770129633010855</v>
      </c>
      <c r="Q206">
        <f t="shared" si="960"/>
        <v>-26221708.685159788</v>
      </c>
      <c r="R206">
        <f t="shared" si="961"/>
        <v>1326676026.7356672</v>
      </c>
      <c r="S206">
        <f t="shared" si="962"/>
        <v>13266.760267356673</v>
      </c>
      <c r="T206">
        <f t="shared" si="963"/>
        <v>13.266760267356673</v>
      </c>
    </row>
    <row r="207" spans="1:20" x14ac:dyDescent="0.25">
      <c r="A207" s="5">
        <v>44386</v>
      </c>
      <c r="B207">
        <v>3.5958999999999999</v>
      </c>
      <c r="C207">
        <v>4.3132999999999999</v>
      </c>
      <c r="D207">
        <v>3.4554999999999998</v>
      </c>
      <c r="E207">
        <v>4.2173999999999996</v>
      </c>
      <c r="F207">
        <v>49803432.920000002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0.77640475635346162</v>
      </c>
      <c r="Q207">
        <f t="shared" si="960"/>
        <v>38667622.20181857</v>
      </c>
      <c r="R207">
        <f t="shared" si="961"/>
        <v>1352897735.4208269</v>
      </c>
      <c r="S207">
        <f t="shared" si="962"/>
        <v>13528.977354208269</v>
      </c>
      <c r="T207">
        <f t="shared" si="963"/>
        <v>13.528977354208269</v>
      </c>
    </row>
    <row r="208" spans="1:20" x14ac:dyDescent="0.25">
      <c r="A208" s="5">
        <v>44385</v>
      </c>
      <c r="B208">
        <v>3.8245</v>
      </c>
      <c r="C208">
        <v>3.84</v>
      </c>
      <c r="D208">
        <v>3.5246</v>
      </c>
      <c r="E208">
        <v>3.5958999999999999</v>
      </c>
      <c r="F208">
        <v>16308329.050000001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-0.54787571337983554</v>
      </c>
      <c r="Q208">
        <f t="shared" si="960"/>
        <v>-8934937.4123018458</v>
      </c>
      <c r="R208">
        <f t="shared" si="961"/>
        <v>1314230113.2190084</v>
      </c>
      <c r="S208">
        <f t="shared" si="962"/>
        <v>13142.301132190085</v>
      </c>
      <c r="T208">
        <f t="shared" si="963"/>
        <v>13.142301132190084</v>
      </c>
    </row>
    <row r="209" spans="1:20" x14ac:dyDescent="0.25">
      <c r="A209" s="5">
        <v>44384</v>
      </c>
      <c r="B209">
        <v>3.8776999999999999</v>
      </c>
      <c r="C209">
        <v>3.9796</v>
      </c>
      <c r="D209">
        <v>3.8142999999999998</v>
      </c>
      <c r="E209">
        <v>3.8249</v>
      </c>
      <c r="F209">
        <v>10925537.029999999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-0.87174833635813487</v>
      </c>
      <c r="Q209">
        <f t="shared" si="960"/>
        <v>-9524318.729721697</v>
      </c>
      <c r="R209">
        <f t="shared" si="961"/>
        <v>1323165050.6313102</v>
      </c>
      <c r="S209">
        <f t="shared" si="962"/>
        <v>13231.650506313103</v>
      </c>
      <c r="T209">
        <f t="shared" si="963"/>
        <v>13.231650506313102</v>
      </c>
    </row>
    <row r="210" spans="1:20" x14ac:dyDescent="0.25">
      <c r="A210" s="5">
        <v>44383</v>
      </c>
      <c r="B210">
        <v>3.8100999999999998</v>
      </c>
      <c r="C210">
        <v>4.0054999999999996</v>
      </c>
      <c r="D210">
        <v>3.7826</v>
      </c>
      <c r="E210">
        <v>3.8776000000000002</v>
      </c>
      <c r="F210">
        <v>14528435.949999999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-0.14759982054732756</v>
      </c>
      <c r="Q210">
        <f t="shared" si="960"/>
        <v>-2144394.5390533423</v>
      </c>
      <c r="R210">
        <f t="shared" si="961"/>
        <v>1332689369.361032</v>
      </c>
      <c r="S210">
        <f t="shared" si="962"/>
        <v>13326.89369361032</v>
      </c>
      <c r="T210">
        <f t="shared" si="963"/>
        <v>13.32689369361032</v>
      </c>
    </row>
    <row r="211" spans="1:20" x14ac:dyDescent="0.25">
      <c r="A211" s="5">
        <v>44382</v>
      </c>
      <c r="B211">
        <v>4.0606</v>
      </c>
      <c r="C211">
        <v>4.0609000000000002</v>
      </c>
      <c r="D211">
        <v>3.7591000000000001</v>
      </c>
      <c r="E211">
        <v>3.8100999999999998</v>
      </c>
      <c r="F211">
        <v>14667457.050000001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-0.66202783300199008</v>
      </c>
      <c r="Q211">
        <f t="shared" si="960"/>
        <v>-9710264.8064612634</v>
      </c>
      <c r="R211">
        <f t="shared" si="961"/>
        <v>1334833763.9000854</v>
      </c>
      <c r="S211">
        <f t="shared" si="962"/>
        <v>13348.337639000854</v>
      </c>
      <c r="T211">
        <f t="shared" si="963"/>
        <v>13.348337639000855</v>
      </c>
    </row>
    <row r="212" spans="1:20" x14ac:dyDescent="0.25">
      <c r="A212" s="5">
        <v>44381</v>
      </c>
      <c r="B212">
        <v>4.0507999999999997</v>
      </c>
      <c r="C212">
        <v>4.1866000000000003</v>
      </c>
      <c r="D212">
        <v>3.9500999999999999</v>
      </c>
      <c r="E212">
        <v>4.0609999999999999</v>
      </c>
      <c r="F212">
        <v>17331712.710000001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-6.2156448202961338E-2</v>
      </c>
      <c r="Q212">
        <f t="shared" si="960"/>
        <v>-1077277.7033277217</v>
      </c>
      <c r="R212">
        <f t="shared" si="961"/>
        <v>1344544028.7065468</v>
      </c>
      <c r="S212">
        <f t="shared" si="962"/>
        <v>13445.440287065469</v>
      </c>
      <c r="T212">
        <f t="shared" si="963"/>
        <v>13.445440287065468</v>
      </c>
    </row>
    <row r="213" spans="1:20" x14ac:dyDescent="0.25">
      <c r="A213" s="5">
        <v>44380</v>
      </c>
      <c r="B213">
        <v>3.9226000000000001</v>
      </c>
      <c r="C213">
        <v>4.0651000000000002</v>
      </c>
      <c r="D213">
        <v>3.851</v>
      </c>
      <c r="E213">
        <v>4.0503999999999998</v>
      </c>
      <c r="F213">
        <v>12196067.800000001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0.86268099019149591</v>
      </c>
      <c r="Q213">
        <f t="shared" si="960"/>
        <v>10521315.846146619</v>
      </c>
      <c r="R213">
        <f t="shared" si="961"/>
        <v>1345621306.4098744</v>
      </c>
      <c r="S213">
        <f t="shared" si="962"/>
        <v>13456.213064098745</v>
      </c>
      <c r="T213">
        <f t="shared" si="963"/>
        <v>13.456213064098746</v>
      </c>
    </row>
    <row r="214" spans="1:20" x14ac:dyDescent="0.25">
      <c r="A214" s="5">
        <v>44379</v>
      </c>
      <c r="B214">
        <v>3.9226000000000001</v>
      </c>
      <c r="C214">
        <v>4.0049999999999999</v>
      </c>
      <c r="D214">
        <v>3.7450000000000001</v>
      </c>
      <c r="E214">
        <v>3.9224000000000001</v>
      </c>
      <c r="F214">
        <v>17292675.899999999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0.36461538461538573</v>
      </c>
      <c r="Q214">
        <f t="shared" si="960"/>
        <v>6305175.6743077114</v>
      </c>
      <c r="R214">
        <f t="shared" si="961"/>
        <v>1335099990.5637279</v>
      </c>
      <c r="S214">
        <f t="shared" si="962"/>
        <v>13350.999905637278</v>
      </c>
      <c r="T214">
        <f t="shared" si="963"/>
        <v>13.350999905637279</v>
      </c>
    </row>
    <row r="215" spans="1:20" x14ac:dyDescent="0.25">
      <c r="A215" s="5">
        <v>44378</v>
      </c>
      <c r="B215">
        <v>4.1380999999999997</v>
      </c>
      <c r="C215">
        <v>4.2095000000000002</v>
      </c>
      <c r="D215">
        <v>3.8540999999999999</v>
      </c>
      <c r="E215">
        <v>3.9226999999999999</v>
      </c>
      <c r="F215">
        <v>17183604.41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-0.61395610579628634</v>
      </c>
      <c r="Q215">
        <f t="shared" si="960"/>
        <v>-10549978.847107492</v>
      </c>
      <c r="R215">
        <f t="shared" si="961"/>
        <v>1328794814.88942</v>
      </c>
      <c r="S215">
        <f t="shared" si="962"/>
        <v>13287.9481488942</v>
      </c>
      <c r="T215">
        <f t="shared" si="963"/>
        <v>13.2879481488942</v>
      </c>
    </row>
    <row r="216" spans="1:20" x14ac:dyDescent="0.25">
      <c r="A216" s="5">
        <v>44377</v>
      </c>
      <c r="B216">
        <v>4.1284999999999998</v>
      </c>
      <c r="C216">
        <v>4.3</v>
      </c>
      <c r="D216">
        <v>3.8336000000000001</v>
      </c>
      <c r="E216">
        <v>4.1383000000000001</v>
      </c>
      <c r="F216">
        <v>22277103.100000001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0.30660377358490637</v>
      </c>
      <c r="Q216">
        <f t="shared" si="960"/>
        <v>6830243.8750000158</v>
      </c>
      <c r="R216">
        <f t="shared" si="961"/>
        <v>1339344793.7365274</v>
      </c>
      <c r="S216">
        <f t="shared" si="962"/>
        <v>13393.447937365274</v>
      </c>
      <c r="T216">
        <f t="shared" si="963"/>
        <v>13.393447937365274</v>
      </c>
    </row>
    <row r="217" spans="1:20" x14ac:dyDescent="0.25">
      <c r="A217" s="5">
        <v>44376</v>
      </c>
      <c r="B217">
        <v>3.8525999999999998</v>
      </c>
      <c r="C217">
        <v>4.2923</v>
      </c>
      <c r="D217">
        <v>3.8382000000000001</v>
      </c>
      <c r="E217">
        <v>4.1288999999999998</v>
      </c>
      <c r="F217">
        <v>22443557.940000001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0.28033472803347181</v>
      </c>
      <c r="Q217">
        <f t="shared" si="960"/>
        <v>6291708.7112133671</v>
      </c>
      <c r="R217">
        <f t="shared" si="961"/>
        <v>1332514549.8615274</v>
      </c>
      <c r="S217">
        <f t="shared" si="962"/>
        <v>13325.145498615275</v>
      </c>
      <c r="T217">
        <f t="shared" si="963"/>
        <v>13.325145498615274</v>
      </c>
    </row>
    <row r="218" spans="1:20" x14ac:dyDescent="0.25">
      <c r="A218" s="5">
        <v>44375</v>
      </c>
      <c r="B218">
        <v>3.7766000000000002</v>
      </c>
      <c r="C218">
        <v>3.9455</v>
      </c>
      <c r="D218">
        <v>3.6865000000000001</v>
      </c>
      <c r="E218">
        <v>3.8506999999999998</v>
      </c>
      <c r="F218">
        <v>13666088.310000001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0.26795366795366599</v>
      </c>
      <c r="Q218">
        <f t="shared" si="960"/>
        <v>3661878.4892432163</v>
      </c>
      <c r="R218">
        <f t="shared" si="961"/>
        <v>1326222841.1503141</v>
      </c>
      <c r="S218">
        <f t="shared" si="962"/>
        <v>13262.228411503142</v>
      </c>
      <c r="T218">
        <f t="shared" si="963"/>
        <v>13.262228411503141</v>
      </c>
    </row>
    <row r="219" spans="1:20" x14ac:dyDescent="0.25">
      <c r="A219" s="5">
        <v>44374</v>
      </c>
      <c r="B219">
        <v>3.5706000000000002</v>
      </c>
      <c r="C219">
        <v>3.7824</v>
      </c>
      <c r="D219">
        <v>3.4874000000000001</v>
      </c>
      <c r="E219">
        <v>3.7766000000000002</v>
      </c>
      <c r="F219">
        <v>11994997.220000001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0.9606779661016962</v>
      </c>
      <c r="Q219">
        <f t="shared" si="960"/>
        <v>11523329.5327051</v>
      </c>
      <c r="R219">
        <f t="shared" si="961"/>
        <v>1322560962.6610708</v>
      </c>
      <c r="S219">
        <f t="shared" si="962"/>
        <v>13225.609626610709</v>
      </c>
      <c r="T219">
        <f t="shared" si="963"/>
        <v>13.225609626610709</v>
      </c>
    </row>
    <row r="220" spans="1:20" x14ac:dyDescent="0.25">
      <c r="A220" s="5">
        <v>44373</v>
      </c>
      <c r="B220">
        <v>3.5331999999999999</v>
      </c>
      <c r="C220">
        <v>3.6576</v>
      </c>
      <c r="D220">
        <v>3.35</v>
      </c>
      <c r="E220">
        <v>3.5712000000000002</v>
      </c>
      <c r="F220">
        <v>17664309.550000001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0.43823146944083324</v>
      </c>
      <c r="Q220">
        <f t="shared" si="960"/>
        <v>7741056.3307542438</v>
      </c>
      <c r="R220">
        <f t="shared" si="961"/>
        <v>1311037633.1283658</v>
      </c>
      <c r="S220">
        <f t="shared" si="962"/>
        <v>13110.376331283658</v>
      </c>
      <c r="T220">
        <f t="shared" si="963"/>
        <v>13.110376331283659</v>
      </c>
    </row>
    <row r="221" spans="1:20" x14ac:dyDescent="0.25">
      <c r="A221" s="5">
        <v>44372</v>
      </c>
      <c r="B221">
        <v>3.9239999999999999</v>
      </c>
      <c r="C221">
        <v>4.0251000000000001</v>
      </c>
      <c r="D221">
        <v>3.5059</v>
      </c>
      <c r="E221">
        <v>3.5333000000000001</v>
      </c>
      <c r="F221">
        <v>24547992.59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-0.89445300462249577</v>
      </c>
      <c r="Q221">
        <f t="shared" si="960"/>
        <v>-21957025.729576264</v>
      </c>
      <c r="R221">
        <f t="shared" si="961"/>
        <v>1303296576.7976115</v>
      </c>
      <c r="S221">
        <f t="shared" si="962"/>
        <v>13032.965767976115</v>
      </c>
      <c r="T221">
        <f t="shared" si="963"/>
        <v>13.032965767976116</v>
      </c>
    </row>
    <row r="222" spans="1:20" x14ac:dyDescent="0.25">
      <c r="A222" s="5">
        <v>44371</v>
      </c>
      <c r="B222">
        <v>3.6726000000000001</v>
      </c>
      <c r="C222">
        <v>3.9291999999999998</v>
      </c>
      <c r="D222">
        <v>3.5184000000000002</v>
      </c>
      <c r="E222">
        <v>3.9239999999999999</v>
      </c>
      <c r="F222">
        <v>22591189.670000002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0.97468354430379811</v>
      </c>
      <c r="Q222">
        <f t="shared" si="960"/>
        <v>22019260.817594953</v>
      </c>
      <c r="R222">
        <f t="shared" si="961"/>
        <v>1325253602.5271878</v>
      </c>
      <c r="S222">
        <f t="shared" si="962"/>
        <v>13252.536025271878</v>
      </c>
      <c r="T222">
        <f t="shared" si="963"/>
        <v>13.252536025271878</v>
      </c>
    </row>
    <row r="223" spans="1:20" x14ac:dyDescent="0.25">
      <c r="A223" s="5">
        <v>44370</v>
      </c>
      <c r="B223">
        <v>3.3868</v>
      </c>
      <c r="C223">
        <v>3.8075999999999999</v>
      </c>
      <c r="D223">
        <v>3.2511999999999999</v>
      </c>
      <c r="E223">
        <v>3.6732</v>
      </c>
      <c r="F223">
        <v>27495124.030000001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0.51689432063263896</v>
      </c>
      <c r="Q223">
        <f t="shared" si="960"/>
        <v>14212073.456196997</v>
      </c>
      <c r="R223">
        <f t="shared" si="961"/>
        <v>1303234341.7095928</v>
      </c>
      <c r="S223">
        <f t="shared" si="962"/>
        <v>13032.343417095928</v>
      </c>
      <c r="T223">
        <f t="shared" si="963"/>
        <v>13.032343417095928</v>
      </c>
    </row>
    <row r="224" spans="1:20" x14ac:dyDescent="0.25">
      <c r="A224" s="5">
        <v>44369</v>
      </c>
      <c r="B224">
        <v>3.5190000000000001</v>
      </c>
      <c r="C224">
        <v>3.7618999999999998</v>
      </c>
      <c r="D224">
        <v>3.0392000000000001</v>
      </c>
      <c r="E224">
        <v>3.3868999999999998</v>
      </c>
      <c r="F224">
        <v>49227688.140000001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-3.7775010377750572E-2</v>
      </c>
      <c r="Q224">
        <f t="shared" si="960"/>
        <v>-1859576.4303611687</v>
      </c>
      <c r="R224">
        <f t="shared" si="961"/>
        <v>1289022268.2533958</v>
      </c>
      <c r="S224">
        <f t="shared" si="962"/>
        <v>12890.222682533959</v>
      </c>
      <c r="T224">
        <f t="shared" si="963"/>
        <v>12.890222682533958</v>
      </c>
    </row>
    <row r="225" spans="1:20" x14ac:dyDescent="0.25">
      <c r="A225" s="5">
        <v>44368</v>
      </c>
      <c r="B225">
        <v>4.5065999999999997</v>
      </c>
      <c r="C225">
        <v>4.5225</v>
      </c>
      <c r="D225">
        <v>3.5026000000000002</v>
      </c>
      <c r="E225">
        <v>3.5181</v>
      </c>
      <c r="F225">
        <v>36492092.090000004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-0.96960486322188477</v>
      </c>
      <c r="Q225">
        <f t="shared" si="960"/>
        <v>-35382909.959604874</v>
      </c>
      <c r="R225">
        <f t="shared" si="961"/>
        <v>1290881844.6837571</v>
      </c>
      <c r="S225">
        <f t="shared" si="962"/>
        <v>12908.818446837571</v>
      </c>
      <c r="T225">
        <f t="shared" si="963"/>
        <v>12.908818446837572</v>
      </c>
    </row>
    <row r="226" spans="1:20" x14ac:dyDescent="0.25">
      <c r="A226" s="5">
        <v>44367</v>
      </c>
      <c r="B226">
        <v>4.46</v>
      </c>
      <c r="C226">
        <v>4.5332999999999997</v>
      </c>
      <c r="D226">
        <v>4.1032000000000002</v>
      </c>
      <c r="E226">
        <v>4.5068999999999999</v>
      </c>
      <c r="F226">
        <v>17437328.039999999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0.87723785166240509</v>
      </c>
      <c r="Q226">
        <f t="shared" si="960"/>
        <v>15296684.188542215</v>
      </c>
      <c r="R226">
        <f t="shared" si="961"/>
        <v>1326264754.643362</v>
      </c>
      <c r="S226">
        <f t="shared" si="962"/>
        <v>13262.64754643362</v>
      </c>
      <c r="T226">
        <f t="shared" si="963"/>
        <v>13.26264754643362</v>
      </c>
    </row>
    <row r="227" spans="1:20" x14ac:dyDescent="0.25">
      <c r="A227" s="5">
        <v>44366</v>
      </c>
      <c r="B227">
        <v>4.5627000000000004</v>
      </c>
      <c r="C227">
        <v>4.7028999999999996</v>
      </c>
      <c r="D227">
        <v>4.45</v>
      </c>
      <c r="E227">
        <v>4.4596999999999998</v>
      </c>
      <c r="F227">
        <v>11474644.75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-0.92328983788058827</v>
      </c>
      <c r="Q227">
        <f t="shared" si="960"/>
        <v>-10594422.890964843</v>
      </c>
      <c r="R227">
        <f t="shared" si="961"/>
        <v>1310968070.4548199</v>
      </c>
      <c r="S227">
        <f t="shared" si="962"/>
        <v>13109.6807045482</v>
      </c>
      <c r="T227">
        <f t="shared" si="963"/>
        <v>13.1096807045482</v>
      </c>
    </row>
    <row r="228" spans="1:20" x14ac:dyDescent="0.25">
      <c r="A228" s="5">
        <v>44365</v>
      </c>
      <c r="B228">
        <v>4.8727</v>
      </c>
      <c r="C228">
        <v>4.8940999999999999</v>
      </c>
      <c r="D228">
        <v>4.3903999999999996</v>
      </c>
      <c r="E228">
        <v>4.5640000000000001</v>
      </c>
      <c r="F228">
        <v>16357445.09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-0.31070081397657207</v>
      </c>
      <c r="Q228">
        <f t="shared" si="960"/>
        <v>-5082271.504040082</v>
      </c>
      <c r="R228">
        <f t="shared" si="961"/>
        <v>1321562493.3457847</v>
      </c>
      <c r="S228">
        <f t="shared" si="962"/>
        <v>13215.624933457846</v>
      </c>
      <c r="T228">
        <f t="shared" si="963"/>
        <v>13.215624933457846</v>
      </c>
    </row>
    <row r="229" spans="1:20" x14ac:dyDescent="0.25">
      <c r="A229" s="5">
        <v>44364</v>
      </c>
      <c r="B229">
        <v>4.8647</v>
      </c>
      <c r="C229">
        <v>5.0845000000000002</v>
      </c>
      <c r="D229">
        <v>4.7539999999999996</v>
      </c>
      <c r="E229">
        <v>4.8724999999999996</v>
      </c>
      <c r="F229">
        <v>13977776.939999999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-0.28290468986384382</v>
      </c>
      <c r="Q229">
        <f t="shared" si="960"/>
        <v>-3954378.6501966878</v>
      </c>
      <c r="R229">
        <f t="shared" si="961"/>
        <v>1326644764.8498247</v>
      </c>
      <c r="S229">
        <f t="shared" si="962"/>
        <v>13266.447648498246</v>
      </c>
      <c r="T229">
        <f t="shared" si="963"/>
        <v>13.266447648498247</v>
      </c>
    </row>
    <row r="230" spans="1:20" x14ac:dyDescent="0.25">
      <c r="A230" s="5">
        <v>44363</v>
      </c>
      <c r="B230">
        <v>5.1825999999999999</v>
      </c>
      <c r="C230">
        <v>5.2336999999999998</v>
      </c>
      <c r="D230">
        <v>4.8151999999999999</v>
      </c>
      <c r="E230">
        <v>4.8657000000000004</v>
      </c>
      <c r="F230">
        <v>16610868.82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-0.75866188769414367</v>
      </c>
      <c r="Q230">
        <f t="shared" si="960"/>
        <v>-12602033.095220992</v>
      </c>
      <c r="R230">
        <f t="shared" si="961"/>
        <v>1330599143.5000215</v>
      </c>
      <c r="S230">
        <f t="shared" si="962"/>
        <v>13305.991435000215</v>
      </c>
      <c r="T230">
        <f t="shared" si="963"/>
        <v>13.305991435000214</v>
      </c>
    </row>
    <row r="231" spans="1:20" x14ac:dyDescent="0.25">
      <c r="A231" s="5">
        <v>44362</v>
      </c>
      <c r="B231">
        <v>5.2984</v>
      </c>
      <c r="C231">
        <v>5.3982000000000001</v>
      </c>
      <c r="D231">
        <v>5.1058000000000003</v>
      </c>
      <c r="E231">
        <v>5.1807999999999996</v>
      </c>
      <c r="F231">
        <v>16182855.73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-0.4870041039671727</v>
      </c>
      <c r="Q231">
        <f t="shared" si="960"/>
        <v>-7881117.1544186771</v>
      </c>
      <c r="R231">
        <f t="shared" si="961"/>
        <v>1343201176.5952425</v>
      </c>
      <c r="S231">
        <f t="shared" si="962"/>
        <v>13432.011765952426</v>
      </c>
      <c r="T231">
        <f t="shared" si="963"/>
        <v>13.432011765952426</v>
      </c>
    </row>
    <row r="232" spans="1:20" x14ac:dyDescent="0.25">
      <c r="A232" s="5">
        <v>44361</v>
      </c>
      <c r="B232">
        <v>5.0892999999999997</v>
      </c>
      <c r="C232">
        <v>5.3240999999999996</v>
      </c>
      <c r="D232">
        <v>4.9531999999999998</v>
      </c>
      <c r="E232">
        <v>5.2991999999999999</v>
      </c>
      <c r="F232">
        <v>18027075.109999999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0.86573200323537491</v>
      </c>
      <c r="Q232">
        <f t="shared" si="960"/>
        <v>15606615.847454866</v>
      </c>
      <c r="R232">
        <f t="shared" si="961"/>
        <v>1351082293.7496612</v>
      </c>
      <c r="S232">
        <f t="shared" si="962"/>
        <v>13510.822937496612</v>
      </c>
      <c r="T232">
        <f t="shared" si="963"/>
        <v>13.510822937496613</v>
      </c>
    </row>
    <row r="233" spans="1:20" x14ac:dyDescent="0.25">
      <c r="A233" s="5">
        <v>44360</v>
      </c>
      <c r="B233">
        <v>4.8311000000000002</v>
      </c>
      <c r="C233">
        <v>5.1100000000000003</v>
      </c>
      <c r="D233">
        <v>4.6557000000000004</v>
      </c>
      <c r="E233">
        <v>5.0873999999999997</v>
      </c>
      <c r="F233">
        <v>15078415.85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0.90050627338762657</v>
      </c>
      <c r="Q233">
        <f t="shared" si="960"/>
        <v>13578208.065672422</v>
      </c>
      <c r="R233">
        <f t="shared" si="961"/>
        <v>1335475677.9022064</v>
      </c>
      <c r="S233">
        <f t="shared" si="962"/>
        <v>13354.756779022064</v>
      </c>
      <c r="T233">
        <f t="shared" si="963"/>
        <v>13.354756779022063</v>
      </c>
    </row>
    <row r="234" spans="1:20" x14ac:dyDescent="0.25">
      <c r="A234" s="5">
        <v>44359</v>
      </c>
      <c r="B234">
        <v>4.9160000000000004</v>
      </c>
      <c r="C234">
        <v>4.9160000000000004</v>
      </c>
      <c r="D234">
        <v>4.5842000000000001</v>
      </c>
      <c r="E234">
        <v>4.8301999999999996</v>
      </c>
      <c r="F234">
        <v>19411925.449999999</v>
      </c>
      <c r="G234">
        <v>0</v>
      </c>
      <c r="L234" t="s">
        <v>7</v>
      </c>
      <c r="M234" t="s">
        <v>8</v>
      </c>
      <c r="N234" t="s">
        <v>7</v>
      </c>
      <c r="P234">
        <f t="shared" si="959"/>
        <v>0.48282097649185846</v>
      </c>
      <c r="Q234">
        <f t="shared" si="960"/>
        <v>9372484.8013561592</v>
      </c>
      <c r="R234">
        <f t="shared" si="961"/>
        <v>1321897469.836534</v>
      </c>
      <c r="S234">
        <f t="shared" si="962"/>
        <v>13218.97469836534</v>
      </c>
      <c r="T234">
        <f t="shared" si="963"/>
        <v>13.21897469836534</v>
      </c>
    </row>
    <row r="235" spans="1:20" x14ac:dyDescent="0.25">
      <c r="A235" s="5">
        <v>44358</v>
      </c>
      <c r="B235">
        <v>5.0788000000000002</v>
      </c>
      <c r="C235">
        <v>5.3940999999999999</v>
      </c>
      <c r="D235">
        <v>4.8545999999999996</v>
      </c>
      <c r="E235">
        <v>4.9157000000000002</v>
      </c>
      <c r="F235">
        <v>29079424.27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-0.77349397590361235</v>
      </c>
      <c r="Q235">
        <f t="shared" si="960"/>
        <v>-22492759.495590299</v>
      </c>
      <c r="R235">
        <f t="shared" si="961"/>
        <v>1312524985.0351779</v>
      </c>
      <c r="S235">
        <f t="shared" si="962"/>
        <v>13125.24985035178</v>
      </c>
      <c r="T235">
        <f t="shared" si="963"/>
        <v>13.12524985035178</v>
      </c>
    </row>
    <row r="236" spans="1:20" x14ac:dyDescent="0.25">
      <c r="A236" s="5">
        <v>44357</v>
      </c>
      <c r="B236">
        <v>5.3390000000000004</v>
      </c>
      <c r="C236">
        <v>5.4756999999999998</v>
      </c>
      <c r="D236">
        <v>4.9259000000000004</v>
      </c>
      <c r="E236">
        <v>5.0799000000000003</v>
      </c>
      <c r="F236">
        <v>27109652.34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-0.43979628955983963</v>
      </c>
      <c r="Q236">
        <f t="shared" si="960"/>
        <v>-11922724.510389224</v>
      </c>
      <c r="R236">
        <f t="shared" si="961"/>
        <v>1335017744.5307682</v>
      </c>
      <c r="S236">
        <f t="shared" si="962"/>
        <v>13350.177445307681</v>
      </c>
      <c r="T236">
        <f t="shared" si="963"/>
        <v>13.350177445307681</v>
      </c>
    </row>
    <row r="237" spans="1:20" x14ac:dyDescent="0.25">
      <c r="A237" s="5">
        <v>44356</v>
      </c>
      <c r="B237">
        <v>5.0491000000000001</v>
      </c>
      <c r="C237">
        <v>5.4</v>
      </c>
      <c r="D237">
        <v>4.7708000000000004</v>
      </c>
      <c r="E237">
        <v>5.3403999999999998</v>
      </c>
      <c r="F237">
        <v>33763045.299999997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0.81055308328035425</v>
      </c>
      <c r="Q237">
        <f t="shared" si="960"/>
        <v>27366740.468849272</v>
      </c>
      <c r="R237">
        <f t="shared" si="961"/>
        <v>1346940469.0411575</v>
      </c>
      <c r="S237">
        <f t="shared" si="962"/>
        <v>13469.404690411575</v>
      </c>
      <c r="T237">
        <f t="shared" si="963"/>
        <v>13.469404690411574</v>
      </c>
    </row>
    <row r="238" spans="1:20" x14ac:dyDescent="0.25">
      <c r="A238" s="5">
        <v>44355</v>
      </c>
      <c r="B238">
        <v>5.1882000000000001</v>
      </c>
      <c r="C238">
        <v>5.2552000000000003</v>
      </c>
      <c r="D238">
        <v>4.5045999999999999</v>
      </c>
      <c r="E238">
        <v>5.0502000000000002</v>
      </c>
      <c r="F238">
        <v>40563736.600000001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0.45377031707966969</v>
      </c>
      <c r="Q238">
        <f t="shared" si="960"/>
        <v>18406619.618918203</v>
      </c>
      <c r="R238">
        <f t="shared" si="961"/>
        <v>1319573728.5723083</v>
      </c>
      <c r="S238">
        <f t="shared" si="962"/>
        <v>13195.737285723084</v>
      </c>
      <c r="T238">
        <f t="shared" si="963"/>
        <v>13.195737285723084</v>
      </c>
    </row>
    <row r="239" spans="1:20" x14ac:dyDescent="0.25">
      <c r="A239" s="5">
        <v>44354</v>
      </c>
      <c r="B239">
        <v>5.8452000000000002</v>
      </c>
      <c r="C239">
        <v>5.9699</v>
      </c>
      <c r="D239">
        <v>5.0681000000000003</v>
      </c>
      <c r="E239">
        <v>5.1894</v>
      </c>
      <c r="F239">
        <v>22547226.449999999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-0.73098247948547401</v>
      </c>
      <c r="Q239">
        <f t="shared" si="960"/>
        <v>-16481627.495941462</v>
      </c>
      <c r="R239">
        <f t="shared" si="961"/>
        <v>1301167108.9533901</v>
      </c>
      <c r="S239">
        <f t="shared" si="962"/>
        <v>13011.671089533902</v>
      </c>
      <c r="T239">
        <f t="shared" si="963"/>
        <v>13.011671089533902</v>
      </c>
    </row>
    <row r="240" spans="1:20" x14ac:dyDescent="0.25">
      <c r="A240" s="5">
        <v>44353</v>
      </c>
      <c r="B240">
        <v>5.7758000000000003</v>
      </c>
      <c r="C240">
        <v>5.9516</v>
      </c>
      <c r="D240">
        <v>5.7061000000000002</v>
      </c>
      <c r="E240">
        <v>5.8456999999999999</v>
      </c>
      <c r="F240">
        <v>15060918.029999999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0.137270875763746</v>
      </c>
      <c r="Q240">
        <f t="shared" si="960"/>
        <v>2067425.407784092</v>
      </c>
      <c r="R240">
        <f t="shared" si="961"/>
        <v>1317648736.4493315</v>
      </c>
      <c r="S240">
        <f t="shared" si="962"/>
        <v>13176.487364493316</v>
      </c>
      <c r="T240">
        <f t="shared" si="963"/>
        <v>13.176487364493315</v>
      </c>
    </row>
    <row r="241" spans="1:20" x14ac:dyDescent="0.25">
      <c r="A241" s="5">
        <v>44352</v>
      </c>
      <c r="B241">
        <v>6.0149999999999997</v>
      </c>
      <c r="C241">
        <v>6.2206000000000001</v>
      </c>
      <c r="D241">
        <v>5.6379000000000001</v>
      </c>
      <c r="E241">
        <v>5.7775999999999996</v>
      </c>
      <c r="F241">
        <v>23001120.91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-0.52050798009267374</v>
      </c>
      <c r="Q241">
        <f t="shared" si="960"/>
        <v>-11972266.984731462</v>
      </c>
      <c r="R241">
        <f t="shared" si="961"/>
        <v>1315581311.0415475</v>
      </c>
      <c r="S241">
        <f t="shared" si="962"/>
        <v>13155.813110415475</v>
      </c>
      <c r="T241">
        <f t="shared" si="963"/>
        <v>13.155813110415474</v>
      </c>
    </row>
    <row r="242" spans="1:20" x14ac:dyDescent="0.25">
      <c r="A242" s="5">
        <v>44351</v>
      </c>
      <c r="B242">
        <v>6.5338000000000003</v>
      </c>
      <c r="C242">
        <v>6.5423999999999998</v>
      </c>
      <c r="D242">
        <v>5.7751999999999999</v>
      </c>
      <c r="E242">
        <v>6.0141999999999998</v>
      </c>
      <c r="F242">
        <v>30733500.440000001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-0.37695516162669468</v>
      </c>
      <c r="Q242">
        <f t="shared" si="960"/>
        <v>-11585151.625714293</v>
      </c>
      <c r="R242">
        <f t="shared" si="961"/>
        <v>1327553578.026279</v>
      </c>
      <c r="S242">
        <f t="shared" si="962"/>
        <v>13275.53578026279</v>
      </c>
      <c r="T242">
        <f t="shared" si="963"/>
        <v>13.275535780262789</v>
      </c>
    </row>
    <row r="243" spans="1:20" x14ac:dyDescent="0.25">
      <c r="A243" s="5">
        <v>44350</v>
      </c>
      <c r="B243">
        <v>6.3726000000000003</v>
      </c>
      <c r="C243">
        <v>6.7</v>
      </c>
      <c r="D243">
        <v>6.2253999999999996</v>
      </c>
      <c r="E243">
        <v>6.5335000000000001</v>
      </c>
      <c r="F243">
        <v>30348664.309999999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0.29835651074589176</v>
      </c>
      <c r="Q243">
        <f t="shared" si="960"/>
        <v>9054721.5893299766</v>
      </c>
      <c r="R243">
        <f t="shared" si="961"/>
        <v>1339138729.6519933</v>
      </c>
      <c r="S243">
        <f t="shared" si="962"/>
        <v>13391.387296519933</v>
      </c>
      <c r="T243">
        <f t="shared" si="963"/>
        <v>13.391387296519934</v>
      </c>
    </row>
    <row r="244" spans="1:20" x14ac:dyDescent="0.25">
      <c r="A244" s="5">
        <v>44349</v>
      </c>
      <c r="B244">
        <v>6.3056000000000001</v>
      </c>
      <c r="C244">
        <v>6.6</v>
      </c>
      <c r="D244">
        <v>6.1238000000000001</v>
      </c>
      <c r="E244">
        <v>6.3695000000000004</v>
      </c>
      <c r="F244">
        <v>32498475.079999998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3.1919361612769856E-2</v>
      </c>
      <c r="Q244">
        <f t="shared" si="960"/>
        <v>1037330.5779421097</v>
      </c>
      <c r="R244">
        <f t="shared" si="961"/>
        <v>1330084008.0626633</v>
      </c>
      <c r="S244">
        <f t="shared" si="962"/>
        <v>13300.840080626633</v>
      </c>
      <c r="T244">
        <f t="shared" si="963"/>
        <v>13.300840080626633</v>
      </c>
    </row>
    <row r="245" spans="1:20" x14ac:dyDescent="0.25">
      <c r="A245" s="5">
        <v>44348</v>
      </c>
      <c r="B245">
        <v>6.6322000000000001</v>
      </c>
      <c r="C245">
        <v>6.7606000000000002</v>
      </c>
      <c r="D245">
        <v>6.0686999999999998</v>
      </c>
      <c r="E245">
        <v>6.3068999999999997</v>
      </c>
      <c r="F245">
        <v>40141810.109999999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-0.31146119381413551</v>
      </c>
      <c r="Q245">
        <f t="shared" si="960"/>
        <v>-12502616.098720934</v>
      </c>
      <c r="R245">
        <f t="shared" si="961"/>
        <v>1329046677.4847212</v>
      </c>
      <c r="S245">
        <f t="shared" si="962"/>
        <v>13290.466774847211</v>
      </c>
      <c r="T245">
        <f t="shared" si="963"/>
        <v>13.290466774847211</v>
      </c>
    </row>
    <row r="246" spans="1:20" x14ac:dyDescent="0.25">
      <c r="A246" s="5">
        <v>44347</v>
      </c>
      <c r="B246">
        <v>6.0358999999999998</v>
      </c>
      <c r="C246">
        <v>6.6887999999999996</v>
      </c>
      <c r="D246">
        <v>5.74</v>
      </c>
      <c r="E246">
        <v>6.6296999999999997</v>
      </c>
      <c r="F246">
        <v>44952581.909999996</v>
      </c>
      <c r="G246">
        <v>0</v>
      </c>
      <c r="L246" t="s">
        <v>8</v>
      </c>
      <c r="M246" t="s">
        <v>7</v>
      </c>
      <c r="N246" t="s">
        <v>7</v>
      </c>
      <c r="P246">
        <f t="shared" si="959"/>
        <v>0.87542158516020241</v>
      </c>
      <c r="Q246">
        <f t="shared" si="960"/>
        <v>39352460.512696035</v>
      </c>
      <c r="R246">
        <f t="shared" si="961"/>
        <v>1341549293.5834422</v>
      </c>
      <c r="S246">
        <f t="shared" si="962"/>
        <v>13415.492935834422</v>
      </c>
      <c r="T246">
        <f t="shared" si="963"/>
        <v>13.415492935834422</v>
      </c>
    </row>
    <row r="247" spans="1:20" x14ac:dyDescent="0.25">
      <c r="A247" s="5">
        <v>44346</v>
      </c>
      <c r="B247">
        <v>6.0247999999999999</v>
      </c>
      <c r="C247">
        <v>6.3788999999999998</v>
      </c>
      <c r="D247">
        <v>5.5361000000000002</v>
      </c>
      <c r="E247">
        <v>6.0358000000000001</v>
      </c>
      <c r="F247">
        <v>48706229.909999996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0.18580920740389198</v>
      </c>
      <c r="Q247">
        <f t="shared" si="960"/>
        <v>9050065.9752088357</v>
      </c>
      <c r="R247">
        <f t="shared" si="961"/>
        <v>1302196833.0707462</v>
      </c>
      <c r="S247">
        <f t="shared" si="962"/>
        <v>13021.968330707461</v>
      </c>
      <c r="T247">
        <f t="shared" si="963"/>
        <v>13.021968330707461</v>
      </c>
    </row>
    <row r="248" spans="1:20" x14ac:dyDescent="0.25">
      <c r="A248" s="5">
        <v>44345</v>
      </c>
      <c r="B248">
        <v>6.1109</v>
      </c>
      <c r="C248">
        <v>6.8198999999999996</v>
      </c>
      <c r="D248">
        <v>5.7449000000000003</v>
      </c>
      <c r="E248">
        <v>6.0225</v>
      </c>
      <c r="F248">
        <v>74939179.109999999</v>
      </c>
      <c r="G248">
        <v>0</v>
      </c>
      <c r="L248" t="s">
        <v>8</v>
      </c>
      <c r="M248" t="s">
        <v>7</v>
      </c>
      <c r="N248" t="s">
        <v>8</v>
      </c>
      <c r="P248">
        <f t="shared" si="959"/>
        <v>-0.48353488372093056</v>
      </c>
      <c r="Q248">
        <f t="shared" si="960"/>
        <v>-36235707.257095836</v>
      </c>
      <c r="R248">
        <f t="shared" si="961"/>
        <v>1293146767.0955374</v>
      </c>
      <c r="S248">
        <f t="shared" si="962"/>
        <v>12931.467670955375</v>
      </c>
      <c r="T248">
        <f t="shared" si="963"/>
        <v>12.931467670955374</v>
      </c>
    </row>
    <row r="249" spans="1:20" x14ac:dyDescent="0.25">
      <c r="A249" s="5">
        <v>44344</v>
      </c>
      <c r="B249">
        <v>7.0205000000000002</v>
      </c>
      <c r="C249">
        <v>7.07</v>
      </c>
      <c r="D249">
        <v>5.8261000000000003</v>
      </c>
      <c r="E249">
        <v>6.1130000000000004</v>
      </c>
      <c r="F249">
        <v>99492222.069999993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-0.53870889942921429</v>
      </c>
      <c r="Q249">
        <f t="shared" si="960"/>
        <v>-53597345.45309668</v>
      </c>
      <c r="R249">
        <f t="shared" si="961"/>
        <v>1329382474.3526332</v>
      </c>
      <c r="S249">
        <f t="shared" si="962"/>
        <v>13293.824743526333</v>
      </c>
      <c r="T249">
        <f t="shared" si="963"/>
        <v>13.293824743526333</v>
      </c>
    </row>
    <row r="250" spans="1:20" x14ac:dyDescent="0.25">
      <c r="A250" s="5">
        <v>44343</v>
      </c>
      <c r="B250">
        <v>6.4333</v>
      </c>
      <c r="C250">
        <v>7.6684999999999999</v>
      </c>
      <c r="D250">
        <v>6.05</v>
      </c>
      <c r="E250">
        <v>7.0209999999999999</v>
      </c>
      <c r="F250">
        <v>104749617.54000001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0.1998764287920915</v>
      </c>
      <c r="Q250">
        <f t="shared" si="960"/>
        <v>20936979.47123263</v>
      </c>
      <c r="R250">
        <f t="shared" si="961"/>
        <v>1382979819.8057299</v>
      </c>
      <c r="S250">
        <f t="shared" si="962"/>
        <v>13829.798198057299</v>
      </c>
      <c r="T250">
        <f t="shared" si="963"/>
        <v>13.829798198057299</v>
      </c>
    </row>
    <row r="251" spans="1:20" x14ac:dyDescent="0.25">
      <c r="A251" s="5">
        <v>44342</v>
      </c>
      <c r="B251">
        <v>5.6943999999999999</v>
      </c>
      <c r="C251">
        <v>6.5225</v>
      </c>
      <c r="D251">
        <v>5.5395000000000003</v>
      </c>
      <c r="E251">
        <v>6.4314999999999998</v>
      </c>
      <c r="F251">
        <v>58737933.549999997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0.81485249237029456</v>
      </c>
      <c r="Q251">
        <f t="shared" si="960"/>
        <v>47862751.549898244</v>
      </c>
      <c r="R251">
        <f t="shared" si="961"/>
        <v>1362042840.3344972</v>
      </c>
      <c r="S251">
        <f t="shared" si="962"/>
        <v>13620.428403344971</v>
      </c>
      <c r="T251">
        <f t="shared" si="963"/>
        <v>13.620428403344972</v>
      </c>
    </row>
    <row r="252" spans="1:20" x14ac:dyDescent="0.25">
      <c r="A252" s="5">
        <v>44341</v>
      </c>
      <c r="B252">
        <v>5.6452999999999998</v>
      </c>
      <c r="C252">
        <v>6</v>
      </c>
      <c r="D252">
        <v>5.05</v>
      </c>
      <c r="E252">
        <v>5.6925999999999997</v>
      </c>
      <c r="F252">
        <v>71062139.689999998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0.35284210526315729</v>
      </c>
      <c r="Q252">
        <f t="shared" si="960"/>
        <v>25073714.972724166</v>
      </c>
      <c r="R252">
        <f t="shared" si="961"/>
        <v>1314180088.7845991</v>
      </c>
      <c r="S252">
        <f t="shared" si="962"/>
        <v>13141.800887845991</v>
      </c>
      <c r="T252">
        <f t="shared" si="963"/>
        <v>13.141800887845992</v>
      </c>
    </row>
    <row r="253" spans="1:20" x14ac:dyDescent="0.25">
      <c r="A253" s="5">
        <v>44340</v>
      </c>
      <c r="B253">
        <v>4.2897999999999996</v>
      </c>
      <c r="C253">
        <v>5.6459999999999999</v>
      </c>
      <c r="D253">
        <v>4.1694000000000004</v>
      </c>
      <c r="E253">
        <v>5.6421000000000001</v>
      </c>
      <c r="F253">
        <v>75626040.359999999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0.99471759447379138</v>
      </c>
      <c r="Q253">
        <f t="shared" si="960"/>
        <v>75226552.946477056</v>
      </c>
      <c r="R253">
        <f t="shared" si="961"/>
        <v>1289106373.8118749</v>
      </c>
      <c r="S253">
        <f t="shared" si="962"/>
        <v>12891.063738118748</v>
      </c>
      <c r="T253">
        <f t="shared" si="963"/>
        <v>12.891063738118747</v>
      </c>
    </row>
    <row r="254" spans="1:20" x14ac:dyDescent="0.25">
      <c r="A254" s="5">
        <v>44339</v>
      </c>
      <c r="B254">
        <v>5.1010999999999997</v>
      </c>
      <c r="C254">
        <v>5.3224999999999998</v>
      </c>
      <c r="D254">
        <v>3.5710000000000002</v>
      </c>
      <c r="E254">
        <v>4.2923</v>
      </c>
      <c r="F254">
        <v>77994441.109999999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-0.17636311732800458</v>
      </c>
      <c r="Q254">
        <f t="shared" si="960"/>
        <v>-13755342.768415073</v>
      </c>
      <c r="R254">
        <f t="shared" si="961"/>
        <v>1213879820.8653977</v>
      </c>
      <c r="S254">
        <f t="shared" si="962"/>
        <v>12138.798208653978</v>
      </c>
      <c r="T254">
        <f t="shared" si="963"/>
        <v>12.138798208653977</v>
      </c>
    </row>
    <row r="255" spans="1:20" x14ac:dyDescent="0.25">
      <c r="A255" s="5">
        <v>44338</v>
      </c>
      <c r="B255">
        <v>5.5545</v>
      </c>
      <c r="C255">
        <v>5.6677</v>
      </c>
      <c r="D255">
        <v>4.8928000000000003</v>
      </c>
      <c r="E255">
        <v>5.1017999999999999</v>
      </c>
      <c r="F255">
        <v>57262026.25</v>
      </c>
      <c r="G255">
        <v>0</v>
      </c>
      <c r="L255" t="s">
        <v>8</v>
      </c>
      <c r="M255" t="s">
        <v>7</v>
      </c>
      <c r="N255" t="s">
        <v>7</v>
      </c>
      <c r="P255">
        <f t="shared" si="959"/>
        <v>-0.4605755581365345</v>
      </c>
      <c r="Q255">
        <f t="shared" si="960"/>
        <v>-26373489.70012264</v>
      </c>
      <c r="R255">
        <f t="shared" si="961"/>
        <v>1227635163.6338127</v>
      </c>
      <c r="S255">
        <f t="shared" si="962"/>
        <v>12276.351636338126</v>
      </c>
      <c r="T255">
        <f t="shared" si="963"/>
        <v>12.276351636338125</v>
      </c>
    </row>
    <row r="256" spans="1:20" x14ac:dyDescent="0.25">
      <c r="A256" s="5">
        <v>44337</v>
      </c>
      <c r="B256">
        <v>6.6418999999999997</v>
      </c>
      <c r="C256">
        <v>6.9229000000000003</v>
      </c>
      <c r="D256">
        <v>4.8377999999999997</v>
      </c>
      <c r="E256">
        <v>5.5587</v>
      </c>
      <c r="F256">
        <v>94702939.980000004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-0.30852237302767244</v>
      </c>
      <c r="Q256">
        <f t="shared" si="960"/>
        <v>-29217975.775326833</v>
      </c>
      <c r="R256">
        <f t="shared" si="961"/>
        <v>1254008653.3339353</v>
      </c>
      <c r="S256">
        <f t="shared" si="962"/>
        <v>12540.086533339352</v>
      </c>
      <c r="T256">
        <f t="shared" si="963"/>
        <v>12.540086533339352</v>
      </c>
    </row>
    <row r="257" spans="1:20" x14ac:dyDescent="0.25">
      <c r="A257" s="5">
        <v>44336</v>
      </c>
      <c r="B257">
        <v>5.69</v>
      </c>
      <c r="C257">
        <v>7.0077999999999996</v>
      </c>
      <c r="D257">
        <v>5.0999999999999996</v>
      </c>
      <c r="E257">
        <v>6.6505999999999998</v>
      </c>
      <c r="F257">
        <v>109193444.48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0.62553726805744858</v>
      </c>
      <c r="Q257">
        <f t="shared" si="960"/>
        <v>68304568.949801892</v>
      </c>
      <c r="R257">
        <f t="shared" si="961"/>
        <v>1283226629.109262</v>
      </c>
      <c r="S257">
        <f t="shared" si="962"/>
        <v>12832.266291092619</v>
      </c>
      <c r="T257">
        <f t="shared" si="963"/>
        <v>12.832266291092619</v>
      </c>
    </row>
    <row r="258" spans="1:20" x14ac:dyDescent="0.25">
      <c r="A258" s="5">
        <v>44335</v>
      </c>
      <c r="B258">
        <v>9.3242999999999991</v>
      </c>
      <c r="C258">
        <v>9.4794</v>
      </c>
      <c r="D258">
        <v>4.2</v>
      </c>
      <c r="E258">
        <v>5.6863000000000001</v>
      </c>
      <c r="F258">
        <v>178488115.05000001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-0.436943592074857</v>
      </c>
      <c r="Q258">
        <f t="shared" si="960"/>
        <v>-77989238.132617354</v>
      </c>
      <c r="R258">
        <f t="shared" si="961"/>
        <v>1214922060.1594601</v>
      </c>
      <c r="S258">
        <f t="shared" si="962"/>
        <v>12149.220601594601</v>
      </c>
      <c r="T258">
        <f t="shared" si="963"/>
        <v>12.149220601594601</v>
      </c>
    </row>
    <row r="259" spans="1:20" x14ac:dyDescent="0.25">
      <c r="A259" s="5">
        <v>44334</v>
      </c>
      <c r="B259">
        <v>9.1425000000000001</v>
      </c>
      <c r="C259">
        <v>10.0275</v>
      </c>
      <c r="D259">
        <v>8.9474</v>
      </c>
      <c r="E259">
        <v>9.3232999999999997</v>
      </c>
      <c r="F259">
        <v>48469427.700000003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-0.30395333765392141</v>
      </c>
      <c r="Q259">
        <f t="shared" si="960"/>
        <v>-14732444.323590431</v>
      </c>
      <c r="R259">
        <f t="shared" si="961"/>
        <v>1292911298.2920775</v>
      </c>
      <c r="S259">
        <f t="shared" si="962"/>
        <v>12929.112982920775</v>
      </c>
      <c r="T259">
        <f t="shared" si="963"/>
        <v>12.929112982920774</v>
      </c>
    </row>
    <row r="260" spans="1:20" x14ac:dyDescent="0.25">
      <c r="A260" s="5">
        <v>44333</v>
      </c>
      <c r="B260">
        <v>10.107699999999999</v>
      </c>
      <c r="C260">
        <v>10.130000000000001</v>
      </c>
      <c r="D260">
        <v>8.6</v>
      </c>
      <c r="E260">
        <v>9.1405999999999992</v>
      </c>
      <c r="F260">
        <v>67977146.159999996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-0.2933333333333345</v>
      </c>
      <c r="Q260">
        <f t="shared" si="960"/>
        <v>-19939962.873600077</v>
      </c>
      <c r="R260">
        <f t="shared" si="961"/>
        <v>1307643742.6156681</v>
      </c>
      <c r="S260">
        <f t="shared" si="962"/>
        <v>13076.437426156681</v>
      </c>
      <c r="T260">
        <f t="shared" si="963"/>
        <v>13.07643742615668</v>
      </c>
    </row>
    <row r="261" spans="1:20" x14ac:dyDescent="0.25">
      <c r="A261" s="5">
        <v>44332</v>
      </c>
      <c r="B261">
        <v>10.2385</v>
      </c>
      <c r="C261">
        <v>11.23</v>
      </c>
      <c r="D261">
        <v>9.4223999999999997</v>
      </c>
      <c r="E261">
        <v>10.109299999999999</v>
      </c>
      <c r="F261">
        <v>51128023.780000001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-0.23998672272626762</v>
      </c>
      <c r="Q261">
        <f t="shared" si="960"/>
        <v>-12270046.866432877</v>
      </c>
      <c r="R261">
        <f t="shared" si="961"/>
        <v>1327583705.4892681</v>
      </c>
      <c r="S261">
        <f t="shared" si="962"/>
        <v>13275.837054892681</v>
      </c>
      <c r="T261">
        <f t="shared" si="963"/>
        <v>13.275837054892682</v>
      </c>
    </row>
    <row r="262" spans="1:20" x14ac:dyDescent="0.25">
      <c r="A262" s="5">
        <v>44331</v>
      </c>
      <c r="B262">
        <v>11.1494</v>
      </c>
      <c r="C262">
        <v>11.952999999999999</v>
      </c>
      <c r="D262">
        <v>10.11</v>
      </c>
      <c r="E262">
        <v>10.236499999999999</v>
      </c>
      <c r="F262">
        <v>79576778.659999996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-0.86272381985892566</v>
      </c>
      <c r="Q262">
        <f t="shared" ref="Q262:Q325" si="965">F262*P262</f>
        <v>-68652782.457623437</v>
      </c>
      <c r="R262">
        <f t="shared" ref="R262:R325" si="966">R263+Q262</f>
        <v>1339853752.355701</v>
      </c>
      <c r="S262">
        <f t="shared" ref="S262:S325" si="967">R262/100000</f>
        <v>13398.53752355701</v>
      </c>
      <c r="T262">
        <f t="shared" ref="T262:T325" si="968">S262/1000</f>
        <v>13.39853752355701</v>
      </c>
    </row>
    <row r="263" spans="1:20" x14ac:dyDescent="0.25">
      <c r="A263" s="5">
        <v>44330</v>
      </c>
      <c r="B263">
        <v>10.596399999999999</v>
      </c>
      <c r="C263">
        <v>11.6669</v>
      </c>
      <c r="D263">
        <v>10.5084</v>
      </c>
      <c r="E263">
        <v>11.1496</v>
      </c>
      <c r="F263">
        <v>64812582.289999999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0.10694864048338282</v>
      </c>
      <c r="Q263">
        <f t="shared" si="965"/>
        <v>6931617.5621328745</v>
      </c>
      <c r="R263">
        <f t="shared" si="966"/>
        <v>1408506534.8133245</v>
      </c>
      <c r="S263">
        <f t="shared" si="967"/>
        <v>14085.065348133245</v>
      </c>
      <c r="T263">
        <f t="shared" si="968"/>
        <v>14.085065348133245</v>
      </c>
    </row>
    <row r="264" spans="1:20" x14ac:dyDescent="0.25">
      <c r="A264" s="5">
        <v>44329</v>
      </c>
      <c r="B264">
        <v>10.3536</v>
      </c>
      <c r="C264">
        <v>11.638400000000001</v>
      </c>
      <c r="D264">
        <v>9.4062999999999999</v>
      </c>
      <c r="E264">
        <v>10.576000000000001</v>
      </c>
      <c r="F264">
        <v>120271507.68000001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4.807132296940117E-2</v>
      </c>
      <c r="Q264">
        <f t="shared" si="965"/>
        <v>5781610.4897020934</v>
      </c>
      <c r="R264">
        <f t="shared" si="966"/>
        <v>1401574917.2511916</v>
      </c>
      <c r="S264">
        <f t="shared" si="967"/>
        <v>14015.749172511916</v>
      </c>
      <c r="T264">
        <f t="shared" si="968"/>
        <v>14.015749172511915</v>
      </c>
    </row>
    <row r="265" spans="1:20" x14ac:dyDescent="0.25">
      <c r="A265" s="5">
        <v>44328</v>
      </c>
      <c r="B265">
        <v>14.516400000000001</v>
      </c>
      <c r="C265">
        <v>14.9</v>
      </c>
      <c r="D265">
        <v>10.126300000000001</v>
      </c>
      <c r="E265">
        <v>10.3536</v>
      </c>
      <c r="F265">
        <v>144381299.02000001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-0.90476988499486788</v>
      </c>
      <c r="Q265">
        <f t="shared" si="965"/>
        <v>-130631851.30973504</v>
      </c>
      <c r="R265">
        <f t="shared" si="966"/>
        <v>1395793306.7614896</v>
      </c>
      <c r="S265">
        <f t="shared" si="967"/>
        <v>13957.933067614897</v>
      </c>
      <c r="T265">
        <f t="shared" si="968"/>
        <v>13.957933067614897</v>
      </c>
    </row>
    <row r="266" spans="1:20" x14ac:dyDescent="0.25">
      <c r="A266" s="5">
        <v>44327</v>
      </c>
      <c r="B266">
        <v>9.2653999999999996</v>
      </c>
      <c r="C266">
        <v>14.528700000000001</v>
      </c>
      <c r="D266">
        <v>8.7739999999999991</v>
      </c>
      <c r="E266">
        <v>14.516400000000001</v>
      </c>
      <c r="F266">
        <v>207134481.65000001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0.99572523328757367</v>
      </c>
      <c r="Q266">
        <f t="shared" si="965"/>
        <v>206249030.0628469</v>
      </c>
      <c r="R266">
        <f t="shared" si="966"/>
        <v>1526425158.0712247</v>
      </c>
      <c r="S266">
        <f t="shared" si="967"/>
        <v>15264.251580712247</v>
      </c>
      <c r="T266">
        <f t="shared" si="968"/>
        <v>15.264251580712248</v>
      </c>
    </row>
    <row r="267" spans="1:20" x14ac:dyDescent="0.25">
      <c r="A267" s="5">
        <v>44326</v>
      </c>
      <c r="B267">
        <v>10.5283</v>
      </c>
      <c r="C267">
        <v>10.992800000000001</v>
      </c>
      <c r="D267">
        <v>8.23</v>
      </c>
      <c r="E267">
        <v>9.2670999999999992</v>
      </c>
      <c r="F267">
        <v>82033777.840000004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-0.24923990154915401</v>
      </c>
      <c r="Q267">
        <f t="shared" si="965"/>
        <v>-20446090.712546773</v>
      </c>
      <c r="R267">
        <f t="shared" si="966"/>
        <v>1320176128.0083778</v>
      </c>
      <c r="S267">
        <f t="shared" si="967"/>
        <v>13201.761280083778</v>
      </c>
      <c r="T267">
        <f t="shared" si="968"/>
        <v>13.201761280083778</v>
      </c>
    </row>
    <row r="268" spans="1:20" x14ac:dyDescent="0.25">
      <c r="A268" s="5">
        <v>44325</v>
      </c>
      <c r="B268">
        <v>10.338900000000001</v>
      </c>
      <c r="C268">
        <v>11.095800000000001</v>
      </c>
      <c r="D268">
        <v>9.11</v>
      </c>
      <c r="E268">
        <v>10.5283</v>
      </c>
      <c r="F268">
        <v>77000361.439999998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0.42844193775808193</v>
      </c>
      <c r="Q268">
        <f t="shared" si="965"/>
        <v>32990184.06342629</v>
      </c>
      <c r="R268">
        <f t="shared" si="966"/>
        <v>1340622218.7209246</v>
      </c>
      <c r="S268">
        <f t="shared" si="967"/>
        <v>13406.222187209247</v>
      </c>
      <c r="T268">
        <f t="shared" si="968"/>
        <v>13.406222187209247</v>
      </c>
    </row>
    <row r="269" spans="1:20" x14ac:dyDescent="0.25">
      <c r="A269" s="5">
        <v>44324</v>
      </c>
      <c r="B269">
        <v>10.367100000000001</v>
      </c>
      <c r="C269">
        <v>11.203900000000001</v>
      </c>
      <c r="D269">
        <v>9.6022999999999996</v>
      </c>
      <c r="E269">
        <v>10.3392</v>
      </c>
      <c r="F269">
        <v>85375231.260000005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-7.9795204795205091E-2</v>
      </c>
      <c r="Q269">
        <f t="shared" si="965"/>
        <v>-6812534.0628296956</v>
      </c>
      <c r="R269">
        <f t="shared" si="966"/>
        <v>1307632034.6574984</v>
      </c>
      <c r="S269">
        <f t="shared" si="967"/>
        <v>13076.320346574983</v>
      </c>
      <c r="T269">
        <f t="shared" si="968"/>
        <v>13.076320346574983</v>
      </c>
    </row>
    <row r="270" spans="1:20" x14ac:dyDescent="0.25">
      <c r="A270" s="5">
        <v>44323</v>
      </c>
      <c r="B270">
        <v>11.477399999999999</v>
      </c>
      <c r="C270">
        <v>13.2525</v>
      </c>
      <c r="D270">
        <v>9.5584000000000007</v>
      </c>
      <c r="E270">
        <v>10.3757</v>
      </c>
      <c r="F270">
        <v>168030917.38</v>
      </c>
      <c r="G270">
        <v>0</v>
      </c>
      <c r="L270" t="s">
        <v>8</v>
      </c>
      <c r="M270" t="s">
        <v>7</v>
      </c>
      <c r="N270" t="s">
        <v>8</v>
      </c>
      <c r="P270">
        <f t="shared" si="964"/>
        <v>-0.55751062505075677</v>
      </c>
      <c r="Q270">
        <f t="shared" si="965"/>
        <v>-93679021.77637586</v>
      </c>
      <c r="R270">
        <f t="shared" si="966"/>
        <v>1314444568.7203281</v>
      </c>
      <c r="S270">
        <f t="shared" si="967"/>
        <v>13144.445687203281</v>
      </c>
      <c r="T270">
        <f t="shared" si="968"/>
        <v>13.14444568720328</v>
      </c>
    </row>
    <row r="271" spans="1:20" x14ac:dyDescent="0.25">
      <c r="A271" s="5">
        <v>44322</v>
      </c>
      <c r="B271">
        <v>8.7197999999999993</v>
      </c>
      <c r="C271">
        <v>12.85</v>
      </c>
      <c r="D271">
        <v>8.41</v>
      </c>
      <c r="E271">
        <v>11.4643</v>
      </c>
      <c r="F271">
        <v>244242567.97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0.37581081081081075</v>
      </c>
      <c r="Q271">
        <f t="shared" si="965"/>
        <v>91788997.503320247</v>
      </c>
      <c r="R271">
        <f t="shared" si="966"/>
        <v>1408123590.4967039</v>
      </c>
      <c r="S271">
        <f t="shared" si="967"/>
        <v>14081.235904967039</v>
      </c>
      <c r="T271">
        <f t="shared" si="968"/>
        <v>14.081235904967039</v>
      </c>
    </row>
    <row r="272" spans="1:20" x14ac:dyDescent="0.25">
      <c r="A272" s="5">
        <v>44321</v>
      </c>
      <c r="B272">
        <v>6.3396999999999997</v>
      </c>
      <c r="C272">
        <v>8.8391999999999999</v>
      </c>
      <c r="D272">
        <v>6.2016999999999998</v>
      </c>
      <c r="E272">
        <v>8.7204999999999995</v>
      </c>
      <c r="F272">
        <v>106607763.26000001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0.90999052132701386</v>
      </c>
      <c r="Q272">
        <f t="shared" si="965"/>
        <v>97012054.066474274</v>
      </c>
      <c r="R272">
        <f t="shared" si="966"/>
        <v>1316334592.9933836</v>
      </c>
      <c r="S272">
        <f t="shared" si="967"/>
        <v>13163.345929933836</v>
      </c>
      <c r="T272">
        <f t="shared" si="968"/>
        <v>13.163345929933836</v>
      </c>
    </row>
    <row r="273" spans="1:20" x14ac:dyDescent="0.25">
      <c r="A273" s="5">
        <v>44320</v>
      </c>
      <c r="B273">
        <v>6.8079999999999998</v>
      </c>
      <c r="C273">
        <v>7.0853000000000002</v>
      </c>
      <c r="D273">
        <v>6.2</v>
      </c>
      <c r="E273">
        <v>6.34</v>
      </c>
      <c r="F273">
        <v>73050770.230000004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-0.68372303174065363</v>
      </c>
      <c r="Q273">
        <f t="shared" si="965"/>
        <v>-49946494.092645489</v>
      </c>
      <c r="R273">
        <f t="shared" si="966"/>
        <v>1219322538.9269094</v>
      </c>
      <c r="S273">
        <f t="shared" si="967"/>
        <v>12193.225389269095</v>
      </c>
      <c r="T273">
        <f t="shared" si="968"/>
        <v>12.193225389269095</v>
      </c>
    </row>
    <row r="274" spans="1:20" x14ac:dyDescent="0.25">
      <c r="A274" s="5">
        <v>44319</v>
      </c>
      <c r="B274">
        <v>6.5251000000000001</v>
      </c>
      <c r="C274">
        <v>6.99</v>
      </c>
      <c r="D274">
        <v>6.5178000000000003</v>
      </c>
      <c r="E274">
        <v>6.8056000000000001</v>
      </c>
      <c r="F274">
        <v>29174864.48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0.218975010588733</v>
      </c>
      <c r="Q274">
        <f t="shared" si="965"/>
        <v>6388566.2584328502</v>
      </c>
      <c r="R274">
        <f t="shared" si="966"/>
        <v>1269269033.0195549</v>
      </c>
      <c r="S274">
        <f t="shared" si="967"/>
        <v>12692.690330195548</v>
      </c>
      <c r="T274">
        <f t="shared" si="968"/>
        <v>12.692690330195548</v>
      </c>
    </row>
    <row r="275" spans="1:20" x14ac:dyDescent="0.25">
      <c r="A275" s="5">
        <v>44318</v>
      </c>
      <c r="B275">
        <v>6.6135999999999999</v>
      </c>
      <c r="C275">
        <v>6.6981000000000002</v>
      </c>
      <c r="D275">
        <v>6.1775000000000002</v>
      </c>
      <c r="E275">
        <v>6.5255000000000001</v>
      </c>
      <c r="F275">
        <v>29104218.5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0.33691893968497849</v>
      </c>
      <c r="Q275">
        <f t="shared" si="965"/>
        <v>9805762.4373799358</v>
      </c>
      <c r="R275">
        <f t="shared" si="966"/>
        <v>1262880466.761122</v>
      </c>
      <c r="S275">
        <f t="shared" si="967"/>
        <v>12628.804667611219</v>
      </c>
      <c r="T275">
        <f t="shared" si="968"/>
        <v>12.628804667611218</v>
      </c>
    </row>
    <row r="276" spans="1:20" x14ac:dyDescent="0.25">
      <c r="A276" s="5">
        <v>44317</v>
      </c>
      <c r="B276">
        <v>6.4499000000000004</v>
      </c>
      <c r="C276">
        <v>6.6589</v>
      </c>
      <c r="D276">
        <v>6.2839</v>
      </c>
      <c r="E276">
        <v>6.6128999999999998</v>
      </c>
      <c r="F276">
        <v>21910430.739999998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0.75466666666666526</v>
      </c>
      <c r="Q276">
        <f t="shared" si="965"/>
        <v>16535071.731786635</v>
      </c>
      <c r="R276">
        <f t="shared" si="966"/>
        <v>1253074704.3237422</v>
      </c>
      <c r="S276">
        <f t="shared" si="967"/>
        <v>12530.747043237421</v>
      </c>
      <c r="T276">
        <f t="shared" si="968"/>
        <v>12.530747043237421</v>
      </c>
    </row>
    <row r="277" spans="1:20" x14ac:dyDescent="0.25">
      <c r="A277" s="5">
        <v>44316</v>
      </c>
      <c r="B277">
        <v>5.8949999999999996</v>
      </c>
      <c r="C277">
        <v>6.4574999999999996</v>
      </c>
      <c r="D277">
        <v>5.782</v>
      </c>
      <c r="E277">
        <v>6.4490999999999996</v>
      </c>
      <c r="F277">
        <v>31935292.550000001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0.97512953367875654</v>
      </c>
      <c r="Q277">
        <f t="shared" si="965"/>
        <v>31141046.932176169</v>
      </c>
      <c r="R277">
        <f t="shared" si="966"/>
        <v>1236539632.5919554</v>
      </c>
      <c r="S277">
        <f t="shared" si="967"/>
        <v>12365.396325919553</v>
      </c>
      <c r="T277">
        <f t="shared" si="968"/>
        <v>12.365396325919553</v>
      </c>
    </row>
    <row r="278" spans="1:20" x14ac:dyDescent="0.25">
      <c r="A278" s="5">
        <v>44315</v>
      </c>
      <c r="B278">
        <v>5.9539999999999997</v>
      </c>
      <c r="C278">
        <v>6.05</v>
      </c>
      <c r="D278">
        <v>5.6109999999999998</v>
      </c>
      <c r="E278">
        <v>5.8948999999999998</v>
      </c>
      <c r="F278">
        <v>27007732.350000001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0.29339407744874718</v>
      </c>
      <c r="Q278">
        <f t="shared" si="965"/>
        <v>7923908.7168109352</v>
      </c>
      <c r="R278">
        <f t="shared" si="966"/>
        <v>1205398585.6597793</v>
      </c>
      <c r="S278">
        <f t="shared" si="967"/>
        <v>12053.985856597794</v>
      </c>
      <c r="T278">
        <f t="shared" si="968"/>
        <v>12.053985856597794</v>
      </c>
    </row>
    <row r="279" spans="1:20" x14ac:dyDescent="0.25">
      <c r="A279" s="5">
        <v>44314</v>
      </c>
      <c r="B279">
        <v>6.0612000000000004</v>
      </c>
      <c r="C279">
        <v>6.2259000000000002</v>
      </c>
      <c r="D279">
        <v>5.68</v>
      </c>
      <c r="E279">
        <v>5.9530000000000003</v>
      </c>
      <c r="F279">
        <v>31403825.02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1.8318373328568425E-4</v>
      </c>
      <c r="Q279">
        <f t="shared" si="965"/>
        <v>5752.6699066139772</v>
      </c>
      <c r="R279">
        <f t="shared" si="966"/>
        <v>1197474676.9429684</v>
      </c>
      <c r="S279">
        <f t="shared" si="967"/>
        <v>11974.746769429683</v>
      </c>
      <c r="T279">
        <f t="shared" si="968"/>
        <v>11.974746769429682</v>
      </c>
    </row>
    <row r="280" spans="1:20" x14ac:dyDescent="0.25">
      <c r="A280" s="5">
        <v>44313</v>
      </c>
      <c r="B280">
        <v>5.8635999999999999</v>
      </c>
      <c r="C280">
        <v>6.1067999999999998</v>
      </c>
      <c r="D280">
        <v>5.7472000000000003</v>
      </c>
      <c r="E280">
        <v>6.0625999999999998</v>
      </c>
      <c r="F280">
        <v>36978557.920000002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0.75417130144605071</v>
      </c>
      <c r="Q280">
        <f t="shared" si="965"/>
        <v>27888167.152124569</v>
      </c>
      <c r="R280">
        <f t="shared" si="966"/>
        <v>1197468924.2730618</v>
      </c>
      <c r="S280">
        <f t="shared" si="967"/>
        <v>11974.689242730617</v>
      </c>
      <c r="T280">
        <f t="shared" si="968"/>
        <v>11.974689242730618</v>
      </c>
    </row>
    <row r="281" spans="1:20" x14ac:dyDescent="0.25">
      <c r="A281" s="5">
        <v>44312</v>
      </c>
      <c r="B281">
        <v>5.0007999999999999</v>
      </c>
      <c r="C281">
        <v>5.9170999999999996</v>
      </c>
      <c r="D281">
        <v>4.9240000000000004</v>
      </c>
      <c r="E281">
        <v>5.8627000000000002</v>
      </c>
      <c r="F281">
        <v>52923986.710000001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0.89044406404189025</v>
      </c>
      <c r="Q281">
        <f t="shared" si="965"/>
        <v>47125849.811351389</v>
      </c>
      <c r="R281">
        <f t="shared" si="966"/>
        <v>1169580757.1209371</v>
      </c>
      <c r="S281">
        <f t="shared" si="967"/>
        <v>11695.807571209371</v>
      </c>
      <c r="T281">
        <f t="shared" si="968"/>
        <v>11.69580757120937</v>
      </c>
    </row>
    <row r="282" spans="1:20" x14ac:dyDescent="0.25">
      <c r="A282" s="5">
        <v>44311</v>
      </c>
      <c r="B282">
        <v>5.0867000000000004</v>
      </c>
      <c r="C282">
        <v>5.4640000000000004</v>
      </c>
      <c r="D282">
        <v>4.6127000000000002</v>
      </c>
      <c r="E282">
        <v>4.9992000000000001</v>
      </c>
      <c r="F282">
        <v>32092162.140000001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-9.1976976389052584E-2</v>
      </c>
      <c r="Q282">
        <f t="shared" si="965"/>
        <v>-2951740.0394244273</v>
      </c>
      <c r="R282">
        <f t="shared" si="966"/>
        <v>1122454907.3095858</v>
      </c>
      <c r="S282">
        <f t="shared" si="967"/>
        <v>11224.549073095857</v>
      </c>
      <c r="T282">
        <f t="shared" si="968"/>
        <v>11.224549073095858</v>
      </c>
    </row>
    <row r="283" spans="1:20" x14ac:dyDescent="0.25">
      <c r="A283" s="5">
        <v>44310</v>
      </c>
      <c r="B283">
        <v>5.5734000000000004</v>
      </c>
      <c r="C283">
        <v>5.6513</v>
      </c>
      <c r="D283">
        <v>5.0232999999999999</v>
      </c>
      <c r="E283">
        <v>5.085</v>
      </c>
      <c r="F283">
        <v>37332457.07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-0.80350318471337556</v>
      </c>
      <c r="Q283">
        <f t="shared" si="965"/>
        <v>-29996748.148920372</v>
      </c>
      <c r="R283">
        <f t="shared" si="966"/>
        <v>1125406647.3490102</v>
      </c>
      <c r="S283">
        <f t="shared" si="967"/>
        <v>11254.066473490102</v>
      </c>
      <c r="T283">
        <f t="shared" si="968"/>
        <v>11.254066473490102</v>
      </c>
    </row>
    <row r="284" spans="1:20" x14ac:dyDescent="0.25">
      <c r="A284" s="5">
        <v>44309</v>
      </c>
      <c r="B284">
        <v>5.8563000000000001</v>
      </c>
      <c r="C284">
        <v>5.9996</v>
      </c>
      <c r="D284">
        <v>4.47</v>
      </c>
      <c r="E284">
        <v>5.5746000000000002</v>
      </c>
      <c r="F284">
        <v>80103913.549999997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0.44429916317991663</v>
      </c>
      <c r="Q284">
        <f t="shared" si="965"/>
        <v>35590101.757701382</v>
      </c>
      <c r="R284">
        <f t="shared" si="966"/>
        <v>1155403395.4979305</v>
      </c>
      <c r="S284">
        <f t="shared" si="967"/>
        <v>11554.033954979306</v>
      </c>
      <c r="T284">
        <f t="shared" si="968"/>
        <v>11.554033954979307</v>
      </c>
    </row>
    <row r="285" spans="1:20" x14ac:dyDescent="0.25">
      <c r="A285" s="5">
        <v>44308</v>
      </c>
      <c r="B285">
        <v>6.3192000000000004</v>
      </c>
      <c r="C285">
        <v>6.8212000000000002</v>
      </c>
      <c r="D285">
        <v>5.5883000000000003</v>
      </c>
      <c r="E285">
        <v>5.8550000000000004</v>
      </c>
      <c r="F285">
        <v>57181817.740000002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-0.56736150539378671</v>
      </c>
      <c r="Q285">
        <f t="shared" si="965"/>
        <v>-32442762.194119539</v>
      </c>
      <c r="R285">
        <f t="shared" si="966"/>
        <v>1119813293.7402291</v>
      </c>
      <c r="S285">
        <f t="shared" si="967"/>
        <v>11198.132937402292</v>
      </c>
      <c r="T285">
        <f t="shared" si="968"/>
        <v>11.198132937402292</v>
      </c>
    </row>
    <row r="286" spans="1:20" x14ac:dyDescent="0.25">
      <c r="A286" s="5">
        <v>44307</v>
      </c>
      <c r="B286">
        <v>6.6932999999999998</v>
      </c>
      <c r="C286">
        <v>6.8968999999999996</v>
      </c>
      <c r="D286">
        <v>6.23</v>
      </c>
      <c r="E286">
        <v>6.3226000000000004</v>
      </c>
      <c r="F286">
        <v>38961209.020000003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-0.72229719598140607</v>
      </c>
      <c r="Q286">
        <f t="shared" si="965"/>
        <v>-28141572.027191468</v>
      </c>
      <c r="R286">
        <f t="shared" si="966"/>
        <v>1152256055.9343486</v>
      </c>
      <c r="S286">
        <f t="shared" si="967"/>
        <v>11522.560559343487</v>
      </c>
      <c r="T286">
        <f t="shared" si="968"/>
        <v>11.522560559343487</v>
      </c>
    </row>
    <row r="287" spans="1:20" x14ac:dyDescent="0.25">
      <c r="A287" s="5">
        <v>44306</v>
      </c>
      <c r="B287">
        <v>6.6013999999999999</v>
      </c>
      <c r="C287">
        <v>6.8543000000000003</v>
      </c>
      <c r="D287">
        <v>6.056</v>
      </c>
      <c r="E287">
        <v>6.6943999999999999</v>
      </c>
      <c r="F287">
        <v>43365500.850000001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0.59939872228485447</v>
      </c>
      <c r="Q287">
        <f t="shared" si="965"/>
        <v>25993225.800732773</v>
      </c>
      <c r="R287">
        <f t="shared" si="966"/>
        <v>1180397627.96154</v>
      </c>
      <c r="S287">
        <f t="shared" si="967"/>
        <v>11803.976279615399</v>
      </c>
      <c r="T287">
        <f t="shared" si="968"/>
        <v>11.8039762796154</v>
      </c>
    </row>
    <row r="288" spans="1:20" x14ac:dyDescent="0.25">
      <c r="A288" s="5">
        <v>44305</v>
      </c>
      <c r="B288">
        <v>7.282</v>
      </c>
      <c r="C288">
        <v>7.4987000000000004</v>
      </c>
      <c r="D288">
        <v>6.4831000000000003</v>
      </c>
      <c r="E288">
        <v>6.6005000000000003</v>
      </c>
      <c r="F288">
        <v>54389682.920000002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-0.76880661677825923</v>
      </c>
      <c r="Q288">
        <f t="shared" si="965"/>
        <v>-41815148.113367476</v>
      </c>
      <c r="R288">
        <f t="shared" si="966"/>
        <v>1154404402.1608071</v>
      </c>
      <c r="S288">
        <f t="shared" si="967"/>
        <v>11544.044021608071</v>
      </c>
      <c r="T288">
        <f t="shared" si="968"/>
        <v>11.544044021608071</v>
      </c>
    </row>
    <row r="289" spans="1:20" x14ac:dyDescent="0.25">
      <c r="A289" s="5">
        <v>44304</v>
      </c>
      <c r="B289">
        <v>7.7786</v>
      </c>
      <c r="C289">
        <v>7.9539999999999997</v>
      </c>
      <c r="D289">
        <v>5.8654999999999999</v>
      </c>
      <c r="E289">
        <v>7.2854000000000001</v>
      </c>
      <c r="F289">
        <v>84548001.959999993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0.35973186497486265</v>
      </c>
      <c r="Q289">
        <f t="shared" si="965"/>
        <v>30414610.42496914</v>
      </c>
      <c r="R289">
        <f t="shared" si="966"/>
        <v>1196219550.2741747</v>
      </c>
      <c r="S289">
        <f t="shared" si="967"/>
        <v>11962.195502741746</v>
      </c>
      <c r="T289">
        <f t="shared" si="968"/>
        <v>11.962195502741746</v>
      </c>
    </row>
    <row r="290" spans="1:20" x14ac:dyDescent="0.25">
      <c r="A290" s="5">
        <v>44303</v>
      </c>
      <c r="B290">
        <v>8.4963999999999995</v>
      </c>
      <c r="C290">
        <v>8.8465000000000007</v>
      </c>
      <c r="D290">
        <v>7.5956000000000001</v>
      </c>
      <c r="E290">
        <v>7.7858999999999998</v>
      </c>
      <c r="F290">
        <v>59682689.57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-0.69573906787113338</v>
      </c>
      <c r="Q290">
        <f t="shared" si="965"/>
        <v>-41523578.809474014</v>
      </c>
      <c r="R290">
        <f t="shared" si="966"/>
        <v>1165804939.8492055</v>
      </c>
      <c r="S290">
        <f t="shared" si="967"/>
        <v>11658.049398492056</v>
      </c>
      <c r="T290">
        <f t="shared" si="968"/>
        <v>11.658049398492055</v>
      </c>
    </row>
    <row r="291" spans="1:20" x14ac:dyDescent="0.25">
      <c r="A291" s="5">
        <v>44302</v>
      </c>
      <c r="B291">
        <v>7.8841000000000001</v>
      </c>
      <c r="C291">
        <v>8.7499000000000002</v>
      </c>
      <c r="D291">
        <v>7.0713999999999997</v>
      </c>
      <c r="E291">
        <v>8.4974000000000007</v>
      </c>
      <c r="F291">
        <v>84992024.620000005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0.69913613345248804</v>
      </c>
      <c r="Q291">
        <f t="shared" si="965"/>
        <v>59420995.467125475</v>
      </c>
      <c r="R291">
        <f t="shared" si="966"/>
        <v>1207328518.6586795</v>
      </c>
      <c r="S291">
        <f t="shared" si="967"/>
        <v>12073.285186586794</v>
      </c>
      <c r="T291">
        <f t="shared" si="968"/>
        <v>12.073285186586794</v>
      </c>
    </row>
    <row r="292" spans="1:20" x14ac:dyDescent="0.25">
      <c r="A292" s="5">
        <v>44301</v>
      </c>
      <c r="B292">
        <v>7.6647999999999996</v>
      </c>
      <c r="C292">
        <v>7.9253</v>
      </c>
      <c r="D292">
        <v>7.2839</v>
      </c>
      <c r="E292">
        <v>7.8872999999999998</v>
      </c>
      <c r="F292">
        <v>34988131.530000001</v>
      </c>
      <c r="G292">
        <v>0</v>
      </c>
      <c r="L292" t="s">
        <v>7</v>
      </c>
      <c r="M292" t="s">
        <v>8</v>
      </c>
      <c r="N292" t="s">
        <v>8</v>
      </c>
      <c r="P292">
        <f t="shared" si="964"/>
        <v>0.88150919862800048</v>
      </c>
      <c r="Q292">
        <f t="shared" si="965"/>
        <v>30842359.786501378</v>
      </c>
      <c r="R292">
        <f t="shared" si="966"/>
        <v>1147907523.1915541</v>
      </c>
      <c r="S292">
        <f t="shared" si="967"/>
        <v>11479.07523191554</v>
      </c>
      <c r="T292">
        <f t="shared" si="968"/>
        <v>11.479075231915539</v>
      </c>
    </row>
    <row r="293" spans="1:20" x14ac:dyDescent="0.25">
      <c r="A293" s="5">
        <v>44300</v>
      </c>
      <c r="B293">
        <v>7.3796999999999997</v>
      </c>
      <c r="C293">
        <v>8.0840999999999994</v>
      </c>
      <c r="D293">
        <v>7.0381999999999998</v>
      </c>
      <c r="E293">
        <v>7.6651999999999996</v>
      </c>
      <c r="F293">
        <v>76637404.790000007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0.19896739650062151</v>
      </c>
      <c r="Q293">
        <f t="shared" si="965"/>
        <v>15248344.905630561</v>
      </c>
      <c r="R293">
        <f t="shared" si="966"/>
        <v>1117065163.4050527</v>
      </c>
      <c r="S293">
        <f t="shared" si="967"/>
        <v>11170.651634050526</v>
      </c>
      <c r="T293">
        <f t="shared" si="968"/>
        <v>11.170651634050525</v>
      </c>
    </row>
    <row r="294" spans="1:20" x14ac:dyDescent="0.25">
      <c r="A294" s="5">
        <v>44299</v>
      </c>
      <c r="B294">
        <v>6.4759000000000002</v>
      </c>
      <c r="C294">
        <v>7.5490000000000004</v>
      </c>
      <c r="D294">
        <v>6.4194000000000004</v>
      </c>
      <c r="E294">
        <v>7.3815999999999997</v>
      </c>
      <c r="F294">
        <v>48379475.850000001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0.70361189801699597</v>
      </c>
      <c r="Q294">
        <f t="shared" si="965"/>
        <v>34040374.827885918</v>
      </c>
      <c r="R294">
        <f t="shared" si="966"/>
        <v>1101816818.4994221</v>
      </c>
      <c r="S294">
        <f t="shared" si="967"/>
        <v>11018.168184994222</v>
      </c>
      <c r="T294">
        <f t="shared" si="968"/>
        <v>11.018168184994222</v>
      </c>
    </row>
    <row r="295" spans="1:20" x14ac:dyDescent="0.25">
      <c r="A295" s="5">
        <v>44298</v>
      </c>
      <c r="B295">
        <v>6.7266000000000004</v>
      </c>
      <c r="C295">
        <v>6.8650000000000002</v>
      </c>
      <c r="D295">
        <v>6.2911000000000001</v>
      </c>
      <c r="E295">
        <v>6.4775</v>
      </c>
      <c r="F295">
        <v>24654068.109999999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-0.3504094790033111</v>
      </c>
      <c r="Q295">
        <f t="shared" si="965"/>
        <v>-8639019.1617372464</v>
      </c>
      <c r="R295">
        <f t="shared" si="966"/>
        <v>1067776443.6715362</v>
      </c>
      <c r="S295">
        <f t="shared" si="967"/>
        <v>10677.764436715363</v>
      </c>
      <c r="T295">
        <f t="shared" si="968"/>
        <v>10.677764436715362</v>
      </c>
    </row>
    <row r="296" spans="1:20" x14ac:dyDescent="0.25">
      <c r="A296" s="5">
        <v>44297</v>
      </c>
      <c r="B296">
        <v>6.6136999999999997</v>
      </c>
      <c r="C296">
        <v>7.0683999999999996</v>
      </c>
      <c r="D296">
        <v>6.5526</v>
      </c>
      <c r="E296">
        <v>6.7266000000000004</v>
      </c>
      <c r="F296">
        <v>41297143.350000001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-0.32531989143078516</v>
      </c>
      <c r="Q296">
        <f t="shared" si="965"/>
        <v>-13434782.191023571</v>
      </c>
      <c r="R296">
        <f t="shared" si="966"/>
        <v>1076415462.8332734</v>
      </c>
      <c r="S296">
        <f t="shared" si="967"/>
        <v>10764.154628332733</v>
      </c>
      <c r="T296">
        <f t="shared" si="968"/>
        <v>10.764154628332733</v>
      </c>
    </row>
    <row r="297" spans="1:20" x14ac:dyDescent="0.25">
      <c r="A297" s="5">
        <v>44296</v>
      </c>
      <c r="B297">
        <v>6.2081999999999997</v>
      </c>
      <c r="C297">
        <v>6.7619999999999996</v>
      </c>
      <c r="D297">
        <v>6.1489000000000003</v>
      </c>
      <c r="E297">
        <v>6.6136999999999997</v>
      </c>
      <c r="F297">
        <v>29718846.379999999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0.51622900016310536</v>
      </c>
      <c r="Q297">
        <f t="shared" si="965"/>
        <v>15341730.352748323</v>
      </c>
      <c r="R297">
        <f t="shared" si="966"/>
        <v>1089850245.024297</v>
      </c>
      <c r="S297">
        <f t="shared" si="967"/>
        <v>10898.50245024297</v>
      </c>
      <c r="T297">
        <f t="shared" si="968"/>
        <v>10.898502450242969</v>
      </c>
    </row>
    <row r="298" spans="1:20" x14ac:dyDescent="0.25">
      <c r="A298" s="5">
        <v>44295</v>
      </c>
      <c r="B298">
        <v>6.4402999999999997</v>
      </c>
      <c r="C298">
        <v>6.6010999999999997</v>
      </c>
      <c r="D298">
        <v>6.07</v>
      </c>
      <c r="E298">
        <v>6.2072000000000003</v>
      </c>
      <c r="F298">
        <v>22024528.91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-0.48333647147429815</v>
      </c>
      <c r="Q298">
        <f t="shared" si="965"/>
        <v>-10645258.089243069</v>
      </c>
      <c r="R298">
        <f t="shared" si="966"/>
        <v>1074508514.6715486</v>
      </c>
      <c r="S298">
        <f t="shared" si="967"/>
        <v>10745.085146715486</v>
      </c>
      <c r="T298">
        <f t="shared" si="968"/>
        <v>10.745085146715486</v>
      </c>
    </row>
    <row r="299" spans="1:20" x14ac:dyDescent="0.25">
      <c r="A299" s="5">
        <v>44294</v>
      </c>
      <c r="B299">
        <v>5.8811999999999998</v>
      </c>
      <c r="C299">
        <v>6.4736000000000002</v>
      </c>
      <c r="D299">
        <v>5.8041</v>
      </c>
      <c r="E299">
        <v>6.4420000000000002</v>
      </c>
      <c r="F299">
        <v>29919017.719999999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0.90560119492158309</v>
      </c>
      <c r="Q299">
        <f t="shared" si="965"/>
        <v>27094698.198112018</v>
      </c>
      <c r="R299">
        <f t="shared" si="966"/>
        <v>1085153772.7607918</v>
      </c>
      <c r="S299">
        <f t="shared" si="967"/>
        <v>10851.537727607918</v>
      </c>
      <c r="T299">
        <f t="shared" si="968"/>
        <v>10.851537727607917</v>
      </c>
    </row>
    <row r="300" spans="1:20" x14ac:dyDescent="0.25">
      <c r="A300" s="5">
        <v>44293</v>
      </c>
      <c r="B300">
        <v>6.6436000000000002</v>
      </c>
      <c r="C300">
        <v>7.0548999999999999</v>
      </c>
      <c r="D300">
        <v>5.7221000000000002</v>
      </c>
      <c r="E300">
        <v>5.8823999999999996</v>
      </c>
      <c r="F300">
        <v>66141509.119999997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-0.75945378151260579</v>
      </c>
      <c r="Q300">
        <f t="shared" si="965"/>
        <v>-50231419.216134503</v>
      </c>
      <c r="R300">
        <f t="shared" si="966"/>
        <v>1058059074.5626798</v>
      </c>
      <c r="S300">
        <f t="shared" si="967"/>
        <v>10580.590745626798</v>
      </c>
      <c r="T300">
        <f t="shared" si="968"/>
        <v>10.580590745626798</v>
      </c>
    </row>
    <row r="301" spans="1:20" x14ac:dyDescent="0.25">
      <c r="A301" s="5">
        <v>44292</v>
      </c>
      <c r="B301">
        <v>6.6982999999999997</v>
      </c>
      <c r="C301">
        <v>7.1</v>
      </c>
      <c r="D301">
        <v>6.1973000000000003</v>
      </c>
      <c r="E301">
        <v>6.6436000000000002</v>
      </c>
      <c r="F301">
        <v>67368981.920000002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-1.1188656253461349E-2</v>
      </c>
      <c r="Q301">
        <f t="shared" si="965"/>
        <v>-753768.38084853254</v>
      </c>
      <c r="R301">
        <f t="shared" si="966"/>
        <v>1108290493.7788143</v>
      </c>
      <c r="S301">
        <f t="shared" si="967"/>
        <v>11082.904937788144</v>
      </c>
      <c r="T301">
        <f t="shared" si="968"/>
        <v>11.082904937788143</v>
      </c>
    </row>
    <row r="302" spans="1:20" x14ac:dyDescent="0.25">
      <c r="A302" s="5">
        <v>44291</v>
      </c>
      <c r="B302">
        <v>6.28</v>
      </c>
      <c r="C302">
        <v>7.0816999999999997</v>
      </c>
      <c r="D302">
        <v>5.8303000000000003</v>
      </c>
      <c r="E302">
        <v>6.6959</v>
      </c>
      <c r="F302">
        <v>82205391.709999993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0.38341058015023194</v>
      </c>
      <c r="Q302">
        <f t="shared" si="965"/>
        <v>31518416.927008163</v>
      </c>
      <c r="R302">
        <f t="shared" si="966"/>
        <v>1109044262.159663</v>
      </c>
      <c r="S302">
        <f t="shared" si="967"/>
        <v>11090.44262159663</v>
      </c>
      <c r="T302">
        <f t="shared" si="968"/>
        <v>11.09044262159663</v>
      </c>
    </row>
    <row r="303" spans="1:20" x14ac:dyDescent="0.25">
      <c r="A303" s="5">
        <v>44290</v>
      </c>
      <c r="B303">
        <v>5.4107000000000003</v>
      </c>
      <c r="C303">
        <v>6.3</v>
      </c>
      <c r="D303">
        <v>5.33</v>
      </c>
      <c r="E303">
        <v>6.28</v>
      </c>
      <c r="F303">
        <v>57685148.82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0.95876288659793907</v>
      </c>
      <c r="Q303">
        <f t="shared" si="965"/>
        <v>55306379.796494901</v>
      </c>
      <c r="R303">
        <f t="shared" si="966"/>
        <v>1077525845.2326548</v>
      </c>
      <c r="S303">
        <f t="shared" si="967"/>
        <v>10775.258452326549</v>
      </c>
      <c r="T303">
        <f t="shared" si="968"/>
        <v>10.775258452326549</v>
      </c>
    </row>
    <row r="304" spans="1:20" x14ac:dyDescent="0.25">
      <c r="A304" s="5">
        <v>44289</v>
      </c>
      <c r="B304">
        <v>6.2526000000000002</v>
      </c>
      <c r="C304">
        <v>6.4866999999999999</v>
      </c>
      <c r="D304">
        <v>5.2077</v>
      </c>
      <c r="E304">
        <v>5.4107000000000003</v>
      </c>
      <c r="F304">
        <v>80619950.469999999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-0.68256450351837328</v>
      </c>
      <c r="Q304">
        <f t="shared" si="965"/>
        <v>-55028316.466231391</v>
      </c>
      <c r="R304">
        <f t="shared" si="966"/>
        <v>1022219465.4361598</v>
      </c>
      <c r="S304">
        <f t="shared" si="967"/>
        <v>10222.194654361598</v>
      </c>
      <c r="T304">
        <f t="shared" si="968"/>
        <v>10.222194654361598</v>
      </c>
    </row>
    <row r="305" spans="1:20" x14ac:dyDescent="0.25">
      <c r="A305" s="5">
        <v>44288</v>
      </c>
      <c r="B305">
        <v>5.5965999999999996</v>
      </c>
      <c r="C305">
        <v>6.3559000000000001</v>
      </c>
      <c r="D305">
        <v>5.3640999999999996</v>
      </c>
      <c r="E305">
        <v>6.2557</v>
      </c>
      <c r="F305">
        <v>91016938.140000001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0.79794313369630965</v>
      </c>
      <c r="Q305">
        <f t="shared" si="965"/>
        <v>72626340.838874772</v>
      </c>
      <c r="R305">
        <f t="shared" si="966"/>
        <v>1077247781.9023912</v>
      </c>
      <c r="S305">
        <f t="shared" si="967"/>
        <v>10772.477819023912</v>
      </c>
      <c r="T305">
        <f t="shared" si="968"/>
        <v>10.772477819023912</v>
      </c>
    </row>
    <row r="306" spans="1:20" x14ac:dyDescent="0.25">
      <c r="A306" s="5">
        <v>44287</v>
      </c>
      <c r="B306">
        <v>4.8018000000000001</v>
      </c>
      <c r="C306">
        <v>5.9847000000000001</v>
      </c>
      <c r="D306">
        <v>4.7080000000000002</v>
      </c>
      <c r="E306">
        <v>5.5946999999999996</v>
      </c>
      <c r="F306">
        <v>91899102.980000004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0.38904989425863462</v>
      </c>
      <c r="Q306">
        <f t="shared" si="965"/>
        <v>35753336.296832375</v>
      </c>
      <c r="R306">
        <f t="shared" si="966"/>
        <v>1004621441.0635164</v>
      </c>
      <c r="S306">
        <f t="shared" si="967"/>
        <v>10046.214410635164</v>
      </c>
      <c r="T306">
        <f t="shared" si="968"/>
        <v>10.046214410635164</v>
      </c>
    </row>
    <row r="307" spans="1:20" x14ac:dyDescent="0.25">
      <c r="A307" s="5">
        <v>44286</v>
      </c>
      <c r="B307">
        <v>4.3371000000000004</v>
      </c>
      <c r="C307">
        <v>4.9085000000000001</v>
      </c>
      <c r="D307">
        <v>4.0627000000000004</v>
      </c>
      <c r="E307">
        <v>4.8021000000000003</v>
      </c>
      <c r="F307">
        <v>50494289.939999998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0.74840387798533958</v>
      </c>
      <c r="Q307">
        <f t="shared" si="965"/>
        <v>37790122.407212116</v>
      </c>
      <c r="R307">
        <f t="shared" si="966"/>
        <v>968868104.76668406</v>
      </c>
      <c r="S307">
        <f t="shared" si="967"/>
        <v>9688.6810476668397</v>
      </c>
      <c r="T307">
        <f t="shared" si="968"/>
        <v>9.6886810476668401</v>
      </c>
    </row>
    <row r="308" spans="1:20" x14ac:dyDescent="0.25">
      <c r="A308" s="5">
        <v>44285</v>
      </c>
      <c r="B308">
        <v>4.2786</v>
      </c>
      <c r="C308">
        <v>4.4067999999999996</v>
      </c>
      <c r="D308">
        <v>4.2073</v>
      </c>
      <c r="E308">
        <v>4.3361000000000001</v>
      </c>
      <c r="F308">
        <v>19014503.23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0.29122807017544167</v>
      </c>
      <c r="Q308">
        <f t="shared" si="965"/>
        <v>5537557.0810176022</v>
      </c>
      <c r="R308">
        <f t="shared" si="966"/>
        <v>931077982.35947192</v>
      </c>
      <c r="S308">
        <f t="shared" si="967"/>
        <v>9310.7798235947193</v>
      </c>
      <c r="T308">
        <f t="shared" si="968"/>
        <v>9.3107798235947197</v>
      </c>
    </row>
    <row r="309" spans="1:20" x14ac:dyDescent="0.25">
      <c r="A309" s="5">
        <v>44284</v>
      </c>
      <c r="B309">
        <v>4.1105</v>
      </c>
      <c r="C309">
        <v>4.3121</v>
      </c>
      <c r="D309">
        <v>4.0640000000000001</v>
      </c>
      <c r="E309">
        <v>4.2785000000000002</v>
      </c>
      <c r="F309">
        <v>19360839.989999998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0.72914147521160944</v>
      </c>
      <c r="Q309">
        <f t="shared" si="965"/>
        <v>14116791.43164452</v>
      </c>
      <c r="R309">
        <f t="shared" si="966"/>
        <v>925540425.2784543</v>
      </c>
      <c r="S309">
        <f t="shared" si="967"/>
        <v>9255.4042527845431</v>
      </c>
      <c r="T309">
        <f t="shared" si="968"/>
        <v>9.2554042527845439</v>
      </c>
    </row>
    <row r="310" spans="1:20" x14ac:dyDescent="0.25">
      <c r="A310" s="5">
        <v>44283</v>
      </c>
      <c r="B310">
        <v>4.0898000000000003</v>
      </c>
      <c r="C310">
        <v>4.2153999999999998</v>
      </c>
      <c r="D310">
        <v>4.0316999999999998</v>
      </c>
      <c r="E310">
        <v>4.1105999999999998</v>
      </c>
      <c r="F310">
        <v>15714660.789999999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-0.14099074578116516</v>
      </c>
      <c r="Q310">
        <f t="shared" si="965"/>
        <v>-2215621.744480134</v>
      </c>
      <c r="R310">
        <f t="shared" si="966"/>
        <v>911423633.84680974</v>
      </c>
      <c r="S310">
        <f t="shared" si="967"/>
        <v>9114.2363384680975</v>
      </c>
      <c r="T310">
        <f t="shared" si="968"/>
        <v>9.114236338468098</v>
      </c>
    </row>
    <row r="311" spans="1:20" x14ac:dyDescent="0.25">
      <c r="A311" s="5">
        <v>44282</v>
      </c>
      <c r="B311">
        <v>4.1856999999999998</v>
      </c>
      <c r="C311">
        <v>4.2</v>
      </c>
      <c r="D311">
        <v>3.9765000000000001</v>
      </c>
      <c r="E311">
        <v>4.0911999999999997</v>
      </c>
      <c r="F311">
        <v>16487912.15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2.6398210290823836E-2</v>
      </c>
      <c r="Q311">
        <f t="shared" si="965"/>
        <v>435251.37219232938</v>
      </c>
      <c r="R311">
        <f t="shared" si="966"/>
        <v>913639255.59128988</v>
      </c>
      <c r="S311">
        <f t="shared" si="967"/>
        <v>9136.3925559128984</v>
      </c>
      <c r="T311">
        <f t="shared" si="968"/>
        <v>9.1363925559128987</v>
      </c>
    </row>
    <row r="312" spans="1:20" x14ac:dyDescent="0.25">
      <c r="A312" s="5">
        <v>44281</v>
      </c>
      <c r="B312">
        <v>3.6722999999999999</v>
      </c>
      <c r="C312">
        <v>4.1928999999999998</v>
      </c>
      <c r="D312">
        <v>3.6698</v>
      </c>
      <c r="E312">
        <v>4.1848999999999998</v>
      </c>
      <c r="F312">
        <v>33419274.18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0.9694131141273179</v>
      </c>
      <c r="Q312">
        <f t="shared" si="965"/>
        <v>32397082.654708467</v>
      </c>
      <c r="R312">
        <f t="shared" si="966"/>
        <v>913204004.2190975</v>
      </c>
      <c r="S312">
        <f t="shared" si="967"/>
        <v>9132.0400421909744</v>
      </c>
      <c r="T312">
        <f t="shared" si="968"/>
        <v>9.1320400421909742</v>
      </c>
    </row>
    <row r="313" spans="1:20" x14ac:dyDescent="0.25">
      <c r="A313" s="5">
        <v>44280</v>
      </c>
      <c r="B313">
        <v>3.6919</v>
      </c>
      <c r="C313">
        <v>3.7816999999999998</v>
      </c>
      <c r="D313">
        <v>3.5305</v>
      </c>
      <c r="E313">
        <v>3.6745000000000001</v>
      </c>
      <c r="F313">
        <v>28486210.879999999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0.14649681528662584</v>
      </c>
      <c r="Q313">
        <f t="shared" si="965"/>
        <v>4173139.1735032313</v>
      </c>
      <c r="R313">
        <f t="shared" si="966"/>
        <v>880806921.56438899</v>
      </c>
      <c r="S313">
        <f t="shared" si="967"/>
        <v>8808.069215643889</v>
      </c>
      <c r="T313">
        <f t="shared" si="968"/>
        <v>8.8080692156438882</v>
      </c>
    </row>
    <row r="314" spans="1:20" x14ac:dyDescent="0.25">
      <c r="A314" s="5">
        <v>44279</v>
      </c>
      <c r="B314">
        <v>4.0877999999999997</v>
      </c>
      <c r="C314">
        <v>4.3095999999999997</v>
      </c>
      <c r="D314">
        <v>3.4544000000000001</v>
      </c>
      <c r="E314">
        <v>3.6938</v>
      </c>
      <c r="F314">
        <v>33240602.469999999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-0.44013096351730596</v>
      </c>
      <c r="Q314">
        <f t="shared" si="965"/>
        <v>-14630218.393016839</v>
      </c>
      <c r="R314">
        <f t="shared" si="966"/>
        <v>876633782.39088571</v>
      </c>
      <c r="S314">
        <f t="shared" si="967"/>
        <v>8766.3378239088579</v>
      </c>
      <c r="T314">
        <f t="shared" si="968"/>
        <v>8.7663378239088576</v>
      </c>
    </row>
    <row r="315" spans="1:20" x14ac:dyDescent="0.25">
      <c r="A315" s="5">
        <v>44278</v>
      </c>
      <c r="B315">
        <v>4.0777000000000001</v>
      </c>
      <c r="C315">
        <v>4.2666000000000004</v>
      </c>
      <c r="D315">
        <v>4.0381</v>
      </c>
      <c r="E315">
        <v>4.0899000000000001</v>
      </c>
      <c r="F315">
        <v>22909573.870000001</v>
      </c>
      <c r="G315">
        <v>0</v>
      </c>
      <c r="L315" t="s">
        <v>8</v>
      </c>
      <c r="M315" t="s">
        <v>8</v>
      </c>
      <c r="N315" t="s">
        <v>7</v>
      </c>
      <c r="P315">
        <f t="shared" si="964"/>
        <v>-0.54660831509846841</v>
      </c>
      <c r="Q315">
        <f t="shared" si="965"/>
        <v>-12522563.572704598</v>
      </c>
      <c r="R315">
        <f t="shared" si="966"/>
        <v>891264000.78390253</v>
      </c>
      <c r="S315">
        <f t="shared" si="967"/>
        <v>8912.6400078390252</v>
      </c>
      <c r="T315">
        <f t="shared" si="968"/>
        <v>8.9126400078390251</v>
      </c>
    </row>
    <row r="316" spans="1:20" x14ac:dyDescent="0.25">
      <c r="A316" s="5">
        <v>44277</v>
      </c>
      <c r="B316">
        <v>4.1538000000000004</v>
      </c>
      <c r="C316">
        <v>4.3497000000000003</v>
      </c>
      <c r="D316">
        <v>3.9984999999999999</v>
      </c>
      <c r="E316">
        <v>4.0777000000000001</v>
      </c>
      <c r="F316">
        <v>28219839.969999999</v>
      </c>
      <c r="G316">
        <v>0</v>
      </c>
      <c r="L316" t="s">
        <v>7</v>
      </c>
      <c r="M316" t="s">
        <v>8</v>
      </c>
      <c r="N316" t="s">
        <v>7</v>
      </c>
      <c r="P316">
        <f t="shared" si="964"/>
        <v>-0.54897494305239136</v>
      </c>
      <c r="Q316">
        <f t="shared" si="965"/>
        <v>-15491985.040478347</v>
      </c>
      <c r="R316">
        <f t="shared" si="966"/>
        <v>903786564.35660708</v>
      </c>
      <c r="S316">
        <f t="shared" si="967"/>
        <v>9037.8656435660705</v>
      </c>
      <c r="T316">
        <f t="shared" si="968"/>
        <v>9.0378656435660698</v>
      </c>
    </row>
    <row r="317" spans="1:20" x14ac:dyDescent="0.25">
      <c r="A317" s="5">
        <v>44276</v>
      </c>
      <c r="B317">
        <v>4.3281000000000001</v>
      </c>
      <c r="C317">
        <v>4.4179000000000004</v>
      </c>
      <c r="D317">
        <v>4.1162000000000001</v>
      </c>
      <c r="E317">
        <v>4.1536</v>
      </c>
      <c r="F317">
        <v>26100800.890000001</v>
      </c>
      <c r="G317">
        <v>0</v>
      </c>
      <c r="L317" t="s">
        <v>7</v>
      </c>
      <c r="M317" t="s">
        <v>8</v>
      </c>
      <c r="N317" t="s">
        <v>7</v>
      </c>
      <c r="P317">
        <f t="shared" si="964"/>
        <v>-0.75207159429897352</v>
      </c>
      <c r="Q317">
        <f t="shared" si="965"/>
        <v>-19629670.937822368</v>
      </c>
      <c r="R317">
        <f t="shared" si="966"/>
        <v>919278549.39708543</v>
      </c>
      <c r="S317">
        <f t="shared" si="967"/>
        <v>9192.7854939708541</v>
      </c>
      <c r="T317">
        <f t="shared" si="968"/>
        <v>9.1927854939708542</v>
      </c>
    </row>
    <row r="318" spans="1:20" x14ac:dyDescent="0.25">
      <c r="A318" s="5">
        <v>44275</v>
      </c>
      <c r="B318">
        <v>4.1379000000000001</v>
      </c>
      <c r="C318">
        <v>4.5</v>
      </c>
      <c r="D318">
        <v>4.1238999999999999</v>
      </c>
      <c r="E318">
        <v>4.3277999999999999</v>
      </c>
      <c r="F318">
        <v>26162178</v>
      </c>
      <c r="G318">
        <v>0</v>
      </c>
      <c r="L318" t="s">
        <v>8</v>
      </c>
      <c r="M318" t="s">
        <v>8</v>
      </c>
      <c r="N318" t="s">
        <v>7</v>
      </c>
      <c r="P318">
        <f t="shared" si="964"/>
        <v>8.4286094123902769E-2</v>
      </c>
      <c r="Q318">
        <f t="shared" si="965"/>
        <v>2205107.7973942985</v>
      </c>
      <c r="R318">
        <f t="shared" si="966"/>
        <v>938908220.33490777</v>
      </c>
      <c r="S318">
        <f t="shared" si="967"/>
        <v>9389.0822033490786</v>
      </c>
      <c r="T318">
        <f t="shared" si="968"/>
        <v>9.3890822033490782</v>
      </c>
    </row>
    <row r="319" spans="1:20" x14ac:dyDescent="0.25">
      <c r="A319" s="5">
        <v>44274</v>
      </c>
      <c r="B319">
        <v>4.1443000000000003</v>
      </c>
      <c r="C319">
        <v>4.2670000000000003</v>
      </c>
      <c r="D319">
        <v>4.0259999999999998</v>
      </c>
      <c r="E319">
        <v>4.1375000000000002</v>
      </c>
      <c r="F319">
        <v>20296052.870000001</v>
      </c>
      <c r="G319">
        <v>0</v>
      </c>
      <c r="L319" t="s">
        <v>8</v>
      </c>
      <c r="M319" t="s">
        <v>8</v>
      </c>
      <c r="N319" t="s">
        <v>7</v>
      </c>
      <c r="P319">
        <f t="shared" si="964"/>
        <v>-7.4688796680496897E-2</v>
      </c>
      <c r="Q319">
        <f t="shared" si="965"/>
        <v>-1515887.7662240455</v>
      </c>
      <c r="R319">
        <f t="shared" si="966"/>
        <v>936703112.53751349</v>
      </c>
      <c r="S319">
        <f t="shared" si="967"/>
        <v>9367.0311253751352</v>
      </c>
      <c r="T319">
        <f t="shared" si="968"/>
        <v>9.367031125375135</v>
      </c>
    </row>
    <row r="320" spans="1:20" x14ac:dyDescent="0.25">
      <c r="A320" s="5">
        <v>44273</v>
      </c>
      <c r="B320">
        <v>4.0872000000000002</v>
      </c>
      <c r="C320">
        <v>4.3269000000000002</v>
      </c>
      <c r="D320">
        <v>4.0548999999999999</v>
      </c>
      <c r="E320">
        <v>4.1433999999999997</v>
      </c>
      <c r="F320">
        <v>29844241.140000001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-0.34926470588235498</v>
      </c>
      <c r="Q320">
        <f t="shared" si="965"/>
        <v>-10423540.104044179</v>
      </c>
      <c r="R320">
        <f t="shared" si="966"/>
        <v>938219000.30373752</v>
      </c>
      <c r="S320">
        <f t="shared" si="967"/>
        <v>9382.1900030373745</v>
      </c>
      <c r="T320">
        <f t="shared" si="968"/>
        <v>9.3821900030373744</v>
      </c>
    </row>
    <row r="321" spans="1:20" x14ac:dyDescent="0.25">
      <c r="A321" s="5">
        <v>44272</v>
      </c>
      <c r="B321">
        <v>4.0667999999999997</v>
      </c>
      <c r="C321">
        <v>4.0946999999999996</v>
      </c>
      <c r="D321">
        <v>3.8542000000000001</v>
      </c>
      <c r="E321">
        <v>4.0867000000000004</v>
      </c>
      <c r="F321">
        <v>21834414.440000001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0.93347193347194068</v>
      </c>
      <c r="Q321">
        <f t="shared" si="965"/>
        <v>20381813.063534461</v>
      </c>
      <c r="R321">
        <f t="shared" si="966"/>
        <v>948642540.40778172</v>
      </c>
      <c r="S321">
        <f t="shared" si="967"/>
        <v>9486.4254040778178</v>
      </c>
      <c r="T321">
        <f t="shared" si="968"/>
        <v>9.4864254040778171</v>
      </c>
    </row>
    <row r="322" spans="1:20" x14ac:dyDescent="0.25">
      <c r="A322" s="5">
        <v>44271</v>
      </c>
      <c r="B322">
        <v>3.8142999999999998</v>
      </c>
      <c r="C322">
        <v>4.1342999999999996</v>
      </c>
      <c r="D322">
        <v>3.6715</v>
      </c>
      <c r="E322">
        <v>4.0660999999999996</v>
      </c>
      <c r="F322">
        <v>31898121.620000001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0.70527225583405317</v>
      </c>
      <c r="Q322">
        <f t="shared" si="965"/>
        <v>22496860.191806383</v>
      </c>
      <c r="R322">
        <f t="shared" si="966"/>
        <v>928260727.34424722</v>
      </c>
      <c r="S322">
        <f t="shared" si="967"/>
        <v>9282.6072734424724</v>
      </c>
      <c r="T322">
        <f t="shared" si="968"/>
        <v>9.2826072734424727</v>
      </c>
    </row>
    <row r="323" spans="1:20" x14ac:dyDescent="0.25">
      <c r="A323" s="5">
        <v>44270</v>
      </c>
      <c r="B323">
        <v>3.9256000000000002</v>
      </c>
      <c r="C323">
        <v>4.0336999999999996</v>
      </c>
      <c r="D323">
        <v>3.7149999999999999</v>
      </c>
      <c r="E323">
        <v>3.8169</v>
      </c>
      <c r="F323">
        <v>27198247.859999999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-0.36052714151239296</v>
      </c>
      <c r="Q323">
        <f t="shared" si="965"/>
        <v>-9805706.5551113579</v>
      </c>
      <c r="R323">
        <f t="shared" si="966"/>
        <v>905763867.15244079</v>
      </c>
      <c r="S323">
        <f t="shared" si="967"/>
        <v>9057.638671524408</v>
      </c>
      <c r="T323">
        <f t="shared" si="968"/>
        <v>9.0576386715244084</v>
      </c>
    </row>
    <row r="324" spans="1:20" x14ac:dyDescent="0.25">
      <c r="A324" s="5">
        <v>44269</v>
      </c>
      <c r="B324">
        <v>4.2827000000000002</v>
      </c>
      <c r="C324">
        <v>4.3845999999999998</v>
      </c>
      <c r="D324">
        <v>3.9255</v>
      </c>
      <c r="E324">
        <v>3.9256000000000002</v>
      </c>
      <c r="F324">
        <v>26674595.899999999</v>
      </c>
      <c r="G324">
        <v>0</v>
      </c>
      <c r="L324" t="s">
        <v>7</v>
      </c>
      <c r="M324" t="s">
        <v>8</v>
      </c>
      <c r="N324" t="s">
        <v>7</v>
      </c>
      <c r="P324">
        <f t="shared" si="964"/>
        <v>-0.99956436506207702</v>
      </c>
      <c r="Q324">
        <f t="shared" si="965"/>
        <v>-26662975.51407098</v>
      </c>
      <c r="R324">
        <f t="shared" si="966"/>
        <v>915569573.70755219</v>
      </c>
      <c r="S324">
        <f t="shared" si="967"/>
        <v>9155.6957370755226</v>
      </c>
      <c r="T324">
        <f t="shared" si="968"/>
        <v>9.1556957370755221</v>
      </c>
    </row>
    <row r="325" spans="1:20" x14ac:dyDescent="0.25">
      <c r="A325" s="5">
        <v>44268</v>
      </c>
      <c r="B325">
        <v>3.7822</v>
      </c>
      <c r="C325">
        <v>4.3863000000000003</v>
      </c>
      <c r="D325">
        <v>3.6787000000000001</v>
      </c>
      <c r="E325">
        <v>4.2816000000000001</v>
      </c>
      <c r="F325">
        <v>28813745.27</v>
      </c>
      <c r="G325">
        <v>0</v>
      </c>
      <c r="L325" t="s">
        <v>8</v>
      </c>
      <c r="M325" t="s">
        <v>8</v>
      </c>
      <c r="N325" t="s">
        <v>7</v>
      </c>
      <c r="P325">
        <f t="shared" si="964"/>
        <v>0.70407009609949067</v>
      </c>
      <c r="Q325">
        <f t="shared" si="965"/>
        <v>20286896.401235145</v>
      </c>
      <c r="R325">
        <f t="shared" si="966"/>
        <v>942232549.22162318</v>
      </c>
      <c r="S325">
        <f t="shared" si="967"/>
        <v>9422.3254922162323</v>
      </c>
      <c r="T325">
        <f t="shared" si="968"/>
        <v>9.4223254922162329</v>
      </c>
    </row>
    <row r="326" spans="1:20" x14ac:dyDescent="0.25">
      <c r="A326" s="5">
        <v>44267</v>
      </c>
      <c r="B326">
        <v>3.9535999999999998</v>
      </c>
      <c r="C326">
        <v>3.9935</v>
      </c>
      <c r="D326">
        <v>3.6734</v>
      </c>
      <c r="E326">
        <v>3.7827999999999999</v>
      </c>
      <c r="F326">
        <v>24719121.329999998</v>
      </c>
      <c r="G326">
        <v>0</v>
      </c>
      <c r="L326" t="s">
        <v>7</v>
      </c>
      <c r="M326" t="s">
        <v>8</v>
      </c>
      <c r="N326" t="s">
        <v>7</v>
      </c>
      <c r="P326">
        <f t="shared" ref="P326:P389" si="969">IF(C326=D326,0,((E326-D326)-(C326-E326))/(C326-D326))</f>
        <v>-0.31646360512339944</v>
      </c>
      <c r="Q326">
        <f t="shared" ref="Q326:Q389" si="970">F326*P326</f>
        <v>-7822702.25157452</v>
      </c>
      <c r="R326">
        <f t="shared" ref="R326:R389" si="971">R327+Q326</f>
        <v>921945652.82038808</v>
      </c>
      <c r="S326">
        <f t="shared" ref="S326:S389" si="972">R326/100000</f>
        <v>9219.4565282038802</v>
      </c>
      <c r="T326">
        <f t="shared" ref="T326:T389" si="973">S326/1000</f>
        <v>9.2194565282038798</v>
      </c>
    </row>
    <row r="327" spans="1:20" x14ac:dyDescent="0.25">
      <c r="A327" s="5">
        <v>44266</v>
      </c>
      <c r="B327">
        <v>3.9893000000000001</v>
      </c>
      <c r="C327">
        <v>4.0502000000000002</v>
      </c>
      <c r="D327">
        <v>3.7000999999999999</v>
      </c>
      <c r="E327">
        <v>3.9531999999999998</v>
      </c>
      <c r="F327">
        <v>24375977.23</v>
      </c>
      <c r="G327">
        <v>0</v>
      </c>
      <c r="L327" t="s">
        <v>7</v>
      </c>
      <c r="M327" t="s">
        <v>8</v>
      </c>
      <c r="N327" t="s">
        <v>7</v>
      </c>
      <c r="P327">
        <f t="shared" si="969"/>
        <v>0.44587260782633342</v>
      </c>
      <c r="Q327">
        <f t="shared" si="970"/>
        <v>10868580.535855424</v>
      </c>
      <c r="R327">
        <f t="shared" si="971"/>
        <v>929768355.07196259</v>
      </c>
      <c r="S327">
        <f t="shared" si="972"/>
        <v>9297.6835507196265</v>
      </c>
      <c r="T327">
        <f t="shared" si="973"/>
        <v>9.2976835507196274</v>
      </c>
    </row>
    <row r="328" spans="1:20" x14ac:dyDescent="0.25">
      <c r="A328" s="5">
        <v>44265</v>
      </c>
      <c r="B328">
        <v>4.1653000000000002</v>
      </c>
      <c r="C328">
        <v>4.1879999999999997</v>
      </c>
      <c r="D328">
        <v>3.8938999999999999</v>
      </c>
      <c r="E328">
        <v>3.9910000000000001</v>
      </c>
      <c r="F328">
        <v>27216643.27</v>
      </c>
      <c r="G328">
        <v>0</v>
      </c>
      <c r="L328" t="s">
        <v>7</v>
      </c>
      <c r="M328" t="s">
        <v>8</v>
      </c>
      <c r="N328" t="s">
        <v>7</v>
      </c>
      <c r="P328">
        <f t="shared" si="969"/>
        <v>-0.33968038082284768</v>
      </c>
      <c r="Q328">
        <f t="shared" si="970"/>
        <v>-9244959.7506731935</v>
      </c>
      <c r="R328">
        <f t="shared" si="971"/>
        <v>918899774.53610718</v>
      </c>
      <c r="S328">
        <f t="shared" si="972"/>
        <v>9188.9977453610718</v>
      </c>
      <c r="T328">
        <f t="shared" si="973"/>
        <v>9.1889977453610712</v>
      </c>
    </row>
    <row r="329" spans="1:20" x14ac:dyDescent="0.25">
      <c r="A329" s="5">
        <v>44264</v>
      </c>
      <c r="B329">
        <v>3.8990999999999998</v>
      </c>
      <c r="C329">
        <v>4.1837999999999997</v>
      </c>
      <c r="D329">
        <v>3.85</v>
      </c>
      <c r="E329">
        <v>4.1673</v>
      </c>
      <c r="F329">
        <v>28686527.23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0.90113840623127772</v>
      </c>
      <c r="Q329">
        <f t="shared" si="970"/>
        <v>25850531.428352352</v>
      </c>
      <c r="R329">
        <f t="shared" si="971"/>
        <v>928144734.28678036</v>
      </c>
      <c r="S329">
        <f t="shared" si="972"/>
        <v>9281.4473428678029</v>
      </c>
      <c r="T329">
        <f t="shared" si="973"/>
        <v>9.2814473428678035</v>
      </c>
    </row>
    <row r="330" spans="1:20" x14ac:dyDescent="0.25">
      <c r="A330" s="5">
        <v>44263</v>
      </c>
      <c r="B330">
        <v>3.8304999999999998</v>
      </c>
      <c r="C330">
        <v>3.93</v>
      </c>
      <c r="D330">
        <v>3.7336</v>
      </c>
      <c r="E330">
        <v>3.8980999999999999</v>
      </c>
      <c r="F330">
        <v>23014527.539999999</v>
      </c>
      <c r="G330">
        <v>0</v>
      </c>
      <c r="L330" t="s">
        <v>8</v>
      </c>
      <c r="M330" t="s">
        <v>8</v>
      </c>
      <c r="N330" t="s">
        <v>7</v>
      </c>
      <c r="P330">
        <f t="shared" si="969"/>
        <v>0.67515274949083259</v>
      </c>
      <c r="Q330">
        <f t="shared" si="970"/>
        <v>15538321.546863487</v>
      </c>
      <c r="R330">
        <f t="shared" si="971"/>
        <v>902294202.858428</v>
      </c>
      <c r="S330">
        <f t="shared" si="972"/>
        <v>9022.9420285842807</v>
      </c>
      <c r="T330">
        <f t="shared" si="973"/>
        <v>9.0229420285842803</v>
      </c>
    </row>
    <row r="331" spans="1:20" x14ac:dyDescent="0.25">
      <c r="A331" s="5">
        <v>44262</v>
      </c>
      <c r="B331">
        <v>3.7214</v>
      </c>
      <c r="C331">
        <v>3.8469000000000002</v>
      </c>
      <c r="D331">
        <v>3.7153999999999998</v>
      </c>
      <c r="E331">
        <v>3.831</v>
      </c>
      <c r="F331">
        <v>16280416.710000001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0.75817490494296269</v>
      </c>
      <c r="Q331">
        <f t="shared" si="970"/>
        <v>12343403.391536072</v>
      </c>
      <c r="R331">
        <f t="shared" si="971"/>
        <v>886755881.31156456</v>
      </c>
      <c r="S331">
        <f t="shared" si="972"/>
        <v>8867.5588131156455</v>
      </c>
      <c r="T331">
        <f t="shared" si="973"/>
        <v>8.8675588131156449</v>
      </c>
    </row>
    <row r="332" spans="1:20" x14ac:dyDescent="0.25">
      <c r="A332" s="5">
        <v>44261</v>
      </c>
      <c r="B332">
        <v>3.6916000000000002</v>
      </c>
      <c r="C332">
        <v>3.7711999999999999</v>
      </c>
      <c r="D332">
        <v>3.5975999999999999</v>
      </c>
      <c r="E332">
        <v>3.7206999999999999</v>
      </c>
      <c r="F332">
        <v>13409844.359999999</v>
      </c>
      <c r="G332">
        <v>0</v>
      </c>
      <c r="L332" t="s">
        <v>7</v>
      </c>
      <c r="M332" t="s">
        <v>8</v>
      </c>
      <c r="N332" t="s">
        <v>7</v>
      </c>
      <c r="P332">
        <f t="shared" si="969"/>
        <v>0.41820276497695857</v>
      </c>
      <c r="Q332">
        <f t="shared" si="970"/>
        <v>5608033.9892626731</v>
      </c>
      <c r="R332">
        <f t="shared" si="971"/>
        <v>874412477.92002845</v>
      </c>
      <c r="S332">
        <f t="shared" si="972"/>
        <v>8744.124779200285</v>
      </c>
      <c r="T332">
        <f t="shared" si="973"/>
        <v>8.7441247792002859</v>
      </c>
    </row>
    <row r="333" spans="1:20" x14ac:dyDescent="0.25">
      <c r="A333" s="5">
        <v>44260</v>
      </c>
      <c r="B333">
        <v>3.7490000000000001</v>
      </c>
      <c r="C333">
        <v>3.7557</v>
      </c>
      <c r="D333">
        <v>3.5562999999999998</v>
      </c>
      <c r="E333">
        <v>3.6903999999999999</v>
      </c>
      <c r="F333">
        <v>18490563.23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0.34503510531594728</v>
      </c>
      <c r="Q333">
        <f t="shared" si="970"/>
        <v>6379893.4314142326</v>
      </c>
      <c r="R333">
        <f t="shared" si="971"/>
        <v>868804443.93076575</v>
      </c>
      <c r="S333">
        <f t="shared" si="972"/>
        <v>8688.0444393076577</v>
      </c>
      <c r="T333">
        <f t="shared" si="973"/>
        <v>8.6880444393076584</v>
      </c>
    </row>
    <row r="334" spans="1:20" x14ac:dyDescent="0.25">
      <c r="A334" s="5">
        <v>44259</v>
      </c>
      <c r="B334">
        <v>3.8256000000000001</v>
      </c>
      <c r="C334">
        <v>3.9249000000000001</v>
      </c>
      <c r="D334">
        <v>3.6379999999999999</v>
      </c>
      <c r="E334">
        <v>3.7483</v>
      </c>
      <c r="F334">
        <v>26425366.93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-0.23109097246427324</v>
      </c>
      <c r="Q334">
        <f t="shared" si="970"/>
        <v>-6106663.7415789468</v>
      </c>
      <c r="R334">
        <f t="shared" si="971"/>
        <v>862424550.4993515</v>
      </c>
      <c r="S334">
        <f t="shared" si="972"/>
        <v>8624.2455049935143</v>
      </c>
      <c r="T334">
        <f t="shared" si="973"/>
        <v>8.6242455049935138</v>
      </c>
    </row>
    <row r="335" spans="1:20" x14ac:dyDescent="0.25">
      <c r="A335" s="5">
        <v>44258</v>
      </c>
      <c r="B335">
        <v>3.6703000000000001</v>
      </c>
      <c r="C335">
        <v>4.0655000000000001</v>
      </c>
      <c r="D335">
        <v>3.6421999999999999</v>
      </c>
      <c r="E335">
        <v>3.8258000000000001</v>
      </c>
      <c r="F335">
        <v>35571041.380000003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-0.13253012048192719</v>
      </c>
      <c r="Q335">
        <f t="shared" si="970"/>
        <v>-4714234.3997590179</v>
      </c>
      <c r="R335">
        <f t="shared" si="971"/>
        <v>868531214.24093044</v>
      </c>
      <c r="S335">
        <f t="shared" si="972"/>
        <v>8685.3121424093042</v>
      </c>
      <c r="T335">
        <f t="shared" si="973"/>
        <v>8.6853121424093036</v>
      </c>
    </row>
    <row r="336" spans="1:20" x14ac:dyDescent="0.25">
      <c r="A336" s="5">
        <v>44257</v>
      </c>
      <c r="B336">
        <v>3.7073999999999998</v>
      </c>
      <c r="C336">
        <v>3.85</v>
      </c>
      <c r="D336">
        <v>3.5630000000000002</v>
      </c>
      <c r="E336">
        <v>3.6709999999999998</v>
      </c>
      <c r="F336">
        <v>25186129.940000001</v>
      </c>
      <c r="G336">
        <v>0</v>
      </c>
      <c r="L336" t="s">
        <v>8</v>
      </c>
      <c r="M336" t="s">
        <v>7</v>
      </c>
      <c r="N336" t="s">
        <v>7</v>
      </c>
      <c r="P336">
        <f t="shared" si="969"/>
        <v>-0.24738675958188375</v>
      </c>
      <c r="Q336">
        <f t="shared" si="970"/>
        <v>-6230715.0722648641</v>
      </c>
      <c r="R336">
        <f t="shared" si="971"/>
        <v>873245448.64068949</v>
      </c>
      <c r="S336">
        <f t="shared" si="972"/>
        <v>8732.4544864068957</v>
      </c>
      <c r="T336">
        <f t="shared" si="973"/>
        <v>8.7324544864068958</v>
      </c>
    </row>
    <row r="337" spans="1:20" x14ac:dyDescent="0.25">
      <c r="A337" s="5">
        <v>44256</v>
      </c>
      <c r="B337">
        <v>3.4744999999999999</v>
      </c>
      <c r="C337">
        <v>3.7587000000000002</v>
      </c>
      <c r="D337">
        <v>3.4485999999999999</v>
      </c>
      <c r="E337">
        <v>3.7048999999999999</v>
      </c>
      <c r="F337">
        <v>22194068.43</v>
      </c>
      <c r="G337">
        <v>0</v>
      </c>
      <c r="L337" t="s">
        <v>8</v>
      </c>
      <c r="M337" t="s">
        <v>7</v>
      </c>
      <c r="N337" t="s">
        <v>7</v>
      </c>
      <c r="P337">
        <f t="shared" si="969"/>
        <v>0.65301515640115937</v>
      </c>
      <c r="Q337">
        <f t="shared" si="970"/>
        <v>14493063.066994483</v>
      </c>
      <c r="R337">
        <f t="shared" si="971"/>
        <v>879476163.7129544</v>
      </c>
      <c r="S337">
        <f t="shared" si="972"/>
        <v>8794.7616371295444</v>
      </c>
      <c r="T337">
        <f t="shared" si="973"/>
        <v>8.794761637129545</v>
      </c>
    </row>
    <row r="338" spans="1:20" x14ac:dyDescent="0.25">
      <c r="A338" s="5">
        <v>44255</v>
      </c>
      <c r="B338">
        <v>3.6724000000000001</v>
      </c>
      <c r="C338">
        <v>3.6996000000000002</v>
      </c>
      <c r="D338">
        <v>3.2421000000000002</v>
      </c>
      <c r="E338">
        <v>3.4765000000000001</v>
      </c>
      <c r="F338">
        <v>31361448.32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2.4699453551912273E-2</v>
      </c>
      <c r="Q338">
        <f t="shared" si="970"/>
        <v>774610.63610053714</v>
      </c>
      <c r="R338">
        <f t="shared" si="971"/>
        <v>864983100.64595997</v>
      </c>
      <c r="S338">
        <f t="shared" si="972"/>
        <v>8649.8310064595989</v>
      </c>
      <c r="T338">
        <f t="shared" si="973"/>
        <v>8.6498310064595998</v>
      </c>
    </row>
    <row r="339" spans="1:20" x14ac:dyDescent="0.25">
      <c r="A339" s="5">
        <v>44254</v>
      </c>
      <c r="B339">
        <v>3.5487000000000002</v>
      </c>
      <c r="C339">
        <v>3.8397999999999999</v>
      </c>
      <c r="D339">
        <v>3.5430999999999999</v>
      </c>
      <c r="E339">
        <v>3.6715</v>
      </c>
      <c r="F339">
        <v>24977922.66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-0.13447927199191045</v>
      </c>
      <c r="Q339">
        <f t="shared" si="970"/>
        <v>-3359012.8551870435</v>
      </c>
      <c r="R339">
        <f t="shared" si="971"/>
        <v>864208490.00985944</v>
      </c>
      <c r="S339">
        <f t="shared" si="972"/>
        <v>8642.0849000985945</v>
      </c>
      <c r="T339">
        <f t="shared" si="973"/>
        <v>8.6420849000985953</v>
      </c>
    </row>
    <row r="340" spans="1:20" x14ac:dyDescent="0.25">
      <c r="A340" s="5">
        <v>44253</v>
      </c>
      <c r="B340">
        <v>3.6695000000000002</v>
      </c>
      <c r="C340">
        <v>3.7698999999999998</v>
      </c>
      <c r="D340">
        <v>3.4</v>
      </c>
      <c r="E340">
        <v>3.5476999999999999</v>
      </c>
      <c r="F340">
        <v>38391146.460000001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-0.20140578534739129</v>
      </c>
      <c r="Q340">
        <f t="shared" si="970"/>
        <v>-7732199.0031630211</v>
      </c>
      <c r="R340">
        <f t="shared" si="971"/>
        <v>867567502.8650465</v>
      </c>
      <c r="S340">
        <f t="shared" si="972"/>
        <v>8675.6750286504648</v>
      </c>
      <c r="T340">
        <f t="shared" si="973"/>
        <v>8.6756750286504651</v>
      </c>
    </row>
    <row r="341" spans="1:20" x14ac:dyDescent="0.25">
      <c r="A341" s="5">
        <v>44252</v>
      </c>
      <c r="B341">
        <v>3.8900999999999999</v>
      </c>
      <c r="C341">
        <v>4.0974000000000004</v>
      </c>
      <c r="D341">
        <v>3.6238000000000001</v>
      </c>
      <c r="E341">
        <v>3.6711</v>
      </c>
      <c r="F341">
        <v>32728301.120000001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-0.80025337837837895</v>
      </c>
      <c r="Q341">
        <f t="shared" si="970"/>
        <v>-26190933.539864883</v>
      </c>
      <c r="R341">
        <f t="shared" si="971"/>
        <v>875299701.86820948</v>
      </c>
      <c r="S341">
        <f t="shared" si="972"/>
        <v>8752.9970186820956</v>
      </c>
      <c r="T341">
        <f t="shared" si="973"/>
        <v>8.7529970186820965</v>
      </c>
    </row>
    <row r="342" spans="1:20" x14ac:dyDescent="0.25">
      <c r="A342" s="5">
        <v>44251</v>
      </c>
      <c r="B342">
        <v>3.8517000000000001</v>
      </c>
      <c r="C342">
        <v>4.1393000000000004</v>
      </c>
      <c r="D342">
        <v>3.6775000000000002</v>
      </c>
      <c r="E342">
        <v>3.8892000000000002</v>
      </c>
      <c r="F342">
        <v>45678448.75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-8.315288003464745E-2</v>
      </c>
      <c r="Q342">
        <f t="shared" si="970"/>
        <v>-3798294.5690775416</v>
      </c>
      <c r="R342">
        <f t="shared" si="971"/>
        <v>901490635.40807438</v>
      </c>
      <c r="S342">
        <f t="shared" si="972"/>
        <v>9014.9063540807438</v>
      </c>
      <c r="T342">
        <f t="shared" si="973"/>
        <v>9.0149063540807433</v>
      </c>
    </row>
    <row r="343" spans="1:20" x14ac:dyDescent="0.25">
      <c r="A343" s="5">
        <v>44250</v>
      </c>
      <c r="B343">
        <v>4.6882999999999999</v>
      </c>
      <c r="C343">
        <v>4.7221000000000002</v>
      </c>
      <c r="D343">
        <v>3.1861999999999999</v>
      </c>
      <c r="E343">
        <v>3.8521000000000001</v>
      </c>
      <c r="F343">
        <v>101007395.36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-0.13288625561559991</v>
      </c>
      <c r="Q343">
        <f t="shared" si="970"/>
        <v>-13422494.55887492</v>
      </c>
      <c r="R343">
        <f t="shared" si="971"/>
        <v>905288929.97715187</v>
      </c>
      <c r="S343">
        <f t="shared" si="972"/>
        <v>9052.8892997715193</v>
      </c>
      <c r="T343">
        <f t="shared" si="973"/>
        <v>9.05288929977152</v>
      </c>
    </row>
    <row r="344" spans="1:20" x14ac:dyDescent="0.25">
      <c r="A344" s="5">
        <v>44249</v>
      </c>
      <c r="B344">
        <v>5.1007999999999996</v>
      </c>
      <c r="C344">
        <v>5.3048000000000002</v>
      </c>
      <c r="D344">
        <v>4.0990000000000002</v>
      </c>
      <c r="E344">
        <v>4.6877000000000004</v>
      </c>
      <c r="F344">
        <v>78799750.209999993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-2.3552827998009236E-2</v>
      </c>
      <c r="Q344">
        <f t="shared" si="970"/>
        <v>-1855956.962982222</v>
      </c>
      <c r="R344">
        <f t="shared" si="971"/>
        <v>918711424.53602684</v>
      </c>
      <c r="S344">
        <f t="shared" si="972"/>
        <v>9187.1142453602679</v>
      </c>
      <c r="T344">
        <f t="shared" si="973"/>
        <v>9.1871142453602683</v>
      </c>
    </row>
    <row r="345" spans="1:20" x14ac:dyDescent="0.25">
      <c r="A345" s="5">
        <v>44248</v>
      </c>
      <c r="B345">
        <v>4.84</v>
      </c>
      <c r="C345">
        <v>5.3654999999999999</v>
      </c>
      <c r="D345">
        <v>4.7295999999999996</v>
      </c>
      <c r="E345">
        <v>5.1007999999999996</v>
      </c>
      <c r="F345">
        <v>40374613.600000001</v>
      </c>
      <c r="G345">
        <v>0</v>
      </c>
      <c r="L345" t="s">
        <v>7</v>
      </c>
      <c r="M345" t="s">
        <v>8</v>
      </c>
      <c r="N345" t="s">
        <v>7</v>
      </c>
      <c r="P345">
        <f t="shared" si="969"/>
        <v>0.16747916339046948</v>
      </c>
      <c r="Q345">
        <f t="shared" si="970"/>
        <v>6761906.5079414714</v>
      </c>
      <c r="R345">
        <f t="shared" si="971"/>
        <v>920567381.49900901</v>
      </c>
      <c r="S345">
        <f t="shared" si="972"/>
        <v>9205.6738149900902</v>
      </c>
      <c r="T345">
        <f t="shared" si="973"/>
        <v>9.2056738149900905</v>
      </c>
    </row>
    <row r="346" spans="1:20" x14ac:dyDescent="0.25">
      <c r="A346" s="5">
        <v>44247</v>
      </c>
      <c r="B346">
        <v>5.2264999999999997</v>
      </c>
      <c r="C346">
        <v>5.4545000000000003</v>
      </c>
      <c r="D346">
        <v>4.5186000000000002</v>
      </c>
      <c r="E346">
        <v>4.8390000000000004</v>
      </c>
      <c r="F346">
        <v>51716507.009999998</v>
      </c>
      <c r="G346">
        <v>0</v>
      </c>
      <c r="L346" t="s">
        <v>8</v>
      </c>
      <c r="M346" t="s">
        <v>7</v>
      </c>
      <c r="N346" t="s">
        <v>7</v>
      </c>
      <c r="P346">
        <f t="shared" si="969"/>
        <v>-0.31531146490009576</v>
      </c>
      <c r="Q346">
        <f t="shared" si="970"/>
        <v>-16306807.584839171</v>
      </c>
      <c r="R346">
        <f t="shared" si="971"/>
        <v>913805474.99106753</v>
      </c>
      <c r="S346">
        <f t="shared" si="972"/>
        <v>9138.054749910676</v>
      </c>
      <c r="T346">
        <f t="shared" si="973"/>
        <v>9.1380547499106761</v>
      </c>
    </row>
    <row r="347" spans="1:20" x14ac:dyDescent="0.25">
      <c r="A347" s="5">
        <v>44246</v>
      </c>
      <c r="B347">
        <v>4.8150000000000004</v>
      </c>
      <c r="C347">
        <v>5.3762999999999996</v>
      </c>
      <c r="D347">
        <v>4.6500000000000004</v>
      </c>
      <c r="E347">
        <v>5.2267000000000001</v>
      </c>
      <c r="F347">
        <v>51485574.299999997</v>
      </c>
      <c r="G347">
        <v>0</v>
      </c>
      <c r="L347" t="s">
        <v>8</v>
      </c>
      <c r="M347" t="s">
        <v>8</v>
      </c>
      <c r="N347" t="s">
        <v>7</v>
      </c>
      <c r="P347">
        <f t="shared" si="969"/>
        <v>0.58804901555831013</v>
      </c>
      <c r="Q347">
        <f t="shared" si="970"/>
        <v>30276041.28256923</v>
      </c>
      <c r="R347">
        <f t="shared" si="971"/>
        <v>930112282.57590675</v>
      </c>
      <c r="S347">
        <f t="shared" si="972"/>
        <v>9301.1228257590683</v>
      </c>
      <c r="T347">
        <f t="shared" si="973"/>
        <v>9.3011228257590677</v>
      </c>
    </row>
    <row r="348" spans="1:20" x14ac:dyDescent="0.25">
      <c r="A348" s="5">
        <v>44245</v>
      </c>
      <c r="B348">
        <v>4.8426999999999998</v>
      </c>
      <c r="C348">
        <v>5.0069999999999997</v>
      </c>
      <c r="D348">
        <v>4.6584000000000003</v>
      </c>
      <c r="E348">
        <v>4.8146000000000004</v>
      </c>
      <c r="F348">
        <v>32897326.850000001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-0.10384394721743886</v>
      </c>
      <c r="Q348">
        <f t="shared" si="970"/>
        <v>-3416188.2730062343</v>
      </c>
      <c r="R348">
        <f t="shared" si="971"/>
        <v>899836241.29333758</v>
      </c>
      <c r="S348">
        <f t="shared" si="972"/>
        <v>8998.3624129333766</v>
      </c>
      <c r="T348">
        <f t="shared" si="973"/>
        <v>8.9983624129333766</v>
      </c>
    </row>
    <row r="349" spans="1:20" x14ac:dyDescent="0.25">
      <c r="A349" s="5">
        <v>44244</v>
      </c>
      <c r="B349">
        <v>4.6437999999999997</v>
      </c>
      <c r="C349">
        <v>4.8869999999999996</v>
      </c>
      <c r="D349">
        <v>4.4211</v>
      </c>
      <c r="E349">
        <v>4.8441000000000001</v>
      </c>
      <c r="F349">
        <v>36369451.020000003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0.81584030907920357</v>
      </c>
      <c r="Q349">
        <f t="shared" si="970"/>
        <v>29671664.161197759</v>
      </c>
      <c r="R349">
        <f t="shared" si="971"/>
        <v>903252429.56634378</v>
      </c>
      <c r="S349">
        <f t="shared" si="972"/>
        <v>9032.5242956634374</v>
      </c>
      <c r="T349">
        <f t="shared" si="973"/>
        <v>9.0325242956634373</v>
      </c>
    </row>
    <row r="350" spans="1:20" x14ac:dyDescent="0.25">
      <c r="A350" s="5">
        <v>44243</v>
      </c>
      <c r="B350">
        <v>4.7142999999999997</v>
      </c>
      <c r="C350">
        <v>4.9720000000000004</v>
      </c>
      <c r="D350">
        <v>4.4139999999999997</v>
      </c>
      <c r="E350">
        <v>4.6447000000000003</v>
      </c>
      <c r="F350">
        <v>52643137.619999997</v>
      </c>
      <c r="G350">
        <v>0</v>
      </c>
      <c r="L350" t="s">
        <v>8</v>
      </c>
      <c r="M350" t="s">
        <v>7</v>
      </c>
      <c r="N350" t="s">
        <v>7</v>
      </c>
      <c r="P350">
        <f t="shared" si="969"/>
        <v>-0.17311827956989148</v>
      </c>
      <c r="Q350">
        <f t="shared" si="970"/>
        <v>-9113489.4159354307</v>
      </c>
      <c r="R350">
        <f t="shared" si="971"/>
        <v>873580765.405146</v>
      </c>
      <c r="S350">
        <f t="shared" si="972"/>
        <v>8735.8076540514594</v>
      </c>
      <c r="T350">
        <f t="shared" si="973"/>
        <v>8.7358076540514595</v>
      </c>
    </row>
    <row r="351" spans="1:20" x14ac:dyDescent="0.25">
      <c r="A351" s="5">
        <v>44242</v>
      </c>
      <c r="B351">
        <v>5.0654000000000003</v>
      </c>
      <c r="C351">
        <v>5.2443</v>
      </c>
      <c r="D351">
        <v>4.1243999999999996</v>
      </c>
      <c r="E351">
        <v>4.7148000000000003</v>
      </c>
      <c r="F351">
        <v>64176584.350000001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5.4379855344228095E-2</v>
      </c>
      <c r="Q351">
        <f t="shared" si="970"/>
        <v>3489913.3734396528</v>
      </c>
      <c r="R351">
        <f t="shared" si="971"/>
        <v>882694254.8210814</v>
      </c>
      <c r="S351">
        <f t="shared" si="972"/>
        <v>8826.9425482108145</v>
      </c>
      <c r="T351">
        <f t="shared" si="973"/>
        <v>8.8269425482108144</v>
      </c>
    </row>
    <row r="352" spans="1:20" x14ac:dyDescent="0.25">
      <c r="A352" s="5">
        <v>44241</v>
      </c>
      <c r="B352">
        <v>5.5502000000000002</v>
      </c>
      <c r="C352">
        <v>5.6028000000000002</v>
      </c>
      <c r="D352">
        <v>4.8613999999999997</v>
      </c>
      <c r="E352">
        <v>5.0667</v>
      </c>
      <c r="F352">
        <v>53628704.890000001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-0.44618289722147259</v>
      </c>
      <c r="Q352">
        <f t="shared" si="970"/>
        <v>-23928210.922055554</v>
      </c>
      <c r="R352">
        <f t="shared" si="971"/>
        <v>879204341.44764173</v>
      </c>
      <c r="S352">
        <f t="shared" si="972"/>
        <v>8792.0434144764167</v>
      </c>
      <c r="T352">
        <f t="shared" si="973"/>
        <v>8.7920434144764172</v>
      </c>
    </row>
    <row r="353" spans="1:20" x14ac:dyDescent="0.25">
      <c r="A353" s="5">
        <v>44240</v>
      </c>
      <c r="B353">
        <v>4.7506000000000004</v>
      </c>
      <c r="C353">
        <v>5.56</v>
      </c>
      <c r="D353">
        <v>4.49</v>
      </c>
      <c r="E353">
        <v>5.5561999999999996</v>
      </c>
      <c r="F353">
        <v>77049397.799999997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0.99289719626168216</v>
      </c>
      <c r="Q353">
        <f t="shared" si="970"/>
        <v>76502131.049271017</v>
      </c>
      <c r="R353">
        <f t="shared" si="971"/>
        <v>903132552.36969733</v>
      </c>
      <c r="S353">
        <f t="shared" si="972"/>
        <v>9031.3255236969726</v>
      </c>
      <c r="T353">
        <f t="shared" si="973"/>
        <v>9.0313255236969727</v>
      </c>
    </row>
    <row r="354" spans="1:20" x14ac:dyDescent="0.25">
      <c r="A354" s="5">
        <v>44239</v>
      </c>
      <c r="B354">
        <v>4.5799000000000003</v>
      </c>
      <c r="C354">
        <v>4.84</v>
      </c>
      <c r="D354">
        <v>4.2249999999999996</v>
      </c>
      <c r="E354">
        <v>4.7488999999999999</v>
      </c>
      <c r="F354">
        <v>52730255.729999997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0.7037398373983742</v>
      </c>
      <c r="Q354">
        <f t="shared" si="970"/>
        <v>37108381.593404889</v>
      </c>
      <c r="R354">
        <f t="shared" si="971"/>
        <v>826630421.32042634</v>
      </c>
      <c r="S354">
        <f t="shared" si="972"/>
        <v>8266.3042132042629</v>
      </c>
      <c r="T354">
        <f t="shared" si="973"/>
        <v>8.266304213204263</v>
      </c>
    </row>
    <row r="355" spans="1:20" x14ac:dyDescent="0.25">
      <c r="A355" s="5">
        <v>44238</v>
      </c>
      <c r="B355">
        <v>4.1261999999999999</v>
      </c>
      <c r="C355">
        <v>4.6738</v>
      </c>
      <c r="D355">
        <v>4</v>
      </c>
      <c r="E355">
        <v>4.5833000000000004</v>
      </c>
      <c r="F355">
        <v>57897957.719999999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0.73137429504304075</v>
      </c>
      <c r="Q355">
        <f t="shared" si="970"/>
        <v>42345078.011896774</v>
      </c>
      <c r="R355">
        <f t="shared" si="971"/>
        <v>789522039.72702146</v>
      </c>
      <c r="S355">
        <f t="shared" si="972"/>
        <v>7895.2203972702146</v>
      </c>
      <c r="T355">
        <f t="shared" si="973"/>
        <v>7.8952203972702142</v>
      </c>
    </row>
    <row r="356" spans="1:20" x14ac:dyDescent="0.25">
      <c r="A356" s="5">
        <v>44237</v>
      </c>
      <c r="B356">
        <v>4.1643999999999997</v>
      </c>
      <c r="C356">
        <v>4.5391000000000004</v>
      </c>
      <c r="D356">
        <v>3.6333000000000002</v>
      </c>
      <c r="E356">
        <v>4.1260000000000003</v>
      </c>
      <c r="F356">
        <v>92504279.480000004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8.7878118790019985E-2</v>
      </c>
      <c r="Q356">
        <f t="shared" si="970"/>
        <v>8129102.0607286487</v>
      </c>
      <c r="R356">
        <f t="shared" si="971"/>
        <v>747176961.71512473</v>
      </c>
      <c r="S356">
        <f t="shared" si="972"/>
        <v>7471.7696171512471</v>
      </c>
      <c r="T356">
        <f t="shared" si="973"/>
        <v>7.4717696171512467</v>
      </c>
    </row>
    <row r="357" spans="1:20" x14ac:dyDescent="0.25">
      <c r="A357" s="5">
        <v>44236</v>
      </c>
      <c r="B357">
        <v>3.5962000000000001</v>
      </c>
      <c r="C357">
        <v>4.3102</v>
      </c>
      <c r="D357">
        <v>3.4803000000000002</v>
      </c>
      <c r="E357">
        <v>4.1631</v>
      </c>
      <c r="F357">
        <v>74686340.049999997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0.64549945776599582</v>
      </c>
      <c r="Q357">
        <f t="shared" si="970"/>
        <v>48209992.004801773</v>
      </c>
      <c r="R357">
        <f t="shared" si="971"/>
        <v>739047859.65439606</v>
      </c>
      <c r="S357">
        <f t="shared" si="972"/>
        <v>7390.4785965439605</v>
      </c>
      <c r="T357">
        <f t="shared" si="973"/>
        <v>7.3904785965439608</v>
      </c>
    </row>
    <row r="358" spans="1:20" x14ac:dyDescent="0.25">
      <c r="A358" s="5">
        <v>44235</v>
      </c>
      <c r="B358">
        <v>3.44</v>
      </c>
      <c r="C358">
        <v>3.6</v>
      </c>
      <c r="D358">
        <v>3.3502999999999998</v>
      </c>
      <c r="E358">
        <v>3.5937000000000001</v>
      </c>
      <c r="F358">
        <v>45616122.740000002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0.9495394473368044</v>
      </c>
      <c r="Q358">
        <f t="shared" si="970"/>
        <v>43314307.976187438</v>
      </c>
      <c r="R358">
        <f t="shared" si="971"/>
        <v>690837867.64959431</v>
      </c>
      <c r="S358">
        <f t="shared" si="972"/>
        <v>6908.3786764959432</v>
      </c>
      <c r="T358">
        <f t="shared" si="973"/>
        <v>6.9083786764959436</v>
      </c>
    </row>
    <row r="359" spans="1:20" x14ac:dyDescent="0.25">
      <c r="A359" s="5">
        <v>44234</v>
      </c>
      <c r="B359">
        <v>3.2103000000000002</v>
      </c>
      <c r="C359">
        <v>3.59</v>
      </c>
      <c r="D359">
        <v>3.0251000000000001</v>
      </c>
      <c r="E359">
        <v>3.44</v>
      </c>
      <c r="F359">
        <v>71730948.25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0.46893255443441323</v>
      </c>
      <c r="Q359">
        <f t="shared" si="970"/>
        <v>33636976.794875205</v>
      </c>
      <c r="R359">
        <f t="shared" si="971"/>
        <v>647523559.67340684</v>
      </c>
      <c r="S359">
        <f t="shared" si="972"/>
        <v>6475.2355967340682</v>
      </c>
      <c r="T359">
        <f t="shared" si="973"/>
        <v>6.475235596734068</v>
      </c>
    </row>
    <row r="360" spans="1:20" x14ac:dyDescent="0.25">
      <c r="A360" s="5">
        <v>44233</v>
      </c>
      <c r="B360">
        <v>3.3148</v>
      </c>
      <c r="C360">
        <v>3.3258999999999999</v>
      </c>
      <c r="D360">
        <v>3.1333000000000002</v>
      </c>
      <c r="E360">
        <v>3.2092000000000001</v>
      </c>
      <c r="F360">
        <v>26168387.510000002</v>
      </c>
      <c r="G360">
        <v>0</v>
      </c>
      <c r="L360" t="s">
        <v>7</v>
      </c>
      <c r="M360" t="s">
        <v>8</v>
      </c>
      <c r="N360" t="s">
        <v>7</v>
      </c>
      <c r="P360">
        <f t="shared" si="969"/>
        <v>-0.2118380062305297</v>
      </c>
      <c r="Q360">
        <f t="shared" si="970"/>
        <v>-5543459.0363862962</v>
      </c>
      <c r="R360">
        <f t="shared" si="971"/>
        <v>613886582.87853158</v>
      </c>
      <c r="S360">
        <f t="shared" si="972"/>
        <v>6138.8658287853159</v>
      </c>
      <c r="T360">
        <f t="shared" si="973"/>
        <v>6.1388658287853159</v>
      </c>
    </row>
    <row r="361" spans="1:20" x14ac:dyDescent="0.25">
      <c r="A361" s="5">
        <v>44232</v>
      </c>
      <c r="B361">
        <v>3.0226000000000002</v>
      </c>
      <c r="C361">
        <v>3.38</v>
      </c>
      <c r="D361">
        <v>3.0105</v>
      </c>
      <c r="E361">
        <v>3.3128000000000002</v>
      </c>
      <c r="F361">
        <v>34894929.5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0.63626522327469703</v>
      </c>
      <c r="Q361">
        <f t="shared" si="970"/>
        <v>22202430.109472312</v>
      </c>
      <c r="R361">
        <f t="shared" si="971"/>
        <v>619430041.91491783</v>
      </c>
      <c r="S361">
        <f t="shared" si="972"/>
        <v>6194.3004191491782</v>
      </c>
      <c r="T361">
        <f t="shared" si="973"/>
        <v>6.1943004191491786</v>
      </c>
    </row>
    <row r="362" spans="1:20" x14ac:dyDescent="0.25">
      <c r="A362" s="5">
        <v>44231</v>
      </c>
      <c r="B362">
        <v>3.0665</v>
      </c>
      <c r="C362">
        <v>3.1488</v>
      </c>
      <c r="D362">
        <v>2.98</v>
      </c>
      <c r="E362">
        <v>3.0226000000000002</v>
      </c>
      <c r="F362">
        <v>24736829.899999999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-0.4952606635071069</v>
      </c>
      <c r="Q362">
        <f t="shared" si="970"/>
        <v>-12251178.789336439</v>
      </c>
      <c r="R362">
        <f t="shared" si="971"/>
        <v>597227611.80544555</v>
      </c>
      <c r="S362">
        <f t="shared" si="972"/>
        <v>5972.2761180544558</v>
      </c>
      <c r="T362">
        <f t="shared" si="973"/>
        <v>5.9722761180544559</v>
      </c>
    </row>
    <row r="363" spans="1:20" x14ac:dyDescent="0.25">
      <c r="A363" s="5">
        <v>44230</v>
      </c>
      <c r="B363">
        <v>2.9975999999999998</v>
      </c>
      <c r="C363">
        <v>3.1385000000000001</v>
      </c>
      <c r="D363">
        <v>2.9845999999999999</v>
      </c>
      <c r="E363">
        <v>3.0665</v>
      </c>
      <c r="F363">
        <v>21949660.93</v>
      </c>
      <c r="G363">
        <v>0</v>
      </c>
      <c r="L363" t="s">
        <v>7</v>
      </c>
      <c r="M363" t="s">
        <v>8</v>
      </c>
      <c r="N363" t="s">
        <v>7</v>
      </c>
      <c r="P363">
        <f t="shared" si="969"/>
        <v>6.4327485380117025E-2</v>
      </c>
      <c r="Q363">
        <f t="shared" si="970"/>
        <v>1411966.4925731008</v>
      </c>
      <c r="R363">
        <f t="shared" si="971"/>
        <v>609478790.59478199</v>
      </c>
      <c r="S363">
        <f t="shared" si="972"/>
        <v>6094.78790594782</v>
      </c>
      <c r="T363">
        <f t="shared" si="973"/>
        <v>6.0947879059478201</v>
      </c>
    </row>
    <row r="364" spans="1:20" x14ac:dyDescent="0.25">
      <c r="A364" s="5">
        <v>44229</v>
      </c>
      <c r="B364">
        <v>3.0548999999999999</v>
      </c>
      <c r="C364">
        <v>3.0762</v>
      </c>
      <c r="D364">
        <v>2.9529999999999998</v>
      </c>
      <c r="E364">
        <v>2.9979</v>
      </c>
      <c r="F364">
        <v>25606816.440000001</v>
      </c>
      <c r="G364">
        <v>0</v>
      </c>
      <c r="L364" t="s">
        <v>7</v>
      </c>
      <c r="M364" t="s">
        <v>8</v>
      </c>
      <c r="N364" t="s">
        <v>7</v>
      </c>
      <c r="P364">
        <f t="shared" si="969"/>
        <v>-0.27110389610389463</v>
      </c>
      <c r="Q364">
        <f t="shared" si="970"/>
        <v>-6942107.7037012614</v>
      </c>
      <c r="R364">
        <f t="shared" si="971"/>
        <v>608066824.10220885</v>
      </c>
      <c r="S364">
        <f t="shared" si="972"/>
        <v>6080.6682410220883</v>
      </c>
      <c r="T364">
        <f t="shared" si="973"/>
        <v>6.0806682410220887</v>
      </c>
    </row>
    <row r="365" spans="1:20" x14ac:dyDescent="0.25">
      <c r="A365" s="5">
        <v>44228</v>
      </c>
      <c r="B365">
        <v>2.9298000000000002</v>
      </c>
      <c r="C365">
        <v>3.28</v>
      </c>
      <c r="D365">
        <v>2.8929999999999998</v>
      </c>
      <c r="E365">
        <v>3.0550000000000002</v>
      </c>
      <c r="F365">
        <v>81454074.439999998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-0.16279069767441673</v>
      </c>
      <c r="Q365">
        <f t="shared" si="970"/>
        <v>-13259965.606511476</v>
      </c>
      <c r="R365">
        <f t="shared" si="971"/>
        <v>615008931.80591011</v>
      </c>
      <c r="S365">
        <f t="shared" si="972"/>
        <v>6150.0893180591011</v>
      </c>
      <c r="T365">
        <f t="shared" si="973"/>
        <v>6.1500893180591012</v>
      </c>
    </row>
    <row r="366" spans="1:20" x14ac:dyDescent="0.25">
      <c r="A366" s="5">
        <v>44227</v>
      </c>
      <c r="B366">
        <v>2.9314</v>
      </c>
      <c r="C366">
        <v>3.0768</v>
      </c>
      <c r="D366">
        <v>2.7947000000000002</v>
      </c>
      <c r="E366">
        <v>2.9297</v>
      </c>
      <c r="F366">
        <v>48808848.439999998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-4.289259127968887E-2</v>
      </c>
      <c r="Q366">
        <f t="shared" si="970"/>
        <v>-2093537.9869691995</v>
      </c>
      <c r="R366">
        <f t="shared" si="971"/>
        <v>628268897.41242158</v>
      </c>
      <c r="S366">
        <f t="shared" si="972"/>
        <v>6282.6889741242157</v>
      </c>
      <c r="T366">
        <f t="shared" si="973"/>
        <v>6.2826889741242153</v>
      </c>
    </row>
    <row r="367" spans="1:20" x14ac:dyDescent="0.25">
      <c r="A367" s="5">
        <v>44226</v>
      </c>
      <c r="B367">
        <v>2.7254999999999998</v>
      </c>
      <c r="C367">
        <v>3.0989</v>
      </c>
      <c r="D367">
        <v>2.6880000000000002</v>
      </c>
      <c r="E367">
        <v>2.9319000000000002</v>
      </c>
      <c r="F367">
        <v>46687724.549999997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0.18715015818934103</v>
      </c>
      <c r="Q367">
        <f t="shared" si="970"/>
        <v>8737615.0350328796</v>
      </c>
      <c r="R367">
        <f t="shared" si="971"/>
        <v>630362435.39939082</v>
      </c>
      <c r="S367">
        <f t="shared" si="972"/>
        <v>6303.6243539939078</v>
      </c>
      <c r="T367">
        <f t="shared" si="973"/>
        <v>6.3036243539939081</v>
      </c>
    </row>
    <row r="368" spans="1:20" x14ac:dyDescent="0.25">
      <c r="A368" s="5">
        <v>44225</v>
      </c>
      <c r="B368">
        <v>2.7077</v>
      </c>
      <c r="C368">
        <v>2.9</v>
      </c>
      <c r="D368">
        <v>2.6467999999999998</v>
      </c>
      <c r="E368">
        <v>2.7231999999999998</v>
      </c>
      <c r="F368">
        <v>42065679.729999997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-0.39652448657188</v>
      </c>
      <c r="Q368">
        <f t="shared" si="970"/>
        <v>-16680072.057235388</v>
      </c>
      <c r="R368">
        <f t="shared" si="971"/>
        <v>621624820.36435795</v>
      </c>
      <c r="S368">
        <f t="shared" si="972"/>
        <v>6216.2482036435795</v>
      </c>
      <c r="T368">
        <f t="shared" si="973"/>
        <v>6.2162482036435796</v>
      </c>
    </row>
    <row r="369" spans="1:20" x14ac:dyDescent="0.25">
      <c r="A369" s="5">
        <v>44224</v>
      </c>
      <c r="B369">
        <v>2.5013000000000001</v>
      </c>
      <c r="C369">
        <v>2.7942999999999998</v>
      </c>
      <c r="D369">
        <v>2.4735999999999998</v>
      </c>
      <c r="E369">
        <v>2.7090000000000001</v>
      </c>
      <c r="F369">
        <v>28543070.190000001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0.46803866541939687</v>
      </c>
      <c r="Q369">
        <f t="shared" si="970"/>
        <v>13359260.478699772</v>
      </c>
      <c r="R369">
        <f t="shared" si="971"/>
        <v>638304892.42159331</v>
      </c>
      <c r="S369">
        <f t="shared" si="972"/>
        <v>6383.0489242159329</v>
      </c>
      <c r="T369">
        <f t="shared" si="973"/>
        <v>6.3830489242159327</v>
      </c>
    </row>
    <row r="370" spans="1:20" x14ac:dyDescent="0.25">
      <c r="A370" s="5">
        <v>44223</v>
      </c>
      <c r="B370">
        <v>2.6278000000000001</v>
      </c>
      <c r="C370">
        <v>2.6280999999999999</v>
      </c>
      <c r="D370">
        <v>2.4632999999999998</v>
      </c>
      <c r="E370">
        <v>2.5001000000000002</v>
      </c>
      <c r="F370">
        <v>13739860.939999999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-0.55339805825242261</v>
      </c>
      <c r="Q370">
        <f t="shared" si="970"/>
        <v>-7603612.364854306</v>
      </c>
      <c r="R370">
        <f t="shared" si="971"/>
        <v>624945631.94289351</v>
      </c>
      <c r="S370">
        <f t="shared" si="972"/>
        <v>6249.4563194289349</v>
      </c>
      <c r="T370">
        <f t="shared" si="973"/>
        <v>6.2494563194289352</v>
      </c>
    </row>
    <row r="371" spans="1:20" x14ac:dyDescent="0.25">
      <c r="A371" s="5">
        <v>44222</v>
      </c>
      <c r="B371">
        <v>2.6482999999999999</v>
      </c>
      <c r="C371">
        <v>2.6734</v>
      </c>
      <c r="D371">
        <v>2.5537000000000001</v>
      </c>
      <c r="E371">
        <v>2.6278000000000001</v>
      </c>
      <c r="F371">
        <v>11431400.810000001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0.23809523809523986</v>
      </c>
      <c r="Q371">
        <f t="shared" si="970"/>
        <v>2721762.0976190679</v>
      </c>
      <c r="R371">
        <f t="shared" si="971"/>
        <v>632549244.30774784</v>
      </c>
      <c r="S371">
        <f t="shared" si="972"/>
        <v>6325.4924430774781</v>
      </c>
      <c r="T371">
        <f t="shared" si="973"/>
        <v>6.3254924430774784</v>
      </c>
    </row>
    <row r="372" spans="1:20" x14ac:dyDescent="0.25">
      <c r="A372" s="5">
        <v>44221</v>
      </c>
      <c r="B372">
        <v>2.7134999999999998</v>
      </c>
      <c r="C372">
        <v>2.7671000000000001</v>
      </c>
      <c r="D372">
        <v>2.6307999999999998</v>
      </c>
      <c r="E372">
        <v>2.6480999999999999</v>
      </c>
      <c r="F372">
        <v>14815480.939999999</v>
      </c>
      <c r="G372">
        <v>0</v>
      </c>
      <c r="L372" t="s">
        <v>8</v>
      </c>
      <c r="M372" t="s">
        <v>7</v>
      </c>
      <c r="N372" t="s">
        <v>7</v>
      </c>
      <c r="P372">
        <f t="shared" si="969"/>
        <v>-0.74614820249449665</v>
      </c>
      <c r="Q372">
        <f t="shared" si="970"/>
        <v>-11054544.472472476</v>
      </c>
      <c r="R372">
        <f t="shared" si="971"/>
        <v>629827482.21012878</v>
      </c>
      <c r="S372">
        <f t="shared" si="972"/>
        <v>6298.274822101288</v>
      </c>
      <c r="T372">
        <f t="shared" si="973"/>
        <v>6.2982748221012876</v>
      </c>
    </row>
    <row r="373" spans="1:20" x14ac:dyDescent="0.25">
      <c r="A373" s="5">
        <v>44220</v>
      </c>
      <c r="B373">
        <v>2.7027999999999999</v>
      </c>
      <c r="C373">
        <v>2.7732000000000001</v>
      </c>
      <c r="D373">
        <v>2.6461000000000001</v>
      </c>
      <c r="E373">
        <v>2.7134999999999998</v>
      </c>
      <c r="F373">
        <v>14726360.6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6.0582218725408137E-2</v>
      </c>
      <c r="Q373">
        <f t="shared" si="970"/>
        <v>892155.59889843257</v>
      </c>
      <c r="R373">
        <f t="shared" si="971"/>
        <v>640882026.68260121</v>
      </c>
      <c r="S373">
        <f t="shared" si="972"/>
        <v>6408.8202668260119</v>
      </c>
      <c r="T373">
        <f t="shared" si="973"/>
        <v>6.4088202668260115</v>
      </c>
    </row>
    <row r="374" spans="1:20" x14ac:dyDescent="0.25">
      <c r="A374" s="5">
        <v>44219</v>
      </c>
      <c r="B374">
        <v>2.6206999999999998</v>
      </c>
      <c r="C374">
        <v>2.7827999999999999</v>
      </c>
      <c r="D374">
        <v>2.5747</v>
      </c>
      <c r="E374">
        <v>2.7027999999999999</v>
      </c>
      <c r="F374">
        <v>22166538.129999999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0.23113887554060461</v>
      </c>
      <c r="Q374">
        <f t="shared" si="970"/>
        <v>5123548.6979961358</v>
      </c>
      <c r="R374">
        <f t="shared" si="971"/>
        <v>639989871.0837028</v>
      </c>
      <c r="S374">
        <f t="shared" si="972"/>
        <v>6399.8987108370284</v>
      </c>
      <c r="T374">
        <f t="shared" si="973"/>
        <v>6.3998987108370287</v>
      </c>
    </row>
    <row r="375" spans="1:20" x14ac:dyDescent="0.25">
      <c r="A375" s="5">
        <v>44218</v>
      </c>
      <c r="B375">
        <v>2.5442</v>
      </c>
      <c r="C375">
        <v>2.6747999999999998</v>
      </c>
      <c r="D375">
        <v>2.4308999999999998</v>
      </c>
      <c r="E375">
        <v>2.6208</v>
      </c>
      <c r="F375">
        <v>22876177.829999998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0.557195571955721</v>
      </c>
      <c r="Q375">
        <f t="shared" si="970"/>
        <v>12746504.990147633</v>
      </c>
      <c r="R375">
        <f t="shared" si="971"/>
        <v>634866322.38570666</v>
      </c>
      <c r="S375">
        <f t="shared" si="972"/>
        <v>6348.6632238570664</v>
      </c>
      <c r="T375">
        <f t="shared" si="973"/>
        <v>6.3486632238570664</v>
      </c>
    </row>
    <row r="376" spans="1:20" x14ac:dyDescent="0.25">
      <c r="A376" s="5">
        <v>44217</v>
      </c>
      <c r="B376">
        <v>2.7761</v>
      </c>
      <c r="C376">
        <v>2.7831999999999999</v>
      </c>
      <c r="D376">
        <v>2.4958</v>
      </c>
      <c r="E376">
        <v>2.5451000000000001</v>
      </c>
      <c r="F376">
        <v>26622270.07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-0.65692414752957451</v>
      </c>
      <c r="Q376">
        <f t="shared" si="970"/>
        <v>-17488812.071036857</v>
      </c>
      <c r="R376">
        <f t="shared" si="971"/>
        <v>622119817.39555907</v>
      </c>
      <c r="S376">
        <f t="shared" si="972"/>
        <v>6221.1981739555904</v>
      </c>
      <c r="T376">
        <f t="shared" si="973"/>
        <v>6.2211981739555906</v>
      </c>
    </row>
    <row r="377" spans="1:20" x14ac:dyDescent="0.25">
      <c r="A377" s="5">
        <v>44216</v>
      </c>
      <c r="B377">
        <v>2.7896999999999998</v>
      </c>
      <c r="C377">
        <v>2.8233999999999999</v>
      </c>
      <c r="D377">
        <v>2.6560000000000001</v>
      </c>
      <c r="E377">
        <v>2.7755999999999998</v>
      </c>
      <c r="F377">
        <v>24136427.43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0.42891278375149189</v>
      </c>
      <c r="Q377">
        <f t="shared" si="970"/>
        <v>10352422.278817168</v>
      </c>
      <c r="R377">
        <f t="shared" si="971"/>
        <v>639608629.46659589</v>
      </c>
      <c r="S377">
        <f t="shared" si="972"/>
        <v>6396.086294665959</v>
      </c>
      <c r="T377">
        <f t="shared" si="973"/>
        <v>6.3960862946659587</v>
      </c>
    </row>
    <row r="378" spans="1:20" x14ac:dyDescent="0.25">
      <c r="A378" s="5">
        <v>44215</v>
      </c>
      <c r="B378">
        <v>2.8155000000000001</v>
      </c>
      <c r="C378">
        <v>2.9272</v>
      </c>
      <c r="D378">
        <v>2.782</v>
      </c>
      <c r="E378">
        <v>2.7894999999999999</v>
      </c>
      <c r="F378">
        <v>34691602.039999999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-0.89669421487603529</v>
      </c>
      <c r="Q378">
        <f t="shared" si="970"/>
        <v>-31107758.854049664</v>
      </c>
      <c r="R378">
        <f t="shared" si="971"/>
        <v>629256207.18777871</v>
      </c>
      <c r="S378">
        <f t="shared" si="972"/>
        <v>6292.5620718777873</v>
      </c>
      <c r="T378">
        <f t="shared" si="973"/>
        <v>6.2925620718777875</v>
      </c>
    </row>
    <row r="379" spans="1:20" x14ac:dyDescent="0.25">
      <c r="A379" s="5">
        <v>44214</v>
      </c>
      <c r="B379">
        <v>2.7639</v>
      </c>
      <c r="C379">
        <v>2.8351000000000002</v>
      </c>
      <c r="D379">
        <v>2.7021000000000002</v>
      </c>
      <c r="E379">
        <v>2.8144</v>
      </c>
      <c r="F379">
        <v>21835501.73</v>
      </c>
      <c r="G379">
        <v>0</v>
      </c>
      <c r="L379" t="s">
        <v>7</v>
      </c>
      <c r="M379" t="s">
        <v>8</v>
      </c>
      <c r="N379" t="s">
        <v>7</v>
      </c>
      <c r="P379">
        <f t="shared" si="969"/>
        <v>0.68872180451127574</v>
      </c>
      <c r="Q379">
        <f t="shared" si="970"/>
        <v>15038586.153894683</v>
      </c>
      <c r="R379">
        <f t="shared" si="971"/>
        <v>660363966.04182839</v>
      </c>
      <c r="S379">
        <f t="shared" si="972"/>
        <v>6603.6396604182837</v>
      </c>
      <c r="T379">
        <f t="shared" si="973"/>
        <v>6.6036396604182839</v>
      </c>
    </row>
    <row r="380" spans="1:20" x14ac:dyDescent="0.25">
      <c r="A380" s="5">
        <v>44213</v>
      </c>
      <c r="B380">
        <v>2.7770999999999999</v>
      </c>
      <c r="C380">
        <v>2.8035000000000001</v>
      </c>
      <c r="D380">
        <v>2.6804000000000001</v>
      </c>
      <c r="E380">
        <v>2.7639999999999998</v>
      </c>
      <c r="F380">
        <v>21830570.16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0.35824532900080719</v>
      </c>
      <c r="Q380">
        <f t="shared" si="970"/>
        <v>7820699.7892444041</v>
      </c>
      <c r="R380">
        <f t="shared" si="971"/>
        <v>645325379.88793373</v>
      </c>
      <c r="S380">
        <f t="shared" si="972"/>
        <v>6453.2537988793374</v>
      </c>
      <c r="T380">
        <f t="shared" si="973"/>
        <v>6.453253798879337</v>
      </c>
    </row>
    <row r="381" spans="1:20" x14ac:dyDescent="0.25">
      <c r="A381" s="5">
        <v>44212</v>
      </c>
      <c r="B381">
        <v>2.7566999999999999</v>
      </c>
      <c r="C381">
        <v>2.8843000000000001</v>
      </c>
      <c r="D381">
        <v>2.7056</v>
      </c>
      <c r="E381">
        <v>2.7770000000000001</v>
      </c>
      <c r="F381">
        <v>34613368.340000004</v>
      </c>
      <c r="G381">
        <v>0</v>
      </c>
      <c r="L381" t="s">
        <v>7</v>
      </c>
      <c r="M381" t="s">
        <v>8</v>
      </c>
      <c r="N381" t="s">
        <v>7</v>
      </c>
      <c r="P381">
        <f t="shared" si="969"/>
        <v>-0.20089535534415112</v>
      </c>
      <c r="Q381">
        <f t="shared" si="970"/>
        <v>-6953664.9323222907</v>
      </c>
      <c r="R381">
        <f t="shared" si="971"/>
        <v>637504680.09868932</v>
      </c>
      <c r="S381">
        <f t="shared" si="972"/>
        <v>6375.0468009868928</v>
      </c>
      <c r="T381">
        <f t="shared" si="973"/>
        <v>6.375046800986893</v>
      </c>
    </row>
    <row r="382" spans="1:20" x14ac:dyDescent="0.25">
      <c r="A382" s="5">
        <v>44211</v>
      </c>
      <c r="B382">
        <v>2.8094000000000001</v>
      </c>
      <c r="C382">
        <v>2.9369000000000001</v>
      </c>
      <c r="D382">
        <v>2.58</v>
      </c>
      <c r="E382">
        <v>2.7566000000000002</v>
      </c>
      <c r="F382">
        <v>41381415.149999999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-1.0367049593723213E-2</v>
      </c>
      <c r="Q382">
        <f t="shared" si="970"/>
        <v>-429003.18311849906</v>
      </c>
      <c r="R382">
        <f t="shared" si="971"/>
        <v>644458345.03101158</v>
      </c>
      <c r="S382">
        <f t="shared" si="972"/>
        <v>6444.5834503101159</v>
      </c>
      <c r="T382">
        <f t="shared" si="973"/>
        <v>6.444583450310116</v>
      </c>
    </row>
    <row r="383" spans="1:20" x14ac:dyDescent="0.25">
      <c r="A383" s="5">
        <v>44210</v>
      </c>
      <c r="B383">
        <v>2.7681</v>
      </c>
      <c r="C383">
        <v>2.8589000000000002</v>
      </c>
      <c r="D383">
        <v>2.6913</v>
      </c>
      <c r="E383">
        <v>2.8089</v>
      </c>
      <c r="F383">
        <v>32720798.98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0.40334128878281372</v>
      </c>
      <c r="Q383">
        <f t="shared" si="970"/>
        <v>13197649.230596578</v>
      </c>
      <c r="R383">
        <f t="shared" si="971"/>
        <v>644887348.21413004</v>
      </c>
      <c r="S383">
        <f t="shared" si="972"/>
        <v>6448.8734821413009</v>
      </c>
      <c r="T383">
        <f t="shared" si="973"/>
        <v>6.448873482141301</v>
      </c>
    </row>
    <row r="384" spans="1:20" x14ac:dyDescent="0.25">
      <c r="A384" s="5">
        <v>44209</v>
      </c>
      <c r="B384">
        <v>2.5983999999999998</v>
      </c>
      <c r="C384">
        <v>2.7932999999999999</v>
      </c>
      <c r="D384">
        <v>2.5243000000000002</v>
      </c>
      <c r="E384">
        <v>2.7669999999999999</v>
      </c>
      <c r="F384">
        <v>27740001.359999999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0.80446096654275079</v>
      </c>
      <c r="Q384">
        <f t="shared" si="970"/>
        <v>22315748.30596282</v>
      </c>
      <c r="R384">
        <f t="shared" si="971"/>
        <v>631689698.9835335</v>
      </c>
      <c r="S384">
        <f t="shared" si="972"/>
        <v>6316.8969898353353</v>
      </c>
      <c r="T384">
        <f t="shared" si="973"/>
        <v>6.3168969898353353</v>
      </c>
    </row>
    <row r="385" spans="1:20" x14ac:dyDescent="0.25">
      <c r="A385" s="5">
        <v>44208</v>
      </c>
      <c r="B385">
        <v>2.6692</v>
      </c>
      <c r="C385">
        <v>2.7704</v>
      </c>
      <c r="D385">
        <v>2.5305</v>
      </c>
      <c r="E385">
        <v>2.5969000000000002</v>
      </c>
      <c r="F385">
        <v>36062487.030000001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-0.44643601500625063</v>
      </c>
      <c r="Q385">
        <f t="shared" si="970"/>
        <v>-16099593.0008878</v>
      </c>
      <c r="R385">
        <f t="shared" si="971"/>
        <v>609373950.6775707</v>
      </c>
      <c r="S385">
        <f t="shared" si="972"/>
        <v>6093.739506775707</v>
      </c>
      <c r="T385">
        <f t="shared" si="973"/>
        <v>6.093739506775707</v>
      </c>
    </row>
    <row r="386" spans="1:20" x14ac:dyDescent="0.25">
      <c r="A386" s="5">
        <v>44207</v>
      </c>
      <c r="B386">
        <v>3.0554999999999999</v>
      </c>
      <c r="C386">
        <v>3.0695999999999999</v>
      </c>
      <c r="D386">
        <v>2.3858999999999999</v>
      </c>
      <c r="E386">
        <v>2.6663000000000001</v>
      </c>
      <c r="F386">
        <v>110068969.12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-0.17975720345180571</v>
      </c>
      <c r="Q386">
        <f t="shared" si="970"/>
        <v>-19785690.07583436</v>
      </c>
      <c r="R386">
        <f t="shared" si="971"/>
        <v>625473543.67845845</v>
      </c>
      <c r="S386">
        <f t="shared" si="972"/>
        <v>6254.7354367845846</v>
      </c>
      <c r="T386">
        <f t="shared" si="973"/>
        <v>6.2547354367845847</v>
      </c>
    </row>
    <row r="387" spans="1:20" x14ac:dyDescent="0.25">
      <c r="A387" s="5">
        <v>44206</v>
      </c>
      <c r="B387">
        <v>3.6141000000000001</v>
      </c>
      <c r="C387">
        <v>3.9220000000000002</v>
      </c>
      <c r="D387">
        <v>2.85</v>
      </c>
      <c r="E387">
        <v>3.0552000000000001</v>
      </c>
      <c r="F387">
        <v>123377042.09999999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-0.61716417910447752</v>
      </c>
      <c r="Q387">
        <f t="shared" si="970"/>
        <v>-76143890.907985061</v>
      </c>
      <c r="R387">
        <f t="shared" si="971"/>
        <v>645259233.75429285</v>
      </c>
      <c r="S387">
        <f t="shared" si="972"/>
        <v>6452.5923375429284</v>
      </c>
      <c r="T387">
        <f t="shared" si="973"/>
        <v>6.4525923375429279</v>
      </c>
    </row>
    <row r="388" spans="1:20" x14ac:dyDescent="0.25">
      <c r="A388" s="5">
        <v>44205</v>
      </c>
      <c r="B388">
        <v>3.1095000000000002</v>
      </c>
      <c r="C388">
        <v>3.7391000000000001</v>
      </c>
      <c r="D388">
        <v>3.0125999999999999</v>
      </c>
      <c r="E388">
        <v>3.6145</v>
      </c>
      <c r="F388">
        <v>67692589.969999999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0.65698554714384028</v>
      </c>
      <c r="Q388">
        <f t="shared" si="970"/>
        <v>44473053.259024084</v>
      </c>
      <c r="R388">
        <f t="shared" si="971"/>
        <v>721403124.66227794</v>
      </c>
      <c r="S388">
        <f t="shared" si="972"/>
        <v>7214.0312466227797</v>
      </c>
      <c r="T388">
        <f t="shared" si="973"/>
        <v>7.2140312466227794</v>
      </c>
    </row>
    <row r="389" spans="1:20" x14ac:dyDescent="0.25">
      <c r="A389" s="5">
        <v>44204</v>
      </c>
      <c r="B389">
        <v>3.1951000000000001</v>
      </c>
      <c r="C389">
        <v>3.2530999999999999</v>
      </c>
      <c r="D389">
        <v>2.9</v>
      </c>
      <c r="E389">
        <v>3.1093999999999999</v>
      </c>
      <c r="F389">
        <v>44115462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0.18606627017841998</v>
      </c>
      <c r="Q389">
        <f t="shared" si="970"/>
        <v>8208399.4715378201</v>
      </c>
      <c r="R389">
        <f t="shared" si="971"/>
        <v>676930071.40325379</v>
      </c>
      <c r="S389">
        <f t="shared" si="972"/>
        <v>6769.3007140325381</v>
      </c>
      <c r="T389">
        <f t="shared" si="973"/>
        <v>6.7693007140325383</v>
      </c>
    </row>
    <row r="390" spans="1:20" x14ac:dyDescent="0.25">
      <c r="A390" s="5">
        <v>44203</v>
      </c>
      <c r="B390">
        <v>3.3714</v>
      </c>
      <c r="C390">
        <v>3.4487999999999999</v>
      </c>
      <c r="D390">
        <v>3.05</v>
      </c>
      <c r="E390">
        <v>3.1943000000000001</v>
      </c>
      <c r="F390">
        <v>70175676.379999995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-0.27632898696088115</v>
      </c>
      <c r="Q390">
        <f t="shared" ref="Q390:Q453" si="975">F390*P390</f>
        <v>-19391573.563380033</v>
      </c>
      <c r="R390">
        <f t="shared" ref="R390:R453" si="976">R391+Q390</f>
        <v>668721671.93171597</v>
      </c>
      <c r="S390">
        <f t="shared" ref="S390:S453" si="977">R390/100000</f>
        <v>6687.2167193171599</v>
      </c>
      <c r="T390">
        <f t="shared" ref="T390:T453" si="978">S390/1000</f>
        <v>6.6872167193171599</v>
      </c>
    </row>
    <row r="391" spans="1:20" x14ac:dyDescent="0.25">
      <c r="A391" s="5">
        <v>44202</v>
      </c>
      <c r="B391">
        <v>2.8860999999999999</v>
      </c>
      <c r="C391">
        <v>3.4550000000000001</v>
      </c>
      <c r="D391">
        <v>2.8473999999999999</v>
      </c>
      <c r="E391">
        <v>3.3711000000000002</v>
      </c>
      <c r="F391">
        <v>64001252.229999997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0.72383146807109988</v>
      </c>
      <c r="Q391">
        <f t="shared" si="975"/>
        <v>46326120.360029653</v>
      </c>
      <c r="R391">
        <f t="shared" si="976"/>
        <v>688113245.49509597</v>
      </c>
      <c r="S391">
        <f t="shared" si="977"/>
        <v>6881.13245495096</v>
      </c>
      <c r="T391">
        <f t="shared" si="978"/>
        <v>6.8811324549509596</v>
      </c>
    </row>
    <row r="392" spans="1:20" x14ac:dyDescent="0.25">
      <c r="A392" s="5">
        <v>44201</v>
      </c>
      <c r="B392">
        <v>2.8199000000000001</v>
      </c>
      <c r="C392">
        <v>2.9537</v>
      </c>
      <c r="D392">
        <v>2.7103999999999999</v>
      </c>
      <c r="E392">
        <v>2.8862000000000001</v>
      </c>
      <c r="F392">
        <v>30181879.280000001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0.44512946979038326</v>
      </c>
      <c r="Q392">
        <f t="shared" si="975"/>
        <v>13434843.921183756</v>
      </c>
      <c r="R392">
        <f t="shared" si="976"/>
        <v>641787125.13506627</v>
      </c>
      <c r="S392">
        <f t="shared" si="977"/>
        <v>6417.8712513506625</v>
      </c>
      <c r="T392">
        <f t="shared" si="978"/>
        <v>6.4178712513506628</v>
      </c>
    </row>
    <row r="393" spans="1:20" x14ac:dyDescent="0.25">
      <c r="A393" s="5">
        <v>44200</v>
      </c>
      <c r="B393">
        <v>2.7989999999999999</v>
      </c>
      <c r="C393">
        <v>3.1219999999999999</v>
      </c>
      <c r="D393">
        <v>2.62</v>
      </c>
      <c r="E393">
        <v>2.8191000000000002</v>
      </c>
      <c r="F393">
        <v>52251721.549999997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-0.20677290836653331</v>
      </c>
      <c r="Q393">
        <f t="shared" si="975"/>
        <v>-10804240.432051763</v>
      </c>
      <c r="R393">
        <f t="shared" si="976"/>
        <v>628352281.21388257</v>
      </c>
      <c r="S393">
        <f t="shared" si="977"/>
        <v>6283.5228121388254</v>
      </c>
      <c r="T393">
        <f t="shared" si="978"/>
        <v>6.2835228121388251</v>
      </c>
    </row>
    <row r="394" spans="1:20" x14ac:dyDescent="0.25">
      <c r="A394" s="5">
        <v>44199</v>
      </c>
      <c r="B394">
        <v>2.6316000000000002</v>
      </c>
      <c r="C394">
        <v>2.8443999999999998</v>
      </c>
      <c r="D394">
        <v>2.5767000000000002</v>
      </c>
      <c r="E394">
        <v>2.7985000000000002</v>
      </c>
      <c r="F394">
        <v>34686424.890000001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0.65707881957415259</v>
      </c>
      <c r="Q394">
        <f t="shared" si="975"/>
        <v>22791715.121968705</v>
      </c>
      <c r="R394">
        <f t="shared" si="976"/>
        <v>639156521.64593434</v>
      </c>
      <c r="S394">
        <f t="shared" si="977"/>
        <v>6391.565216459343</v>
      </c>
      <c r="T394">
        <f t="shared" si="978"/>
        <v>6.3915652164593428</v>
      </c>
    </row>
    <row r="395" spans="1:20" x14ac:dyDescent="0.25">
      <c r="A395" s="5">
        <v>44198</v>
      </c>
      <c r="B395">
        <v>2.6381000000000001</v>
      </c>
      <c r="C395">
        <v>2.7231999999999998</v>
      </c>
      <c r="D395">
        <v>2.5627</v>
      </c>
      <c r="E395">
        <v>2.6320999999999999</v>
      </c>
      <c r="F395">
        <v>17549382.440000001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-0.13520249221183844</v>
      </c>
      <c r="Q395">
        <f t="shared" si="975"/>
        <v>-2372720.2426666743</v>
      </c>
      <c r="R395">
        <f t="shared" si="976"/>
        <v>616364806.5239656</v>
      </c>
      <c r="S395">
        <f t="shared" si="977"/>
        <v>6163.6480652396558</v>
      </c>
      <c r="T395">
        <f t="shared" si="978"/>
        <v>6.1636480652396557</v>
      </c>
    </row>
    <row r="396" spans="1:20" x14ac:dyDescent="0.25">
      <c r="A396" s="5">
        <v>44197</v>
      </c>
      <c r="B396">
        <v>2.5905999999999998</v>
      </c>
      <c r="C396">
        <v>2.7313000000000001</v>
      </c>
      <c r="D396">
        <v>2.5670000000000002</v>
      </c>
      <c r="E396">
        <v>2.6377999999999999</v>
      </c>
      <c r="F396">
        <v>13298192.52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-0.13816189896530981</v>
      </c>
      <c r="Q396">
        <f t="shared" si="975"/>
        <v>-1837303.5313694787</v>
      </c>
      <c r="R396">
        <f t="shared" si="976"/>
        <v>618737526.76663232</v>
      </c>
      <c r="S396">
        <f t="shared" si="977"/>
        <v>6187.3752676663235</v>
      </c>
      <c r="T396">
        <f t="shared" si="978"/>
        <v>6.1873752676663232</v>
      </c>
    </row>
    <row r="397" spans="1:20" x14ac:dyDescent="0.25">
      <c r="A397" s="5">
        <v>44196</v>
      </c>
      <c r="B397">
        <v>2.6124000000000001</v>
      </c>
      <c r="C397">
        <v>2.6566999999999998</v>
      </c>
      <c r="D397">
        <v>2.5118999999999998</v>
      </c>
      <c r="E397">
        <v>2.5911</v>
      </c>
      <c r="F397">
        <v>13739882.68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9.3922651933703555E-2</v>
      </c>
      <c r="Q397">
        <f t="shared" si="975"/>
        <v>1290486.218563562</v>
      </c>
      <c r="R397">
        <f t="shared" si="976"/>
        <v>620574830.29800177</v>
      </c>
      <c r="S397">
        <f t="shared" si="977"/>
        <v>6205.7483029800178</v>
      </c>
      <c r="T397">
        <f t="shared" si="978"/>
        <v>6.2057483029800178</v>
      </c>
    </row>
    <row r="398" spans="1:20" x14ac:dyDescent="0.25">
      <c r="A398" s="5">
        <v>44195</v>
      </c>
      <c r="B398">
        <v>2.6406000000000001</v>
      </c>
      <c r="C398">
        <v>2.6722999999999999</v>
      </c>
      <c r="D398">
        <v>2.5348000000000002</v>
      </c>
      <c r="E398">
        <v>2.6122999999999998</v>
      </c>
      <c r="F398">
        <v>16477769.52</v>
      </c>
      <c r="G398">
        <v>0</v>
      </c>
      <c r="L398" t="s">
        <v>7</v>
      </c>
      <c r="M398" t="s">
        <v>8</v>
      </c>
      <c r="N398" t="s">
        <v>8</v>
      </c>
      <c r="P398">
        <f t="shared" si="974"/>
        <v>0.12727272727272482</v>
      </c>
      <c r="Q398">
        <f t="shared" si="975"/>
        <v>2097170.6661817776</v>
      </c>
      <c r="R398">
        <f t="shared" si="976"/>
        <v>619284344.07943821</v>
      </c>
      <c r="S398">
        <f t="shared" si="977"/>
        <v>6192.8434407943823</v>
      </c>
      <c r="T398">
        <f t="shared" si="978"/>
        <v>6.1928434407943822</v>
      </c>
    </row>
    <row r="399" spans="1:20" x14ac:dyDescent="0.25">
      <c r="A399" s="5">
        <v>44194</v>
      </c>
      <c r="B399">
        <v>2.7637999999999998</v>
      </c>
      <c r="C399">
        <v>2.7936999999999999</v>
      </c>
      <c r="D399">
        <v>2.5023</v>
      </c>
      <c r="E399">
        <v>2.6391</v>
      </c>
      <c r="F399">
        <v>22432367.239999998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-6.10844200411799E-2</v>
      </c>
      <c r="Q399">
        <f t="shared" si="975"/>
        <v>-1370268.1430061634</v>
      </c>
      <c r="R399">
        <f t="shared" si="976"/>
        <v>617187173.41325641</v>
      </c>
      <c r="S399">
        <f t="shared" si="977"/>
        <v>6171.8717341325637</v>
      </c>
      <c r="T399">
        <f t="shared" si="978"/>
        <v>6.171871734132564</v>
      </c>
    </row>
    <row r="400" spans="1:20" x14ac:dyDescent="0.25">
      <c r="A400" s="5">
        <v>44193</v>
      </c>
      <c r="B400">
        <v>2.7164000000000001</v>
      </c>
      <c r="C400">
        <v>2.8940999999999999</v>
      </c>
      <c r="D400">
        <v>2.6850000000000001</v>
      </c>
      <c r="E400">
        <v>2.7637999999999998</v>
      </c>
      <c r="F400">
        <v>21818607.039999999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-0.24629363940698404</v>
      </c>
      <c r="Q400">
        <f t="shared" si="975"/>
        <v>-5373784.1346724434</v>
      </c>
      <c r="R400">
        <f t="shared" si="976"/>
        <v>618557441.55626261</v>
      </c>
      <c r="S400">
        <f t="shared" si="977"/>
        <v>6185.5744155626262</v>
      </c>
      <c r="T400">
        <f t="shared" si="978"/>
        <v>6.185574415562626</v>
      </c>
    </row>
    <row r="401" spans="1:20" x14ac:dyDescent="0.25">
      <c r="A401" s="5">
        <v>44192</v>
      </c>
      <c r="B401">
        <v>2.6132</v>
      </c>
      <c r="C401">
        <v>2.8721000000000001</v>
      </c>
      <c r="D401">
        <v>2.4773000000000001</v>
      </c>
      <c r="E401">
        <v>2.7166999999999999</v>
      </c>
      <c r="F401">
        <v>36340504.780000001</v>
      </c>
      <c r="G401">
        <v>0</v>
      </c>
      <c r="L401" t="s">
        <v>7</v>
      </c>
      <c r="M401" t="s">
        <v>8</v>
      </c>
      <c r="N401" t="s">
        <v>8</v>
      </c>
      <c r="P401">
        <f t="shared" si="974"/>
        <v>0.21276595744680754</v>
      </c>
      <c r="Q401">
        <f t="shared" si="975"/>
        <v>7732022.2936169859</v>
      </c>
      <c r="R401">
        <f t="shared" si="976"/>
        <v>623931225.69093502</v>
      </c>
      <c r="S401">
        <f t="shared" si="977"/>
        <v>6239.3122569093503</v>
      </c>
      <c r="T401">
        <f t="shared" si="978"/>
        <v>6.2393122569093507</v>
      </c>
    </row>
    <row r="402" spans="1:20" x14ac:dyDescent="0.25">
      <c r="A402" s="5">
        <v>44191</v>
      </c>
      <c r="B402">
        <v>2.6657000000000002</v>
      </c>
      <c r="C402">
        <v>2.6959</v>
      </c>
      <c r="D402">
        <v>2.5251000000000001</v>
      </c>
      <c r="E402">
        <v>2.6128</v>
      </c>
      <c r="F402">
        <v>21402740.25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2.6932084309133148E-2</v>
      </c>
      <c r="Q402">
        <f t="shared" si="975"/>
        <v>576420.40485947742</v>
      </c>
      <c r="R402">
        <f t="shared" si="976"/>
        <v>616199203.39731801</v>
      </c>
      <c r="S402">
        <f t="shared" si="977"/>
        <v>6161.9920339731798</v>
      </c>
      <c r="T402">
        <f t="shared" si="978"/>
        <v>6.1619920339731795</v>
      </c>
    </row>
    <row r="403" spans="1:20" x14ac:dyDescent="0.25">
      <c r="A403" s="5">
        <v>44190</v>
      </c>
      <c r="B403">
        <v>2.6673</v>
      </c>
      <c r="C403">
        <v>2.7433000000000001</v>
      </c>
      <c r="D403">
        <v>2.5421999999999998</v>
      </c>
      <c r="E403">
        <v>2.6661000000000001</v>
      </c>
      <c r="F403">
        <v>29259347.75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0.23222277473893757</v>
      </c>
      <c r="Q403">
        <f t="shared" si="975"/>
        <v>6794686.9215564895</v>
      </c>
      <c r="R403">
        <f t="shared" si="976"/>
        <v>615622782.99245858</v>
      </c>
      <c r="S403">
        <f t="shared" si="977"/>
        <v>6156.2278299245854</v>
      </c>
      <c r="T403">
        <f t="shared" si="978"/>
        <v>6.1562278299245854</v>
      </c>
    </row>
    <row r="404" spans="1:20" x14ac:dyDescent="0.25">
      <c r="A404" s="5">
        <v>44189</v>
      </c>
      <c r="B404">
        <v>2.3147000000000002</v>
      </c>
      <c r="C404">
        <v>2.6922000000000001</v>
      </c>
      <c r="D404">
        <v>2.2507999999999999</v>
      </c>
      <c r="E404">
        <v>2.6682000000000001</v>
      </c>
      <c r="F404">
        <v>42668258.770000003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0.89125509741730857</v>
      </c>
      <c r="Q404">
        <f t="shared" si="975"/>
        <v>38028303.126683287</v>
      </c>
      <c r="R404">
        <f t="shared" si="976"/>
        <v>608828096.07090211</v>
      </c>
      <c r="S404">
        <f t="shared" si="977"/>
        <v>6088.2809607090212</v>
      </c>
      <c r="T404">
        <f t="shared" si="978"/>
        <v>6.0882809607090209</v>
      </c>
    </row>
    <row r="405" spans="1:20" x14ac:dyDescent="0.25">
      <c r="A405" s="5">
        <v>44188</v>
      </c>
      <c r="B405">
        <v>2.8969</v>
      </c>
      <c r="C405">
        <v>2.9146999999999998</v>
      </c>
      <c r="D405">
        <v>1.9964</v>
      </c>
      <c r="E405">
        <v>2.3148</v>
      </c>
      <c r="F405">
        <v>49781788.43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-0.30654470216704771</v>
      </c>
      <c r="Q405">
        <f t="shared" si="975"/>
        <v>-15260343.507617332</v>
      </c>
      <c r="R405">
        <f t="shared" si="976"/>
        <v>570799792.94421887</v>
      </c>
      <c r="S405">
        <f t="shared" si="977"/>
        <v>5707.9979294421892</v>
      </c>
      <c r="T405">
        <f t="shared" si="978"/>
        <v>5.7079979294421888</v>
      </c>
    </row>
    <row r="406" spans="1:20" x14ac:dyDescent="0.25">
      <c r="A406" s="5">
        <v>44187</v>
      </c>
      <c r="B406">
        <v>2.9291999999999998</v>
      </c>
      <c r="C406">
        <v>2.9539</v>
      </c>
      <c r="D406">
        <v>2.7709999999999999</v>
      </c>
      <c r="E406">
        <v>2.8980000000000001</v>
      </c>
      <c r="F406">
        <v>23679544.350000001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0.3887370147621671</v>
      </c>
      <c r="Q406">
        <f t="shared" si="975"/>
        <v>9205115.3815473411</v>
      </c>
      <c r="R406">
        <f t="shared" si="976"/>
        <v>586060136.45183623</v>
      </c>
      <c r="S406">
        <f t="shared" si="977"/>
        <v>5860.6013645183621</v>
      </c>
      <c r="T406">
        <f t="shared" si="978"/>
        <v>5.8606013645183621</v>
      </c>
    </row>
    <row r="407" spans="1:20" x14ac:dyDescent="0.25">
      <c r="A407" s="5">
        <v>44186</v>
      </c>
      <c r="B407">
        <v>3.1345999999999998</v>
      </c>
      <c r="C407">
        <v>3.2784</v>
      </c>
      <c r="D407">
        <v>2.9020999999999999</v>
      </c>
      <c r="E407">
        <v>2.9287999999999998</v>
      </c>
      <c r="F407">
        <v>28585530.140000001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-0.85809194791389876</v>
      </c>
      <c r="Q407">
        <f t="shared" si="975"/>
        <v>-24529013.239984065</v>
      </c>
      <c r="R407">
        <f t="shared" si="976"/>
        <v>576855021.0702889</v>
      </c>
      <c r="S407">
        <f t="shared" si="977"/>
        <v>5768.5502107028888</v>
      </c>
      <c r="T407">
        <f t="shared" si="978"/>
        <v>5.7685502107028892</v>
      </c>
    </row>
    <row r="408" spans="1:20" x14ac:dyDescent="0.25">
      <c r="A408" s="5">
        <v>44185</v>
      </c>
      <c r="B408">
        <v>3.0528</v>
      </c>
      <c r="C408">
        <v>3.3323</v>
      </c>
      <c r="D408">
        <v>3.0015000000000001</v>
      </c>
      <c r="E408">
        <v>3.1360999999999999</v>
      </c>
      <c r="F408">
        <v>28833397.52</v>
      </c>
      <c r="G408">
        <v>0</v>
      </c>
      <c r="L408" t="s">
        <v>8</v>
      </c>
      <c r="M408" t="s">
        <v>8</v>
      </c>
      <c r="N408" t="s">
        <v>7</v>
      </c>
      <c r="P408">
        <f t="shared" si="974"/>
        <v>-0.18621523579202032</v>
      </c>
      <c r="Q408">
        <f t="shared" si="975"/>
        <v>-5369217.9178718533</v>
      </c>
      <c r="R408">
        <f t="shared" si="976"/>
        <v>601384034.31027293</v>
      </c>
      <c r="S408">
        <f t="shared" si="977"/>
        <v>6013.8403431027291</v>
      </c>
      <c r="T408">
        <f t="shared" si="978"/>
        <v>6.0138403431027294</v>
      </c>
    </row>
    <row r="409" spans="1:20" x14ac:dyDescent="0.25">
      <c r="A409" s="5">
        <v>44184</v>
      </c>
      <c r="B409">
        <v>3.0596999999999999</v>
      </c>
      <c r="C409">
        <v>3.12</v>
      </c>
      <c r="D409">
        <v>3.03</v>
      </c>
      <c r="E409">
        <v>3.0535000000000001</v>
      </c>
      <c r="F409">
        <v>12646345.4</v>
      </c>
      <c r="G409">
        <v>0</v>
      </c>
      <c r="L409" t="s">
        <v>7</v>
      </c>
      <c r="M409" t="s">
        <v>8</v>
      </c>
      <c r="N409" t="s">
        <v>7</v>
      </c>
      <c r="P409">
        <f t="shared" si="974"/>
        <v>-0.47777777777777292</v>
      </c>
      <c r="Q409">
        <f t="shared" si="975"/>
        <v>-6042142.8022221606</v>
      </c>
      <c r="R409">
        <f t="shared" si="976"/>
        <v>606753252.22814476</v>
      </c>
      <c r="S409">
        <f t="shared" si="977"/>
        <v>6067.5325222814472</v>
      </c>
      <c r="T409">
        <f t="shared" si="978"/>
        <v>6.0675325222814473</v>
      </c>
    </row>
    <row r="410" spans="1:20" x14ac:dyDescent="0.25">
      <c r="A410" s="5">
        <v>44183</v>
      </c>
      <c r="B410">
        <v>3.0415000000000001</v>
      </c>
      <c r="C410">
        <v>3.1314000000000002</v>
      </c>
      <c r="D410">
        <v>2.9830000000000001</v>
      </c>
      <c r="E410">
        <v>3.0594000000000001</v>
      </c>
      <c r="F410">
        <v>15551156.84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2.9649595687331245E-2</v>
      </c>
      <c r="Q410">
        <f t="shared" si="975"/>
        <v>461085.51277627581</v>
      </c>
      <c r="R410">
        <f t="shared" si="976"/>
        <v>612795395.0303669</v>
      </c>
      <c r="S410">
        <f t="shared" si="977"/>
        <v>6127.9539503036685</v>
      </c>
      <c r="T410">
        <f t="shared" si="978"/>
        <v>6.1279539503036684</v>
      </c>
    </row>
    <row r="411" spans="1:20" x14ac:dyDescent="0.25">
      <c r="A411" s="5">
        <v>44182</v>
      </c>
      <c r="B411">
        <v>3.1013000000000002</v>
      </c>
      <c r="C411">
        <v>3.2572999999999999</v>
      </c>
      <c r="D411">
        <v>2.9714</v>
      </c>
      <c r="E411">
        <v>3.0415999999999999</v>
      </c>
      <c r="F411">
        <v>31664479.850000001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-0.50891920251836398</v>
      </c>
      <c r="Q411">
        <f t="shared" si="975"/>
        <v>-16114661.833420806</v>
      </c>
      <c r="R411">
        <f t="shared" si="976"/>
        <v>612334309.51759064</v>
      </c>
      <c r="S411">
        <f t="shared" si="977"/>
        <v>6123.3430951759065</v>
      </c>
      <c r="T411">
        <f t="shared" si="978"/>
        <v>6.1233430951759065</v>
      </c>
    </row>
    <row r="412" spans="1:20" x14ac:dyDescent="0.25">
      <c r="A412" s="5">
        <v>44181</v>
      </c>
      <c r="B412">
        <v>2.8614999999999999</v>
      </c>
      <c r="C412">
        <v>3.1145999999999998</v>
      </c>
      <c r="D412">
        <v>2.8159000000000001</v>
      </c>
      <c r="E412">
        <v>3.1019999999999999</v>
      </c>
      <c r="F412">
        <v>16341154.18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0.91563441580180815</v>
      </c>
      <c r="Q412">
        <f t="shared" si="975"/>
        <v>14962523.161131576</v>
      </c>
      <c r="R412">
        <f t="shared" si="976"/>
        <v>628448971.3510114</v>
      </c>
      <c r="S412">
        <f t="shared" si="977"/>
        <v>6284.4897135101137</v>
      </c>
      <c r="T412">
        <f t="shared" si="978"/>
        <v>6.2844897135101139</v>
      </c>
    </row>
    <row r="413" spans="1:20" x14ac:dyDescent="0.25">
      <c r="A413" s="5">
        <v>44180</v>
      </c>
      <c r="B413">
        <v>2.8471000000000002</v>
      </c>
      <c r="C413">
        <v>2.9022999999999999</v>
      </c>
      <c r="D413">
        <v>2.8062999999999998</v>
      </c>
      <c r="E413">
        <v>2.8614999999999999</v>
      </c>
      <c r="F413">
        <v>8046692.6699999999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0.15000000000000185</v>
      </c>
      <c r="Q413">
        <f t="shared" si="975"/>
        <v>1207003.9005000149</v>
      </c>
      <c r="R413">
        <f t="shared" si="976"/>
        <v>613486448.18987978</v>
      </c>
      <c r="S413">
        <f t="shared" si="977"/>
        <v>6134.8644818987977</v>
      </c>
      <c r="T413">
        <f t="shared" si="978"/>
        <v>6.1348644818987976</v>
      </c>
    </row>
    <row r="414" spans="1:20" x14ac:dyDescent="0.25">
      <c r="A414" s="5">
        <v>44179</v>
      </c>
      <c r="B414">
        <v>2.8504999999999998</v>
      </c>
      <c r="C414">
        <v>2.8632</v>
      </c>
      <c r="D414">
        <v>2.7985000000000002</v>
      </c>
      <c r="E414">
        <v>2.847</v>
      </c>
      <c r="F414">
        <v>6998578.6500000004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0.49922720247295044</v>
      </c>
      <c r="Q414">
        <f t="shared" si="975"/>
        <v>3493880.8407264184</v>
      </c>
      <c r="R414">
        <f t="shared" si="976"/>
        <v>612279444.28937972</v>
      </c>
      <c r="S414">
        <f t="shared" si="977"/>
        <v>6122.7944428937972</v>
      </c>
      <c r="T414">
        <f t="shared" si="978"/>
        <v>6.122794442893797</v>
      </c>
    </row>
    <row r="415" spans="1:20" x14ac:dyDescent="0.25">
      <c r="A415" s="5">
        <v>44178</v>
      </c>
      <c r="B415">
        <v>2.7667999999999999</v>
      </c>
      <c r="C415">
        <v>2.8999000000000001</v>
      </c>
      <c r="D415">
        <v>2.7519</v>
      </c>
      <c r="E415">
        <v>2.8506999999999998</v>
      </c>
      <c r="F415">
        <v>10072162.970000001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0.33513513513513093</v>
      </c>
      <c r="Q415">
        <f t="shared" si="975"/>
        <v>3375535.6980540119</v>
      </c>
      <c r="R415">
        <f t="shared" si="976"/>
        <v>608785563.44865334</v>
      </c>
      <c r="S415">
        <f t="shared" si="977"/>
        <v>6087.8556344865337</v>
      </c>
      <c r="T415">
        <f t="shared" si="978"/>
        <v>6.0878556344865338</v>
      </c>
    </row>
    <row r="416" spans="1:20" x14ac:dyDescent="0.25">
      <c r="A416" s="5">
        <v>44177</v>
      </c>
      <c r="B416">
        <v>2.6945000000000001</v>
      </c>
      <c r="C416">
        <v>2.7862</v>
      </c>
      <c r="D416">
        <v>2.6781999999999999</v>
      </c>
      <c r="E416">
        <v>2.7671999999999999</v>
      </c>
      <c r="F416">
        <v>6975725.4500000002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0.64814814814814614</v>
      </c>
      <c r="Q416">
        <f t="shared" si="975"/>
        <v>4521303.5324073937</v>
      </c>
      <c r="R416">
        <f t="shared" si="976"/>
        <v>605410027.75059938</v>
      </c>
      <c r="S416">
        <f t="shared" si="977"/>
        <v>6054.1002775059942</v>
      </c>
      <c r="T416">
        <f t="shared" si="978"/>
        <v>6.0541002775059942</v>
      </c>
    </row>
    <row r="417" spans="1:20" x14ac:dyDescent="0.25">
      <c r="A417" s="5">
        <v>44176</v>
      </c>
      <c r="B417">
        <v>2.7410000000000001</v>
      </c>
      <c r="C417">
        <v>2.7494000000000001</v>
      </c>
      <c r="D417">
        <v>2.6476000000000002</v>
      </c>
      <c r="E417">
        <v>2.6938</v>
      </c>
      <c r="F417">
        <v>10162517.130000001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-9.2337917485268248E-2</v>
      </c>
      <c r="Q417">
        <f t="shared" si="975"/>
        <v>-938385.66819256521</v>
      </c>
      <c r="R417">
        <f t="shared" si="976"/>
        <v>600888724.21819198</v>
      </c>
      <c r="S417">
        <f t="shared" si="977"/>
        <v>6008.8872421819196</v>
      </c>
      <c r="T417">
        <f t="shared" si="978"/>
        <v>6.0088872421819195</v>
      </c>
    </row>
    <row r="418" spans="1:20" x14ac:dyDescent="0.25">
      <c r="A418" s="5">
        <v>44175</v>
      </c>
      <c r="B418">
        <v>2.8083</v>
      </c>
      <c r="C418">
        <v>2.8147000000000002</v>
      </c>
      <c r="D418">
        <v>2.6999</v>
      </c>
      <c r="E418">
        <v>2.7401</v>
      </c>
      <c r="F418">
        <v>6532215.7199999997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-0.29965156794425207</v>
      </c>
      <c r="Q418">
        <f t="shared" si="975"/>
        <v>-1957388.6826480913</v>
      </c>
      <c r="R418">
        <f t="shared" si="976"/>
        <v>601827109.88638449</v>
      </c>
      <c r="S418">
        <f t="shared" si="977"/>
        <v>6018.2710988638446</v>
      </c>
      <c r="T418">
        <f t="shared" si="978"/>
        <v>6.0182710988638446</v>
      </c>
    </row>
    <row r="419" spans="1:20" x14ac:dyDescent="0.25">
      <c r="A419" s="5">
        <v>44174</v>
      </c>
      <c r="B419">
        <v>2.8022999999999998</v>
      </c>
      <c r="C419">
        <v>2.8359999999999999</v>
      </c>
      <c r="D419">
        <v>2.6627000000000001</v>
      </c>
      <c r="E419">
        <v>2.8085</v>
      </c>
      <c r="F419">
        <v>11243665.279999999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0.6826312752452407</v>
      </c>
      <c r="Q419">
        <f t="shared" si="975"/>
        <v>7675277.5685170358</v>
      </c>
      <c r="R419">
        <f t="shared" si="976"/>
        <v>603784498.56903255</v>
      </c>
      <c r="S419">
        <f t="shared" si="977"/>
        <v>6037.8449856903253</v>
      </c>
      <c r="T419">
        <f t="shared" si="978"/>
        <v>6.0378449856903256</v>
      </c>
    </row>
    <row r="420" spans="1:20" x14ac:dyDescent="0.25">
      <c r="A420" s="5">
        <v>44173</v>
      </c>
      <c r="B420">
        <v>2.9491999999999998</v>
      </c>
      <c r="C420">
        <v>2.9603999999999999</v>
      </c>
      <c r="D420">
        <v>2.7440000000000002</v>
      </c>
      <c r="E420">
        <v>2.8029999999999999</v>
      </c>
      <c r="F420">
        <v>9609375.9299999997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-0.45471349353050095</v>
      </c>
      <c r="Q420">
        <f t="shared" si="975"/>
        <v>-4369512.8997782059</v>
      </c>
      <c r="R420">
        <f t="shared" si="976"/>
        <v>596109221.00051546</v>
      </c>
      <c r="S420">
        <f t="shared" si="977"/>
        <v>5961.0922100051548</v>
      </c>
      <c r="T420">
        <f t="shared" si="978"/>
        <v>5.9610922100051544</v>
      </c>
    </row>
    <row r="421" spans="1:20" x14ac:dyDescent="0.25">
      <c r="A421" s="5">
        <v>44172</v>
      </c>
      <c r="B421">
        <v>2.9975000000000001</v>
      </c>
      <c r="C421">
        <v>3.0089999999999999</v>
      </c>
      <c r="D421">
        <v>2.9068999999999998</v>
      </c>
      <c r="E421">
        <v>2.9491000000000001</v>
      </c>
      <c r="F421">
        <v>7935160.0199999996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-0.17335945151811549</v>
      </c>
      <c r="Q421">
        <f t="shared" si="975"/>
        <v>-1375634.9887756782</v>
      </c>
      <c r="R421">
        <f t="shared" si="976"/>
        <v>600478733.90029371</v>
      </c>
      <c r="S421">
        <f t="shared" si="977"/>
        <v>6004.7873390029372</v>
      </c>
      <c r="T421">
        <f t="shared" si="978"/>
        <v>6.0047873390029372</v>
      </c>
    </row>
    <row r="422" spans="1:20" x14ac:dyDescent="0.25">
      <c r="A422" s="5">
        <v>44171</v>
      </c>
      <c r="B422">
        <v>3.0089999999999999</v>
      </c>
      <c r="C422">
        <v>3.0360999999999998</v>
      </c>
      <c r="D422">
        <v>2.9085999999999999</v>
      </c>
      <c r="E422">
        <v>2.9969000000000001</v>
      </c>
      <c r="F422">
        <v>6980771.8300000001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0.38509803921569102</v>
      </c>
      <c r="Q422">
        <f t="shared" si="975"/>
        <v>2688281.5439451314</v>
      </c>
      <c r="R422">
        <f t="shared" si="976"/>
        <v>601854368.88906944</v>
      </c>
      <c r="S422">
        <f t="shared" si="977"/>
        <v>6018.5436888906943</v>
      </c>
      <c r="T422">
        <f t="shared" si="978"/>
        <v>6.018543688890694</v>
      </c>
    </row>
    <row r="423" spans="1:20" x14ac:dyDescent="0.25">
      <c r="A423" s="5">
        <v>44170</v>
      </c>
      <c r="B423">
        <v>2.8450000000000002</v>
      </c>
      <c r="C423">
        <v>3.0125999999999999</v>
      </c>
      <c r="D423">
        <v>2.8201000000000001</v>
      </c>
      <c r="E423">
        <v>3.0078999999999998</v>
      </c>
      <c r="F423">
        <v>8528184.6199999992</v>
      </c>
      <c r="G423">
        <v>0</v>
      </c>
      <c r="L423" t="s">
        <v>8</v>
      </c>
      <c r="M423" t="s">
        <v>8</v>
      </c>
      <c r="N423" t="s">
        <v>7</v>
      </c>
      <c r="P423">
        <f t="shared" si="974"/>
        <v>0.95116883116882955</v>
      </c>
      <c r="Q423">
        <f t="shared" si="975"/>
        <v>8111743.3969973885</v>
      </c>
      <c r="R423">
        <f t="shared" si="976"/>
        <v>599166087.34512436</v>
      </c>
      <c r="S423">
        <f t="shared" si="977"/>
        <v>5991.6608734512438</v>
      </c>
      <c r="T423">
        <f t="shared" si="978"/>
        <v>5.9916608734512442</v>
      </c>
    </row>
    <row r="424" spans="1:20" x14ac:dyDescent="0.25">
      <c r="A424" s="5">
        <v>44169</v>
      </c>
      <c r="B424">
        <v>3.0804</v>
      </c>
      <c r="C424">
        <v>3.1482000000000001</v>
      </c>
      <c r="D424">
        <v>2.7976999999999999</v>
      </c>
      <c r="E424">
        <v>2.8456000000000001</v>
      </c>
      <c r="F424">
        <v>16212208.279999999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-0.72667617689015551</v>
      </c>
      <c r="Q424">
        <f t="shared" si="975"/>
        <v>-11781025.531857323</v>
      </c>
      <c r="R424">
        <f t="shared" si="976"/>
        <v>591054343.94812703</v>
      </c>
      <c r="S424">
        <f t="shared" si="977"/>
        <v>5910.5434394812701</v>
      </c>
      <c r="T424">
        <f t="shared" si="978"/>
        <v>5.9105434394812697</v>
      </c>
    </row>
    <row r="425" spans="1:20" x14ac:dyDescent="0.25">
      <c r="A425" s="5">
        <v>44168</v>
      </c>
      <c r="B425">
        <v>3.0562999999999998</v>
      </c>
      <c r="C425">
        <v>3.1345999999999998</v>
      </c>
      <c r="D425">
        <v>3.0093000000000001</v>
      </c>
      <c r="E425">
        <v>3.0802999999999998</v>
      </c>
      <c r="F425">
        <v>10269216.6</v>
      </c>
      <c r="G425">
        <v>0</v>
      </c>
      <c r="L425" t="s">
        <v>7</v>
      </c>
      <c r="M425" t="s">
        <v>8</v>
      </c>
      <c r="N425" t="s">
        <v>7</v>
      </c>
      <c r="P425">
        <f t="shared" si="974"/>
        <v>0.13328012769353351</v>
      </c>
      <c r="Q425">
        <f t="shared" si="975"/>
        <v>1368682.4997605539</v>
      </c>
      <c r="R425">
        <f t="shared" si="976"/>
        <v>602835369.4799844</v>
      </c>
      <c r="S425">
        <f t="shared" si="977"/>
        <v>6028.3536947998437</v>
      </c>
      <c r="T425">
        <f t="shared" si="978"/>
        <v>6.0283536947998435</v>
      </c>
    </row>
    <row r="426" spans="1:20" x14ac:dyDescent="0.25">
      <c r="A426" s="5">
        <v>44167</v>
      </c>
      <c r="B426">
        <v>2.9942000000000002</v>
      </c>
      <c r="C426">
        <v>3.0863</v>
      </c>
      <c r="D426">
        <v>2.9590000000000001</v>
      </c>
      <c r="E426">
        <v>3.0565000000000002</v>
      </c>
      <c r="F426">
        <v>11397214.15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0.53181461115475515</v>
      </c>
      <c r="Q426">
        <f t="shared" si="975"/>
        <v>6061205.0114297234</v>
      </c>
      <c r="R426">
        <f t="shared" si="976"/>
        <v>601466686.98022389</v>
      </c>
      <c r="S426">
        <f t="shared" si="977"/>
        <v>6014.6668698022386</v>
      </c>
      <c r="T426">
        <f t="shared" si="978"/>
        <v>6.0146668698022383</v>
      </c>
    </row>
    <row r="427" spans="1:20" x14ac:dyDescent="0.25">
      <c r="A427" s="5">
        <v>44166</v>
      </c>
      <c r="B427">
        <v>3.2599</v>
      </c>
      <c r="C427">
        <v>3.34</v>
      </c>
      <c r="D427">
        <v>2.9205999999999999</v>
      </c>
      <c r="E427">
        <v>2.9942000000000002</v>
      </c>
      <c r="F427">
        <v>27621880.93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-0.64902241297090923</v>
      </c>
      <c r="Q427">
        <f t="shared" si="975"/>
        <v>-17927219.811983742</v>
      </c>
      <c r="R427">
        <f t="shared" si="976"/>
        <v>595405481.96879423</v>
      </c>
      <c r="S427">
        <f t="shared" si="977"/>
        <v>5954.0548196879427</v>
      </c>
      <c r="T427">
        <f t="shared" si="978"/>
        <v>5.9540548196879426</v>
      </c>
    </row>
    <row r="428" spans="1:20" x14ac:dyDescent="0.25">
      <c r="A428" s="5">
        <v>44165</v>
      </c>
      <c r="B428">
        <v>3.0320999999999998</v>
      </c>
      <c r="C428">
        <v>3.282</v>
      </c>
      <c r="D428">
        <v>2.9952000000000001</v>
      </c>
      <c r="E428">
        <v>3.2614999999999998</v>
      </c>
      <c r="F428">
        <v>25341850.190000001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0.85704323570432228</v>
      </c>
      <c r="Q428">
        <f t="shared" si="975"/>
        <v>21719061.285571795</v>
      </c>
      <c r="R428">
        <f t="shared" si="976"/>
        <v>613332701.78077793</v>
      </c>
      <c r="S428">
        <f t="shared" si="977"/>
        <v>6133.3270178077792</v>
      </c>
      <c r="T428">
        <f t="shared" si="978"/>
        <v>6.1333270178077788</v>
      </c>
    </row>
    <row r="429" spans="1:20" x14ac:dyDescent="0.25">
      <c r="A429" s="5">
        <v>44164</v>
      </c>
      <c r="B429">
        <v>2.9975999999999998</v>
      </c>
      <c r="C429">
        <v>3.0985999999999998</v>
      </c>
      <c r="D429">
        <v>2.9035000000000002</v>
      </c>
      <c r="E429">
        <v>3.0310999999999999</v>
      </c>
      <c r="F429">
        <v>16498728.74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0.30804715530497151</v>
      </c>
      <c r="Q429">
        <f t="shared" si="975"/>
        <v>5082386.4545053765</v>
      </c>
      <c r="R429">
        <f t="shared" si="976"/>
        <v>591613640.49520612</v>
      </c>
      <c r="S429">
        <f t="shared" si="977"/>
        <v>5916.1364049520607</v>
      </c>
      <c r="T429">
        <f t="shared" si="978"/>
        <v>5.9161364049520611</v>
      </c>
    </row>
    <row r="430" spans="1:20" x14ac:dyDescent="0.25">
      <c r="A430" s="5">
        <v>44163</v>
      </c>
      <c r="B430">
        <v>2.8734000000000002</v>
      </c>
      <c r="C430">
        <v>3.0731000000000002</v>
      </c>
      <c r="D430">
        <v>2.8201999999999998</v>
      </c>
      <c r="E430">
        <v>2.9982000000000002</v>
      </c>
      <c r="F430">
        <v>19030456.760000002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0.40767101621194257</v>
      </c>
      <c r="Q430">
        <f t="shared" si="975"/>
        <v>7758165.6463266332</v>
      </c>
      <c r="R430">
        <f t="shared" si="976"/>
        <v>586531254.04070079</v>
      </c>
      <c r="S430">
        <f t="shared" si="977"/>
        <v>5865.3125404070079</v>
      </c>
      <c r="T430">
        <f t="shared" si="978"/>
        <v>5.8653125404070074</v>
      </c>
    </row>
    <row r="431" spans="1:20" x14ac:dyDescent="0.25">
      <c r="A431" s="5">
        <v>44162</v>
      </c>
      <c r="B431">
        <v>2.9523999999999999</v>
      </c>
      <c r="C431">
        <v>3.03</v>
      </c>
      <c r="D431">
        <v>2.7532000000000001</v>
      </c>
      <c r="E431">
        <v>2.8734000000000002</v>
      </c>
      <c r="F431">
        <v>24009942.960000001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-0.13150289017340888</v>
      </c>
      <c r="Q431">
        <f t="shared" si="975"/>
        <v>-3157376.8921386921</v>
      </c>
      <c r="R431">
        <f t="shared" si="976"/>
        <v>578773088.39437413</v>
      </c>
      <c r="S431">
        <f t="shared" si="977"/>
        <v>5787.730883943741</v>
      </c>
      <c r="T431">
        <f t="shared" si="978"/>
        <v>5.7877308839437411</v>
      </c>
    </row>
    <row r="432" spans="1:20" x14ac:dyDescent="0.25">
      <c r="A432" s="5">
        <v>44161</v>
      </c>
      <c r="B432">
        <v>3.4247999999999998</v>
      </c>
      <c r="C432">
        <v>3.532</v>
      </c>
      <c r="D432">
        <v>2.7052999999999998</v>
      </c>
      <c r="E432">
        <v>2.9521999999999999</v>
      </c>
      <c r="F432">
        <v>58593382.07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-0.40268537558969381</v>
      </c>
      <c r="Q432">
        <f t="shared" si="975"/>
        <v>-23594698.065928381</v>
      </c>
      <c r="R432">
        <f t="shared" si="976"/>
        <v>581930465.28651285</v>
      </c>
      <c r="S432">
        <f t="shared" si="977"/>
        <v>5819.3046528651284</v>
      </c>
      <c r="T432">
        <f t="shared" si="978"/>
        <v>5.8193046528651289</v>
      </c>
    </row>
    <row r="433" spans="1:20" x14ac:dyDescent="0.25">
      <c r="A433" s="5">
        <v>44160</v>
      </c>
      <c r="B433">
        <v>3.5990000000000002</v>
      </c>
      <c r="C433">
        <v>3.8801999999999999</v>
      </c>
      <c r="D433">
        <v>3.3037000000000001</v>
      </c>
      <c r="E433">
        <v>3.4247000000000001</v>
      </c>
      <c r="F433">
        <v>42122344.920000002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-0.58022549869904583</v>
      </c>
      <c r="Q433">
        <f t="shared" si="975"/>
        <v>-24440458.587580219</v>
      </c>
      <c r="R433">
        <f t="shared" si="976"/>
        <v>605525163.35244119</v>
      </c>
      <c r="S433">
        <f t="shared" si="977"/>
        <v>6055.2516335244118</v>
      </c>
      <c r="T433">
        <f t="shared" si="978"/>
        <v>6.0552516335244118</v>
      </c>
    </row>
    <row r="434" spans="1:20" x14ac:dyDescent="0.25">
      <c r="A434" s="5">
        <v>44159</v>
      </c>
      <c r="B434">
        <v>3.3780000000000001</v>
      </c>
      <c r="C434">
        <v>3.7761</v>
      </c>
      <c r="D434">
        <v>3.3285</v>
      </c>
      <c r="E434">
        <v>3.5987</v>
      </c>
      <c r="F434">
        <v>49169188.390000001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0.20732797140303841</v>
      </c>
      <c r="Q434">
        <f t="shared" si="975"/>
        <v>10194148.084432527</v>
      </c>
      <c r="R434">
        <f t="shared" si="976"/>
        <v>629965621.9400214</v>
      </c>
      <c r="S434">
        <f t="shared" si="977"/>
        <v>6299.6562194002136</v>
      </c>
      <c r="T434">
        <f t="shared" si="978"/>
        <v>6.2996562194002133</v>
      </c>
    </row>
    <row r="435" spans="1:20" x14ac:dyDescent="0.25">
      <c r="A435" s="5">
        <v>44158</v>
      </c>
      <c r="B435">
        <v>3.0636999999999999</v>
      </c>
      <c r="C435">
        <v>3.4</v>
      </c>
      <c r="D435">
        <v>2.9946999999999999</v>
      </c>
      <c r="E435">
        <v>3.3788999999999998</v>
      </c>
      <c r="F435">
        <v>42578449.469999999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0.89587959536146011</v>
      </c>
      <c r="Q435">
        <f t="shared" si="975"/>
        <v>38145164.082301974</v>
      </c>
      <c r="R435">
        <f t="shared" si="976"/>
        <v>619771473.85558891</v>
      </c>
      <c r="S435">
        <f t="shared" si="977"/>
        <v>6197.7147385558892</v>
      </c>
      <c r="T435">
        <f t="shared" si="978"/>
        <v>6.1977147385558888</v>
      </c>
    </row>
    <row r="436" spans="1:20" x14ac:dyDescent="0.25">
      <c r="A436" s="5">
        <v>44157</v>
      </c>
      <c r="B436">
        <v>3.2319</v>
      </c>
      <c r="C436">
        <v>3.3050999999999999</v>
      </c>
      <c r="D436">
        <v>2.8961000000000001</v>
      </c>
      <c r="E436">
        <v>3.0632999999999999</v>
      </c>
      <c r="F436">
        <v>40566393.079999998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-0.18239608801956053</v>
      </c>
      <c r="Q436">
        <f t="shared" si="975"/>
        <v>-7399151.4028557707</v>
      </c>
      <c r="R436">
        <f t="shared" si="976"/>
        <v>581626309.77328694</v>
      </c>
      <c r="S436">
        <f t="shared" si="977"/>
        <v>5816.263097732869</v>
      </c>
      <c r="T436">
        <f t="shared" si="978"/>
        <v>5.8162630977328691</v>
      </c>
    </row>
    <row r="437" spans="1:20" x14ac:dyDescent="0.25">
      <c r="A437" s="5">
        <v>44156</v>
      </c>
      <c r="B437">
        <v>2.7801999999999998</v>
      </c>
      <c r="C437">
        <v>3.2585999999999999</v>
      </c>
      <c r="D437">
        <v>2.6880999999999999</v>
      </c>
      <c r="E437">
        <v>3.2305999999999999</v>
      </c>
      <c r="F437">
        <v>48331723.32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0.90184049079754591</v>
      </c>
      <c r="Q437">
        <f t="shared" si="975"/>
        <v>43587505.079999998</v>
      </c>
      <c r="R437">
        <f t="shared" si="976"/>
        <v>589025461.17614269</v>
      </c>
      <c r="S437">
        <f t="shared" si="977"/>
        <v>5890.2546117614265</v>
      </c>
      <c r="T437">
        <f t="shared" si="978"/>
        <v>5.890254611761427</v>
      </c>
    </row>
    <row r="438" spans="1:20" x14ac:dyDescent="0.25">
      <c r="A438" s="5">
        <v>44155</v>
      </c>
      <c r="B438">
        <v>2.6358000000000001</v>
      </c>
      <c r="C438">
        <v>2.8285999999999998</v>
      </c>
      <c r="D438">
        <v>2.6333000000000002</v>
      </c>
      <c r="E438">
        <v>2.7797999999999998</v>
      </c>
      <c r="F438">
        <v>18542539.879999999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0.50025601638504802</v>
      </c>
      <c r="Q438">
        <f t="shared" si="975"/>
        <v>9276017.1340296865</v>
      </c>
      <c r="R438">
        <f t="shared" si="976"/>
        <v>545437956.09614265</v>
      </c>
      <c r="S438">
        <f t="shared" si="977"/>
        <v>5454.3795609614263</v>
      </c>
      <c r="T438">
        <f t="shared" si="978"/>
        <v>5.4543795609614261</v>
      </c>
    </row>
    <row r="439" spans="1:20" x14ac:dyDescent="0.25">
      <c r="A439" s="5">
        <v>44154</v>
      </c>
      <c r="B439">
        <v>2.6381999999999999</v>
      </c>
      <c r="C439">
        <v>2.7</v>
      </c>
      <c r="D439">
        <v>2.5594000000000001</v>
      </c>
      <c r="E439">
        <v>2.6362999999999999</v>
      </c>
      <c r="F439">
        <v>10989620.24</v>
      </c>
      <c r="G439">
        <v>0</v>
      </c>
      <c r="L439" t="s">
        <v>8</v>
      </c>
      <c r="M439" t="s">
        <v>8</v>
      </c>
      <c r="N439" t="s">
        <v>7</v>
      </c>
      <c r="P439">
        <f t="shared" si="974"/>
        <v>9.3883357041247714E-2</v>
      </c>
      <c r="Q439">
        <f t="shared" si="975"/>
        <v>1031742.4407396424</v>
      </c>
      <c r="R439">
        <f t="shared" si="976"/>
        <v>536161938.96211296</v>
      </c>
      <c r="S439">
        <f t="shared" si="977"/>
        <v>5361.6193896211298</v>
      </c>
      <c r="T439">
        <f t="shared" si="978"/>
        <v>5.3616193896211302</v>
      </c>
    </row>
    <row r="440" spans="1:20" x14ac:dyDescent="0.25">
      <c r="A440" s="5">
        <v>44153</v>
      </c>
      <c r="B440">
        <v>2.7157</v>
      </c>
      <c r="C440">
        <v>2.7323</v>
      </c>
      <c r="D440">
        <v>2.4476</v>
      </c>
      <c r="E440">
        <v>2.6371000000000002</v>
      </c>
      <c r="F440">
        <v>19787146.16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0.33122585177379876</v>
      </c>
      <c r="Q440">
        <f t="shared" si="975"/>
        <v>6554014.3410186516</v>
      </c>
      <c r="R440">
        <f t="shared" si="976"/>
        <v>535130196.52137333</v>
      </c>
      <c r="S440">
        <f t="shared" si="977"/>
        <v>5351.3019652137336</v>
      </c>
      <c r="T440">
        <f t="shared" si="978"/>
        <v>5.3513019652137332</v>
      </c>
    </row>
    <row r="441" spans="1:20" x14ac:dyDescent="0.25">
      <c r="A441" s="5">
        <v>44152</v>
      </c>
      <c r="B441">
        <v>2.5825999999999998</v>
      </c>
      <c r="C441">
        <v>2.7559</v>
      </c>
      <c r="D441">
        <v>2.5752000000000002</v>
      </c>
      <c r="E441">
        <v>2.7162000000000002</v>
      </c>
      <c r="F441">
        <v>17182505.300000001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0.56059767570559071</v>
      </c>
      <c r="Q441">
        <f t="shared" si="975"/>
        <v>9632472.5339789949</v>
      </c>
      <c r="R441">
        <f t="shared" si="976"/>
        <v>528576182.18035465</v>
      </c>
      <c r="S441">
        <f t="shared" si="977"/>
        <v>5285.7618218035468</v>
      </c>
      <c r="T441">
        <f t="shared" si="978"/>
        <v>5.2857618218035469</v>
      </c>
    </row>
    <row r="442" spans="1:20" x14ac:dyDescent="0.25">
      <c r="A442" s="5">
        <v>44151</v>
      </c>
      <c r="B442">
        <v>2.4961000000000002</v>
      </c>
      <c r="C442">
        <v>2.6055999999999999</v>
      </c>
      <c r="D442">
        <v>2.4855999999999998</v>
      </c>
      <c r="E442">
        <v>2.5830000000000002</v>
      </c>
      <c r="F442">
        <v>8258090.1699999999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0.62333333333333818</v>
      </c>
      <c r="Q442">
        <f t="shared" si="975"/>
        <v>5147542.8726333734</v>
      </c>
      <c r="R442">
        <f t="shared" si="976"/>
        <v>518943709.64637566</v>
      </c>
      <c r="S442">
        <f t="shared" si="977"/>
        <v>5189.4370964637565</v>
      </c>
      <c r="T442">
        <f t="shared" si="978"/>
        <v>5.1894370964637568</v>
      </c>
    </row>
    <row r="443" spans="1:20" x14ac:dyDescent="0.25">
      <c r="A443" s="5">
        <v>44150</v>
      </c>
      <c r="B443">
        <v>2.5358999999999998</v>
      </c>
      <c r="C443">
        <v>2.5476000000000001</v>
      </c>
      <c r="D443">
        <v>2.4691000000000001</v>
      </c>
      <c r="E443">
        <v>2.4961000000000002</v>
      </c>
      <c r="F443">
        <v>5833997.7300000004</v>
      </c>
      <c r="G443">
        <v>0</v>
      </c>
      <c r="L443" t="s">
        <v>7</v>
      </c>
      <c r="M443" t="s">
        <v>7</v>
      </c>
      <c r="N443" t="s">
        <v>7</v>
      </c>
      <c r="P443">
        <f t="shared" si="974"/>
        <v>-0.31210191082802219</v>
      </c>
      <c r="Q443">
        <f t="shared" si="975"/>
        <v>-1820801.839299344</v>
      </c>
      <c r="R443">
        <f t="shared" si="976"/>
        <v>513796166.77374226</v>
      </c>
      <c r="S443">
        <f t="shared" si="977"/>
        <v>5137.9616677374224</v>
      </c>
      <c r="T443">
        <f t="shared" si="978"/>
        <v>5.1379616677374225</v>
      </c>
    </row>
    <row r="444" spans="1:20" x14ac:dyDescent="0.25">
      <c r="A444" s="5">
        <v>44149</v>
      </c>
      <c r="B444">
        <v>2.5985</v>
      </c>
      <c r="C444">
        <v>2.6107999999999998</v>
      </c>
      <c r="D444">
        <v>2.4961000000000002</v>
      </c>
      <c r="E444">
        <v>2.5358999999999998</v>
      </c>
      <c r="F444">
        <v>6908392.6500000004</v>
      </c>
      <c r="G444">
        <v>0</v>
      </c>
      <c r="L444" t="s">
        <v>8</v>
      </c>
      <c r="M444" t="s">
        <v>7</v>
      </c>
      <c r="N444" t="s">
        <v>7</v>
      </c>
      <c r="P444">
        <f t="shared" si="974"/>
        <v>-0.30601569311247151</v>
      </c>
      <c r="Q444">
        <f t="shared" si="975"/>
        <v>-2114076.5650828541</v>
      </c>
      <c r="R444">
        <f t="shared" si="976"/>
        <v>515616968.61304158</v>
      </c>
      <c r="S444">
        <f t="shared" si="977"/>
        <v>5156.1696861304154</v>
      </c>
      <c r="T444">
        <f t="shared" si="978"/>
        <v>5.1561696861304149</v>
      </c>
    </row>
    <row r="445" spans="1:20" x14ac:dyDescent="0.25">
      <c r="A445" s="5">
        <v>44148</v>
      </c>
      <c r="B445">
        <v>2.4624000000000001</v>
      </c>
      <c r="C445">
        <v>2.64</v>
      </c>
      <c r="D445">
        <v>2.4552999999999998</v>
      </c>
      <c r="E445">
        <v>2.5981999999999998</v>
      </c>
      <c r="F445">
        <v>10104959.939999999</v>
      </c>
      <c r="G445">
        <v>0</v>
      </c>
      <c r="L445" t="s">
        <v>8</v>
      </c>
      <c r="M445" t="s">
        <v>7</v>
      </c>
      <c r="N445" t="s">
        <v>7</v>
      </c>
      <c r="P445">
        <f t="shared" si="974"/>
        <v>0.54737412019490839</v>
      </c>
      <c r="Q445">
        <f t="shared" si="975"/>
        <v>5531193.5567622939</v>
      </c>
      <c r="R445">
        <f t="shared" si="976"/>
        <v>517731045.17812443</v>
      </c>
      <c r="S445">
        <f t="shared" si="977"/>
        <v>5177.3104517812444</v>
      </c>
      <c r="T445">
        <f t="shared" si="978"/>
        <v>5.1773104517812447</v>
      </c>
    </row>
    <row r="446" spans="1:20" x14ac:dyDescent="0.25">
      <c r="A446" s="5">
        <v>44147</v>
      </c>
      <c r="B446">
        <v>2.4981</v>
      </c>
      <c r="C446">
        <v>2.5041000000000002</v>
      </c>
      <c r="D446">
        <v>2.4319999999999999</v>
      </c>
      <c r="E446">
        <v>2.4632000000000001</v>
      </c>
      <c r="F446">
        <v>6988557.2699999996</v>
      </c>
      <c r="G446">
        <v>0</v>
      </c>
      <c r="L446" t="s">
        <v>7</v>
      </c>
      <c r="M446" t="s">
        <v>7</v>
      </c>
      <c r="N446" t="s">
        <v>7</v>
      </c>
      <c r="P446">
        <f t="shared" si="974"/>
        <v>-0.13453536754507636</v>
      </c>
      <c r="Q446">
        <f t="shared" si="975"/>
        <v>-940208.12092926539</v>
      </c>
      <c r="R446">
        <f t="shared" si="976"/>
        <v>512199851.62136215</v>
      </c>
      <c r="S446">
        <f t="shared" si="977"/>
        <v>5121.9985162136218</v>
      </c>
      <c r="T446">
        <f t="shared" si="978"/>
        <v>5.1219985162136217</v>
      </c>
    </row>
    <row r="447" spans="1:20" x14ac:dyDescent="0.25">
      <c r="A447" s="5">
        <v>44146</v>
      </c>
      <c r="B447">
        <v>2.4980000000000002</v>
      </c>
      <c r="C447">
        <v>2.5392000000000001</v>
      </c>
      <c r="D447">
        <v>2.4918999999999998</v>
      </c>
      <c r="E447">
        <v>2.4982000000000002</v>
      </c>
      <c r="F447">
        <v>4874289.08</v>
      </c>
      <c r="G447">
        <v>0</v>
      </c>
      <c r="L447" t="s">
        <v>8</v>
      </c>
      <c r="M447" t="s">
        <v>7</v>
      </c>
      <c r="N447" t="s">
        <v>7</v>
      </c>
      <c r="P447">
        <f t="shared" si="974"/>
        <v>-0.73361522198729934</v>
      </c>
      <c r="Q447">
        <f t="shared" si="975"/>
        <v>-3575852.6654544692</v>
      </c>
      <c r="R447">
        <f t="shared" si="976"/>
        <v>513140059.74229139</v>
      </c>
      <c r="S447">
        <f t="shared" si="977"/>
        <v>5131.400597422914</v>
      </c>
      <c r="T447">
        <f t="shared" si="978"/>
        <v>5.131400597422914</v>
      </c>
    </row>
    <row r="448" spans="1:20" x14ac:dyDescent="0.25">
      <c r="A448" s="5">
        <v>44145</v>
      </c>
      <c r="B448">
        <v>2.4975000000000001</v>
      </c>
      <c r="C448">
        <v>2.5282</v>
      </c>
      <c r="D448">
        <v>2.476</v>
      </c>
      <c r="E448">
        <v>2.4980000000000002</v>
      </c>
      <c r="F448">
        <v>5413255.4299999997</v>
      </c>
      <c r="G448">
        <v>0</v>
      </c>
      <c r="L448" t="s">
        <v>8</v>
      </c>
      <c r="M448" t="s">
        <v>7</v>
      </c>
      <c r="N448" t="s">
        <v>7</v>
      </c>
      <c r="P448">
        <f t="shared" si="974"/>
        <v>-0.15708812260535512</v>
      </c>
      <c r="Q448">
        <f t="shared" si="975"/>
        <v>-850358.13268194429</v>
      </c>
      <c r="R448">
        <f t="shared" si="976"/>
        <v>516715912.40774584</v>
      </c>
      <c r="S448">
        <f t="shared" si="977"/>
        <v>5167.1591240774587</v>
      </c>
      <c r="T448">
        <f t="shared" si="978"/>
        <v>5.1671591240774584</v>
      </c>
    </row>
    <row r="449" spans="1:20" x14ac:dyDescent="0.25">
      <c r="A449" s="5">
        <v>44144</v>
      </c>
      <c r="B449">
        <v>2.5356000000000001</v>
      </c>
      <c r="C449">
        <v>2.5588000000000002</v>
      </c>
      <c r="D449">
        <v>2.4571999999999998</v>
      </c>
      <c r="E449">
        <v>2.4975000000000001</v>
      </c>
      <c r="F449">
        <v>6274076.9100000001</v>
      </c>
      <c r="G449">
        <v>0</v>
      </c>
      <c r="L449" t="s">
        <v>8</v>
      </c>
      <c r="M449" t="s">
        <v>7</v>
      </c>
      <c r="N449" t="s">
        <v>7</v>
      </c>
      <c r="P449">
        <f t="shared" si="974"/>
        <v>-0.20669291338582513</v>
      </c>
      <c r="Q449">
        <f t="shared" si="975"/>
        <v>-1296807.2353346355</v>
      </c>
      <c r="R449">
        <f t="shared" si="976"/>
        <v>517566270.5404278</v>
      </c>
      <c r="S449">
        <f t="shared" si="977"/>
        <v>5175.6627054042783</v>
      </c>
      <c r="T449">
        <f t="shared" si="978"/>
        <v>5.1756627054042781</v>
      </c>
    </row>
    <row r="450" spans="1:20" x14ac:dyDescent="0.25">
      <c r="A450" s="5">
        <v>44143</v>
      </c>
      <c r="B450">
        <v>2.4971000000000001</v>
      </c>
      <c r="C450">
        <v>2.5630000000000002</v>
      </c>
      <c r="D450">
        <v>2.4826999999999999</v>
      </c>
      <c r="E450">
        <v>2.5360999999999998</v>
      </c>
      <c r="F450">
        <v>5149937.99</v>
      </c>
      <c r="G450">
        <v>0</v>
      </c>
      <c r="L450" t="s">
        <v>8</v>
      </c>
      <c r="M450" t="s">
        <v>7</v>
      </c>
      <c r="N450" t="s">
        <v>7</v>
      </c>
      <c r="P450">
        <f t="shared" si="974"/>
        <v>0.33001245330011753</v>
      </c>
      <c r="Q450">
        <f t="shared" si="975"/>
        <v>1699543.6704233761</v>
      </c>
      <c r="R450">
        <f t="shared" si="976"/>
        <v>518863077.77576244</v>
      </c>
      <c r="S450">
        <f t="shared" si="977"/>
        <v>5188.6307777576239</v>
      </c>
      <c r="T450">
        <f t="shared" si="978"/>
        <v>5.1886307777576244</v>
      </c>
    </row>
    <row r="451" spans="1:20" x14ac:dyDescent="0.25">
      <c r="A451" s="5">
        <v>44142</v>
      </c>
      <c r="B451">
        <v>2.5348000000000002</v>
      </c>
      <c r="C451">
        <v>2.6261999999999999</v>
      </c>
      <c r="D451">
        <v>2.4462999999999999</v>
      </c>
      <c r="E451">
        <v>2.4971000000000001</v>
      </c>
      <c r="F451">
        <v>13337578.26</v>
      </c>
      <c r="G451">
        <v>0</v>
      </c>
      <c r="L451" t="s">
        <v>8</v>
      </c>
      <c r="M451" t="s">
        <v>7</v>
      </c>
      <c r="N451" t="s">
        <v>7</v>
      </c>
      <c r="P451">
        <f t="shared" si="974"/>
        <v>-0.43524180100055371</v>
      </c>
      <c r="Q451">
        <f t="shared" si="975"/>
        <v>-5805071.5828682315</v>
      </c>
      <c r="R451">
        <f t="shared" si="976"/>
        <v>517163534.10533905</v>
      </c>
      <c r="S451">
        <f t="shared" si="977"/>
        <v>5171.6353410533902</v>
      </c>
      <c r="T451">
        <f t="shared" si="978"/>
        <v>5.1716353410533902</v>
      </c>
    </row>
    <row r="452" spans="1:20" x14ac:dyDescent="0.25">
      <c r="A452" s="5">
        <v>44141</v>
      </c>
      <c r="B452">
        <v>2.4466999999999999</v>
      </c>
      <c r="C452">
        <v>2.5449999999999999</v>
      </c>
      <c r="D452">
        <v>2.4378000000000002</v>
      </c>
      <c r="E452">
        <v>2.5348999999999999</v>
      </c>
      <c r="F452">
        <v>12903400.779999999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0.81156716417910402</v>
      </c>
      <c r="Q452">
        <f t="shared" si="975"/>
        <v>10471976.379291039</v>
      </c>
      <c r="R452">
        <f t="shared" si="976"/>
        <v>522968605.68820727</v>
      </c>
      <c r="S452">
        <f t="shared" si="977"/>
        <v>5229.686056882073</v>
      </c>
      <c r="T452">
        <f t="shared" si="978"/>
        <v>5.2296860568820733</v>
      </c>
    </row>
    <row r="453" spans="1:20" x14ac:dyDescent="0.25">
      <c r="A453" s="5">
        <v>44140</v>
      </c>
      <c r="B453">
        <v>2.3506</v>
      </c>
      <c r="C453">
        <v>2.4891000000000001</v>
      </c>
      <c r="D453">
        <v>2.3494999999999999</v>
      </c>
      <c r="E453">
        <v>2.4464000000000001</v>
      </c>
      <c r="F453">
        <v>12180086.720000001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0.388252148997136</v>
      </c>
      <c r="Q453">
        <f t="shared" si="975"/>
        <v>4728944.8440114781</v>
      </c>
      <c r="R453">
        <f t="shared" si="976"/>
        <v>512496629.30891621</v>
      </c>
      <c r="S453">
        <f t="shared" si="977"/>
        <v>5124.9662930891618</v>
      </c>
      <c r="T453">
        <f t="shared" si="978"/>
        <v>5.1249662930891615</v>
      </c>
    </row>
    <row r="454" spans="1:20" x14ac:dyDescent="0.25">
      <c r="A454" s="5">
        <v>44139</v>
      </c>
      <c r="B454">
        <v>2.3652000000000002</v>
      </c>
      <c r="C454">
        <v>2.3752</v>
      </c>
      <c r="D454">
        <v>2.29</v>
      </c>
      <c r="E454">
        <v>2.3506</v>
      </c>
      <c r="F454">
        <v>7808043.0599999996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0.42253521126760629</v>
      </c>
      <c r="Q454">
        <f t="shared" ref="Q454:Q517" si="980">F454*P454</f>
        <v>3299173.1239436669</v>
      </c>
      <c r="R454">
        <f t="shared" ref="R454:R517" si="981">R455+Q454</f>
        <v>507767684.46490473</v>
      </c>
      <c r="S454">
        <f t="shared" ref="S454:S517" si="982">R454/100000</f>
        <v>5077.6768446490469</v>
      </c>
      <c r="T454">
        <f t="shared" ref="T454:T517" si="983">S454/1000</f>
        <v>5.077676844649047</v>
      </c>
    </row>
    <row r="455" spans="1:20" x14ac:dyDescent="0.25">
      <c r="A455" s="5">
        <v>44138</v>
      </c>
      <c r="B455">
        <v>2.4331999999999998</v>
      </c>
      <c r="C455">
        <v>2.4432</v>
      </c>
      <c r="D455">
        <v>2.2259000000000002</v>
      </c>
      <c r="E455">
        <v>2.3654999999999999</v>
      </c>
      <c r="F455">
        <v>13815918.08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0.28485964104923917</v>
      </c>
      <c r="Q455">
        <f t="shared" si="980"/>
        <v>3935597.4650344937</v>
      </c>
      <c r="R455">
        <f t="shared" si="981"/>
        <v>504468511.34096104</v>
      </c>
      <c r="S455">
        <f t="shared" si="982"/>
        <v>5044.6851134096105</v>
      </c>
      <c r="T455">
        <f t="shared" si="983"/>
        <v>5.0446851134096109</v>
      </c>
    </row>
    <row r="456" spans="1:20" x14ac:dyDescent="0.25">
      <c r="A456" s="5">
        <v>44137</v>
      </c>
      <c r="B456">
        <v>2.5186000000000002</v>
      </c>
      <c r="C456">
        <v>2.5503</v>
      </c>
      <c r="D456">
        <v>2.4091</v>
      </c>
      <c r="E456">
        <v>2.4329999999999998</v>
      </c>
      <c r="F456">
        <v>8610468.7100000009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-0.66147308781869951</v>
      </c>
      <c r="Q456">
        <f t="shared" si="980"/>
        <v>-5695593.3251699945</v>
      </c>
      <c r="R456">
        <f t="shared" si="981"/>
        <v>500532913.87592655</v>
      </c>
      <c r="S456">
        <f t="shared" si="982"/>
        <v>5005.3291387592653</v>
      </c>
      <c r="T456">
        <f t="shared" si="983"/>
        <v>5.0053291387592651</v>
      </c>
    </row>
    <row r="457" spans="1:20" x14ac:dyDescent="0.25">
      <c r="A457" s="5">
        <v>44136</v>
      </c>
      <c r="B457">
        <v>2.5278999999999998</v>
      </c>
      <c r="C457">
        <v>2.5406</v>
      </c>
      <c r="D457">
        <v>2.4548000000000001</v>
      </c>
      <c r="E457">
        <v>2.5185</v>
      </c>
      <c r="F457">
        <v>4276592.54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0.48484848484848392</v>
      </c>
      <c r="Q457">
        <f t="shared" si="980"/>
        <v>2073499.4133333294</v>
      </c>
      <c r="R457">
        <f t="shared" si="981"/>
        <v>506228507.20109653</v>
      </c>
      <c r="S457">
        <f t="shared" si="982"/>
        <v>5062.2850720109655</v>
      </c>
      <c r="T457">
        <f t="shared" si="983"/>
        <v>5.0622850720109653</v>
      </c>
    </row>
    <row r="458" spans="1:20" x14ac:dyDescent="0.25">
      <c r="A458" s="5">
        <v>44135</v>
      </c>
      <c r="B458">
        <v>2.5070999999999999</v>
      </c>
      <c r="C458">
        <v>2.5665</v>
      </c>
      <c r="D458">
        <v>2.4939</v>
      </c>
      <c r="E458">
        <v>2.528</v>
      </c>
      <c r="F458">
        <v>5946231.5300000003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-6.0606060606060053E-2</v>
      </c>
      <c r="Q458">
        <f t="shared" si="980"/>
        <v>-360377.6684848452</v>
      </c>
      <c r="R458">
        <f t="shared" si="981"/>
        <v>504155007.78776318</v>
      </c>
      <c r="S458">
        <f t="shared" si="982"/>
        <v>5041.5500778776313</v>
      </c>
      <c r="T458">
        <f t="shared" si="983"/>
        <v>5.0415500778776314</v>
      </c>
    </row>
    <row r="459" spans="1:20" x14ac:dyDescent="0.25">
      <c r="A459" s="5">
        <v>44134</v>
      </c>
      <c r="B459">
        <v>2.6385999999999998</v>
      </c>
      <c r="C459">
        <v>2.6469</v>
      </c>
      <c r="D459">
        <v>2.4035000000000002</v>
      </c>
      <c r="E459">
        <v>2.5068000000000001</v>
      </c>
      <c r="F459">
        <v>13459280.970000001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-0.15119145439605575</v>
      </c>
      <c r="Q459">
        <f t="shared" si="980"/>
        <v>-2034928.2649794561</v>
      </c>
      <c r="R459">
        <f t="shared" si="981"/>
        <v>504515385.45624804</v>
      </c>
      <c r="S459">
        <f t="shared" si="982"/>
        <v>5045.1538545624808</v>
      </c>
      <c r="T459">
        <f t="shared" si="983"/>
        <v>5.0451538545624803</v>
      </c>
    </row>
    <row r="460" spans="1:20" x14ac:dyDescent="0.25">
      <c r="A460" s="5">
        <v>44133</v>
      </c>
      <c r="B460">
        <v>2.6520000000000001</v>
      </c>
      <c r="C460">
        <v>2.6798000000000002</v>
      </c>
      <c r="D460">
        <v>2.6011000000000002</v>
      </c>
      <c r="E460">
        <v>2.6387</v>
      </c>
      <c r="F460">
        <v>6578696.29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-4.4472681067347919E-2</v>
      </c>
      <c r="Q460">
        <f t="shared" si="980"/>
        <v>-292572.26194411499</v>
      </c>
      <c r="R460">
        <f t="shared" si="981"/>
        <v>506550313.72122753</v>
      </c>
      <c r="S460">
        <f t="shared" si="982"/>
        <v>5065.5031372122749</v>
      </c>
      <c r="T460">
        <f t="shared" si="983"/>
        <v>5.065503137212275</v>
      </c>
    </row>
    <row r="461" spans="1:20" x14ac:dyDescent="0.25">
      <c r="A461" s="5">
        <v>44132</v>
      </c>
      <c r="B461">
        <v>2.6735000000000002</v>
      </c>
      <c r="C461">
        <v>2.7541000000000002</v>
      </c>
      <c r="D461">
        <v>2.621</v>
      </c>
      <c r="E461">
        <v>2.6524000000000001</v>
      </c>
      <c r="F461">
        <v>11763103.369999999</v>
      </c>
      <c r="G461">
        <v>0</v>
      </c>
      <c r="L461" t="s">
        <v>8</v>
      </c>
      <c r="M461" t="s">
        <v>7</v>
      </c>
      <c r="N461" t="s">
        <v>7</v>
      </c>
      <c r="P461">
        <f t="shared" si="979"/>
        <v>-0.52817430503380847</v>
      </c>
      <c r="Q461">
        <f t="shared" si="980"/>
        <v>-6212968.9474905999</v>
      </c>
      <c r="R461">
        <f t="shared" si="981"/>
        <v>506842885.98317164</v>
      </c>
      <c r="S461">
        <f t="shared" si="982"/>
        <v>5068.4288598317162</v>
      </c>
      <c r="T461">
        <f t="shared" si="983"/>
        <v>5.068428859831716</v>
      </c>
    </row>
    <row r="462" spans="1:20" x14ac:dyDescent="0.25">
      <c r="A462" s="5">
        <v>44131</v>
      </c>
      <c r="B462">
        <v>2.6295000000000002</v>
      </c>
      <c r="C462">
        <v>2.6964999999999999</v>
      </c>
      <c r="D462">
        <v>2.6267999999999998</v>
      </c>
      <c r="E462">
        <v>2.6739000000000002</v>
      </c>
      <c r="F462">
        <v>5532423.7699999996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0.3515064562410416</v>
      </c>
      <c r="Q462">
        <f t="shared" si="980"/>
        <v>1944682.6738164031</v>
      </c>
      <c r="R462">
        <f t="shared" si="981"/>
        <v>513055854.93066221</v>
      </c>
      <c r="S462">
        <f t="shared" si="982"/>
        <v>5130.5585493066219</v>
      </c>
      <c r="T462">
        <f t="shared" si="983"/>
        <v>5.1305585493066221</v>
      </c>
    </row>
    <row r="463" spans="1:20" x14ac:dyDescent="0.25">
      <c r="A463" s="5">
        <v>44130</v>
      </c>
      <c r="B463">
        <v>2.7071999999999998</v>
      </c>
      <c r="C463">
        <v>2.7496</v>
      </c>
      <c r="D463">
        <v>2.5918000000000001</v>
      </c>
      <c r="E463">
        <v>2.6291000000000002</v>
      </c>
      <c r="F463">
        <v>10409838.33</v>
      </c>
      <c r="G463">
        <v>0</v>
      </c>
      <c r="L463" t="s">
        <v>8</v>
      </c>
      <c r="M463" t="s">
        <v>7</v>
      </c>
      <c r="N463" t="s">
        <v>7</v>
      </c>
      <c r="P463">
        <f t="shared" si="979"/>
        <v>-0.52724968314321763</v>
      </c>
      <c r="Q463">
        <f t="shared" si="980"/>
        <v>-5488583.9610646218</v>
      </c>
      <c r="R463">
        <f t="shared" si="981"/>
        <v>511111172.25684583</v>
      </c>
      <c r="S463">
        <f t="shared" si="982"/>
        <v>5111.1117225684584</v>
      </c>
      <c r="T463">
        <f t="shared" si="983"/>
        <v>5.1111117225684586</v>
      </c>
    </row>
    <row r="464" spans="1:20" x14ac:dyDescent="0.25">
      <c r="A464" s="5">
        <v>44129</v>
      </c>
      <c r="B464">
        <v>2.6594000000000002</v>
      </c>
      <c r="C464">
        <v>2.738</v>
      </c>
      <c r="D464">
        <v>2.6181000000000001</v>
      </c>
      <c r="E464">
        <v>2.7073999999999998</v>
      </c>
      <c r="F464">
        <v>6792693.8399999999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0.48957464553794477</v>
      </c>
      <c r="Q464">
        <f t="shared" si="980"/>
        <v>3325530.6789657809</v>
      </c>
      <c r="R464">
        <f t="shared" si="981"/>
        <v>516599756.21791047</v>
      </c>
      <c r="S464">
        <f t="shared" si="982"/>
        <v>5165.9975621791045</v>
      </c>
      <c r="T464">
        <f t="shared" si="983"/>
        <v>5.1659975621791041</v>
      </c>
    </row>
    <row r="465" spans="1:20" x14ac:dyDescent="0.25">
      <c r="A465" s="5">
        <v>44128</v>
      </c>
      <c r="B465">
        <v>2.6393</v>
      </c>
      <c r="C465">
        <v>2.67</v>
      </c>
      <c r="D465">
        <v>2.6139999999999999</v>
      </c>
      <c r="E465">
        <v>2.6597</v>
      </c>
      <c r="F465">
        <v>3906214.81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0.63214285714285834</v>
      </c>
      <c r="Q465">
        <f t="shared" si="980"/>
        <v>2469285.7906071474</v>
      </c>
      <c r="R465">
        <f t="shared" si="981"/>
        <v>513274225.53894466</v>
      </c>
      <c r="S465">
        <f t="shared" si="982"/>
        <v>5132.7422553894467</v>
      </c>
      <c r="T465">
        <f t="shared" si="983"/>
        <v>5.1327422553894468</v>
      </c>
    </row>
    <row r="466" spans="1:20" x14ac:dyDescent="0.25">
      <c r="A466" s="5">
        <v>44127</v>
      </c>
      <c r="B466">
        <v>2.6694</v>
      </c>
      <c r="C466">
        <v>2.6842000000000001</v>
      </c>
      <c r="D466">
        <v>2.5992000000000002</v>
      </c>
      <c r="E466">
        <v>2.6395</v>
      </c>
      <c r="F466">
        <v>6959185.7599999998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-5.1764705882357709E-2</v>
      </c>
      <c r="Q466">
        <f t="shared" si="980"/>
        <v>-360240.204047092</v>
      </c>
      <c r="R466">
        <f t="shared" si="981"/>
        <v>510804939.74833751</v>
      </c>
      <c r="S466">
        <f t="shared" si="982"/>
        <v>5108.0493974833753</v>
      </c>
      <c r="T466">
        <f t="shared" si="983"/>
        <v>5.1080493974833754</v>
      </c>
    </row>
    <row r="467" spans="1:20" x14ac:dyDescent="0.25">
      <c r="A467" s="5">
        <v>44126</v>
      </c>
      <c r="B467">
        <v>2.6053999999999999</v>
      </c>
      <c r="C467">
        <v>2.7044999999999999</v>
      </c>
      <c r="D467">
        <v>2.6034999999999999</v>
      </c>
      <c r="E467">
        <v>2.6692999999999998</v>
      </c>
      <c r="F467">
        <v>9918977.6799999997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0.30297029702970046</v>
      </c>
      <c r="Q467">
        <f t="shared" si="980"/>
        <v>3005155.6139405691</v>
      </c>
      <c r="R467">
        <f t="shared" si="981"/>
        <v>511165179.95238459</v>
      </c>
      <c r="S467">
        <f t="shared" si="982"/>
        <v>5111.6517995238455</v>
      </c>
      <c r="T467">
        <f t="shared" si="983"/>
        <v>5.1116517995238455</v>
      </c>
    </row>
    <row r="468" spans="1:20" x14ac:dyDescent="0.25">
      <c r="A468" s="5">
        <v>44125</v>
      </c>
      <c r="B468">
        <v>2.5263</v>
      </c>
      <c r="C468">
        <v>2.6549999999999998</v>
      </c>
      <c r="D468">
        <v>2.5215000000000001</v>
      </c>
      <c r="E468">
        <v>2.6055000000000001</v>
      </c>
      <c r="F468">
        <v>11791033.470000001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0.25842696629213852</v>
      </c>
      <c r="Q468">
        <f t="shared" si="980"/>
        <v>3047121.0091011673</v>
      </c>
      <c r="R468">
        <f t="shared" si="981"/>
        <v>508160024.33844399</v>
      </c>
      <c r="S468">
        <f t="shared" si="982"/>
        <v>5081.6002433844396</v>
      </c>
      <c r="T468">
        <f t="shared" si="983"/>
        <v>5.0816002433844396</v>
      </c>
    </row>
    <row r="469" spans="1:20" x14ac:dyDescent="0.25">
      <c r="A469" s="5">
        <v>44124</v>
      </c>
      <c r="B469">
        <v>2.5813999999999999</v>
      </c>
      <c r="C469">
        <v>2.5855999999999999</v>
      </c>
      <c r="D469">
        <v>2.5007000000000001</v>
      </c>
      <c r="E469">
        <v>2.5264000000000002</v>
      </c>
      <c r="F469">
        <v>7665418.3799999999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-0.39458186101295334</v>
      </c>
      <c r="Q469">
        <f t="shared" si="980"/>
        <v>-3024635.0498232981</v>
      </c>
      <c r="R469">
        <f t="shared" si="981"/>
        <v>505112903.32934284</v>
      </c>
      <c r="S469">
        <f t="shared" si="982"/>
        <v>5051.1290332934286</v>
      </c>
      <c r="T469">
        <f t="shared" si="983"/>
        <v>5.0511290332934289</v>
      </c>
    </row>
    <row r="470" spans="1:20" x14ac:dyDescent="0.25">
      <c r="A470" s="5">
        <v>44123</v>
      </c>
      <c r="B470">
        <v>2.5455000000000001</v>
      </c>
      <c r="C470">
        <v>2.6110000000000002</v>
      </c>
      <c r="D470">
        <v>2.5236999999999998</v>
      </c>
      <c r="E470">
        <v>2.5819000000000001</v>
      </c>
      <c r="F470">
        <v>6620719.3300000001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0.33333333333333331</v>
      </c>
      <c r="Q470">
        <f t="shared" si="980"/>
        <v>2206906.4433333334</v>
      </c>
      <c r="R470">
        <f t="shared" si="981"/>
        <v>508137538.37916613</v>
      </c>
      <c r="S470">
        <f t="shared" si="982"/>
        <v>5081.3753837916611</v>
      </c>
      <c r="T470">
        <f t="shared" si="983"/>
        <v>5.0813753837916611</v>
      </c>
    </row>
    <row r="471" spans="1:20" x14ac:dyDescent="0.25">
      <c r="A471" s="5">
        <v>44122</v>
      </c>
      <c r="B471">
        <v>2.5217000000000001</v>
      </c>
      <c r="C471">
        <v>2.5569000000000002</v>
      </c>
      <c r="D471">
        <v>2.5177</v>
      </c>
      <c r="E471">
        <v>2.5459000000000001</v>
      </c>
      <c r="F471">
        <v>3171318.89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0.43877551020407723</v>
      </c>
      <c r="Q471">
        <f t="shared" si="980"/>
        <v>1391497.063979578</v>
      </c>
      <c r="R471">
        <f t="shared" si="981"/>
        <v>505930631.9358328</v>
      </c>
      <c r="S471">
        <f t="shared" si="982"/>
        <v>5059.3063193583284</v>
      </c>
      <c r="T471">
        <f t="shared" si="983"/>
        <v>5.0593063193583285</v>
      </c>
    </row>
    <row r="472" spans="1:20" x14ac:dyDescent="0.25">
      <c r="A472" s="5">
        <v>44121</v>
      </c>
      <c r="B472">
        <v>2.5377999999999998</v>
      </c>
      <c r="C472">
        <v>2.5489000000000002</v>
      </c>
      <c r="D472">
        <v>2.5036</v>
      </c>
      <c r="E472">
        <v>2.5217000000000001</v>
      </c>
      <c r="F472">
        <v>4641493.9400000004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-0.20088300220750738</v>
      </c>
      <c r="Q472">
        <f t="shared" si="980"/>
        <v>-932397.23739515222</v>
      </c>
      <c r="R472">
        <f t="shared" si="981"/>
        <v>504539134.87185323</v>
      </c>
      <c r="S472">
        <f t="shared" si="982"/>
        <v>5045.3913487185328</v>
      </c>
      <c r="T472">
        <f t="shared" si="983"/>
        <v>5.0453913487185327</v>
      </c>
    </row>
    <row r="473" spans="1:20" x14ac:dyDescent="0.25">
      <c r="A473" s="5">
        <v>44120</v>
      </c>
      <c r="B473">
        <v>2.5981000000000001</v>
      </c>
      <c r="C473">
        <v>2.6107999999999998</v>
      </c>
      <c r="D473">
        <v>2.4910999999999999</v>
      </c>
      <c r="E473">
        <v>2.5362</v>
      </c>
      <c r="F473">
        <v>9757793.3599999994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-0.24644945697576992</v>
      </c>
      <c r="Q473">
        <f t="shared" si="980"/>
        <v>-2404802.874853773</v>
      </c>
      <c r="R473">
        <f t="shared" si="981"/>
        <v>505471532.1092484</v>
      </c>
      <c r="S473">
        <f t="shared" si="982"/>
        <v>5054.7153210924844</v>
      </c>
      <c r="T473">
        <f t="shared" si="983"/>
        <v>5.054715321092484</v>
      </c>
    </row>
    <row r="474" spans="1:20" x14ac:dyDescent="0.25">
      <c r="A474" s="5">
        <v>44119</v>
      </c>
      <c r="B474">
        <v>2.6067999999999998</v>
      </c>
      <c r="C474">
        <v>2.6280000000000001</v>
      </c>
      <c r="D474">
        <v>2.5823999999999998</v>
      </c>
      <c r="E474">
        <v>2.5985</v>
      </c>
      <c r="F474">
        <v>6105948.6100000003</v>
      </c>
      <c r="G474">
        <v>0</v>
      </c>
      <c r="L474" t="s">
        <v>8</v>
      </c>
      <c r="M474" t="s">
        <v>7</v>
      </c>
      <c r="N474" t="s">
        <v>7</v>
      </c>
      <c r="P474">
        <f t="shared" si="979"/>
        <v>-0.29385964912280188</v>
      </c>
      <c r="Q474">
        <f t="shared" si="980"/>
        <v>-1794291.9160964601</v>
      </c>
      <c r="R474">
        <f t="shared" si="981"/>
        <v>507876334.98410219</v>
      </c>
      <c r="S474">
        <f t="shared" si="982"/>
        <v>5078.7633498410223</v>
      </c>
      <c r="T474">
        <f t="shared" si="983"/>
        <v>5.0787633498410223</v>
      </c>
    </row>
    <row r="475" spans="1:20" x14ac:dyDescent="0.25">
      <c r="A475" s="5">
        <v>44118</v>
      </c>
      <c r="B475">
        <v>2.6383000000000001</v>
      </c>
      <c r="C475">
        <v>2.6516000000000002</v>
      </c>
      <c r="D475">
        <v>2.5804</v>
      </c>
      <c r="E475">
        <v>2.6065</v>
      </c>
      <c r="F475">
        <v>6416013.0899999999</v>
      </c>
      <c r="G475">
        <v>0</v>
      </c>
      <c r="L475" t="s">
        <v>8</v>
      </c>
      <c r="M475" t="s">
        <v>7</v>
      </c>
      <c r="N475" t="s">
        <v>7</v>
      </c>
      <c r="P475">
        <f t="shared" si="979"/>
        <v>-0.26685393258427087</v>
      </c>
      <c r="Q475">
        <f t="shared" si="980"/>
        <v>-1712138.3245786594</v>
      </c>
      <c r="R475">
        <f t="shared" si="981"/>
        <v>509670626.90019864</v>
      </c>
      <c r="S475">
        <f t="shared" si="982"/>
        <v>5096.7062690019866</v>
      </c>
      <c r="T475">
        <f t="shared" si="983"/>
        <v>5.0967062690019862</v>
      </c>
    </row>
    <row r="476" spans="1:20" x14ac:dyDescent="0.25">
      <c r="A476" s="5">
        <v>44117</v>
      </c>
      <c r="B476">
        <v>2.6427999999999998</v>
      </c>
      <c r="C476">
        <v>2.6655000000000002</v>
      </c>
      <c r="D476">
        <v>2.6103999999999998</v>
      </c>
      <c r="E476">
        <v>2.6383000000000001</v>
      </c>
      <c r="F476">
        <v>7832610.7000000002</v>
      </c>
      <c r="G476">
        <v>0</v>
      </c>
      <c r="L476" t="s">
        <v>8</v>
      </c>
      <c r="M476" t="s">
        <v>7</v>
      </c>
      <c r="N476" t="s">
        <v>7</v>
      </c>
      <c r="P476">
        <f t="shared" si="979"/>
        <v>1.2704174228677681E-2</v>
      </c>
      <c r="Q476">
        <f t="shared" si="980"/>
        <v>99506.85099820506</v>
      </c>
      <c r="R476">
        <f t="shared" si="981"/>
        <v>511382765.22477728</v>
      </c>
      <c r="S476">
        <f t="shared" si="982"/>
        <v>5113.8276522477727</v>
      </c>
      <c r="T476">
        <f t="shared" si="983"/>
        <v>5.1138276522477728</v>
      </c>
    </row>
    <row r="477" spans="1:20" x14ac:dyDescent="0.25">
      <c r="A477" s="5">
        <v>44116</v>
      </c>
      <c r="B477">
        <v>2.6574</v>
      </c>
      <c r="C477">
        <v>2.6823999999999999</v>
      </c>
      <c r="D477">
        <v>2.6074999999999999</v>
      </c>
      <c r="E477">
        <v>2.6427999999999998</v>
      </c>
      <c r="F477">
        <v>11318415.210000001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-5.7409879839788978E-2</v>
      </c>
      <c r="Q477">
        <f t="shared" si="980"/>
        <v>-649788.85718294</v>
      </c>
      <c r="R477">
        <f t="shared" si="981"/>
        <v>511283258.37377906</v>
      </c>
      <c r="S477">
        <f t="shared" si="982"/>
        <v>5112.8325837377906</v>
      </c>
      <c r="T477">
        <f t="shared" si="983"/>
        <v>5.1128325837377906</v>
      </c>
    </row>
    <row r="478" spans="1:20" x14ac:dyDescent="0.25">
      <c r="A478" s="5">
        <v>44115</v>
      </c>
      <c r="B478">
        <v>2.6414</v>
      </c>
      <c r="C478">
        <v>2.6859999999999999</v>
      </c>
      <c r="D478">
        <v>2.6150000000000002</v>
      </c>
      <c r="E478">
        <v>2.6576</v>
      </c>
      <c r="F478">
        <v>6672391.3399999999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0.19999999999999749</v>
      </c>
      <c r="Q478">
        <f t="shared" si="980"/>
        <v>1334478.2679999832</v>
      </c>
      <c r="R478">
        <f t="shared" si="981"/>
        <v>511933047.23096198</v>
      </c>
      <c r="S478">
        <f t="shared" si="982"/>
        <v>5119.3304723096198</v>
      </c>
      <c r="T478">
        <f t="shared" si="983"/>
        <v>5.1193304723096196</v>
      </c>
    </row>
    <row r="479" spans="1:20" x14ac:dyDescent="0.25">
      <c r="A479" s="5">
        <v>44114</v>
      </c>
      <c r="B479">
        <v>2.6404999999999998</v>
      </c>
      <c r="C479">
        <v>2.7187999999999999</v>
      </c>
      <c r="D479">
        <v>2.633</v>
      </c>
      <c r="E479">
        <v>2.6415000000000002</v>
      </c>
      <c r="F479">
        <v>8199375.4100000001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-0.80186480186479747</v>
      </c>
      <c r="Q479">
        <f t="shared" si="980"/>
        <v>-6574790.5385547429</v>
      </c>
      <c r="R479">
        <f t="shared" si="981"/>
        <v>510598568.96296197</v>
      </c>
      <c r="S479">
        <f t="shared" si="982"/>
        <v>5105.9856896296196</v>
      </c>
      <c r="T479">
        <f t="shared" si="983"/>
        <v>5.1059856896296196</v>
      </c>
    </row>
    <row r="480" spans="1:20" x14ac:dyDescent="0.25">
      <c r="A480" s="5">
        <v>44113</v>
      </c>
      <c r="B480">
        <v>2.6065</v>
      </c>
      <c r="C480">
        <v>2.6568000000000001</v>
      </c>
      <c r="D480">
        <v>2.5804999999999998</v>
      </c>
      <c r="E480">
        <v>2.6406000000000001</v>
      </c>
      <c r="F480">
        <v>8543238.6699999999</v>
      </c>
      <c r="G480">
        <v>0</v>
      </c>
      <c r="L480" t="s">
        <v>7</v>
      </c>
      <c r="M480" t="s">
        <v>7</v>
      </c>
      <c r="N480" t="s">
        <v>7</v>
      </c>
      <c r="P480">
        <f t="shared" si="979"/>
        <v>0.57536041939711824</v>
      </c>
      <c r="Q480">
        <f t="shared" si="980"/>
        <v>4915441.3841808783</v>
      </c>
      <c r="R480">
        <f t="shared" si="981"/>
        <v>517173359.5015167</v>
      </c>
      <c r="S480">
        <f t="shared" si="982"/>
        <v>5171.7335950151673</v>
      </c>
      <c r="T480">
        <f t="shared" si="983"/>
        <v>5.1717335950151675</v>
      </c>
    </row>
    <row r="481" spans="1:20" x14ac:dyDescent="0.25">
      <c r="A481" s="5">
        <v>44112</v>
      </c>
      <c r="B481">
        <v>2.6440000000000001</v>
      </c>
      <c r="C481">
        <v>2.6539000000000001</v>
      </c>
      <c r="D481">
        <v>2.4944000000000002</v>
      </c>
      <c r="E481">
        <v>2.6065999999999998</v>
      </c>
      <c r="F481">
        <v>14694845.07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0.40689655172413353</v>
      </c>
      <c r="Q481">
        <f t="shared" si="980"/>
        <v>5979281.7871033838</v>
      </c>
      <c r="R481">
        <f t="shared" si="981"/>
        <v>512257918.1173358</v>
      </c>
      <c r="S481">
        <f t="shared" si="982"/>
        <v>5122.5791811733579</v>
      </c>
      <c r="T481">
        <f t="shared" si="983"/>
        <v>5.1225791811733581</v>
      </c>
    </row>
    <row r="482" spans="1:20" x14ac:dyDescent="0.25">
      <c r="A482" s="5">
        <v>44111</v>
      </c>
      <c r="B482">
        <v>2.6959</v>
      </c>
      <c r="C482">
        <v>2.7166999999999999</v>
      </c>
      <c r="D482">
        <v>2.5922000000000001</v>
      </c>
      <c r="E482">
        <v>2.6436000000000002</v>
      </c>
      <c r="F482">
        <v>19167906.5</v>
      </c>
      <c r="G482">
        <v>0</v>
      </c>
      <c r="L482" t="s">
        <v>7</v>
      </c>
      <c r="M482" t="s">
        <v>8</v>
      </c>
      <c r="N482" t="s">
        <v>7</v>
      </c>
      <c r="P482">
        <f t="shared" si="979"/>
        <v>-0.17429718875501718</v>
      </c>
      <c r="Q482">
        <f t="shared" si="980"/>
        <v>-3340912.2172690206</v>
      </c>
      <c r="R482">
        <f t="shared" si="981"/>
        <v>506278636.33023244</v>
      </c>
      <c r="S482">
        <f t="shared" si="982"/>
        <v>5062.7863633023244</v>
      </c>
      <c r="T482">
        <f t="shared" si="983"/>
        <v>5.0627863633023242</v>
      </c>
    </row>
    <row r="483" spans="1:20" x14ac:dyDescent="0.25">
      <c r="A483" s="5">
        <v>44110</v>
      </c>
      <c r="B483">
        <v>2.5261999999999998</v>
      </c>
      <c r="C483">
        <v>2.9710999999999999</v>
      </c>
      <c r="D483">
        <v>2.4857999999999998</v>
      </c>
      <c r="E483">
        <v>2.6959</v>
      </c>
      <c r="F483">
        <v>39521912.509999998</v>
      </c>
      <c r="G483">
        <v>0</v>
      </c>
      <c r="L483" t="s">
        <v>8</v>
      </c>
      <c r="M483" t="s">
        <v>8</v>
      </c>
      <c r="N483" t="s">
        <v>7</v>
      </c>
      <c r="P483">
        <f t="shared" si="979"/>
        <v>-0.13414382855965321</v>
      </c>
      <c r="Q483">
        <f t="shared" si="980"/>
        <v>-5301620.656091053</v>
      </c>
      <c r="R483">
        <f t="shared" si="981"/>
        <v>509619548.54750144</v>
      </c>
      <c r="S483">
        <f t="shared" si="982"/>
        <v>5096.1954854750147</v>
      </c>
      <c r="T483">
        <f t="shared" si="983"/>
        <v>5.0961954854750147</v>
      </c>
    </row>
    <row r="484" spans="1:20" x14ac:dyDescent="0.25">
      <c r="A484" s="5">
        <v>44109</v>
      </c>
      <c r="B484">
        <v>2.5171999999999999</v>
      </c>
      <c r="C484">
        <v>2.5377999999999998</v>
      </c>
      <c r="D484">
        <v>2.4895999999999998</v>
      </c>
      <c r="E484">
        <v>2.5257000000000001</v>
      </c>
      <c r="F484">
        <v>4975314.38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0.49792531120332895</v>
      </c>
      <c r="Q484">
        <f t="shared" si="980"/>
        <v>2477334.9609958977</v>
      </c>
      <c r="R484">
        <f t="shared" si="981"/>
        <v>514921169.20359248</v>
      </c>
      <c r="S484">
        <f t="shared" si="982"/>
        <v>5149.2116920359249</v>
      </c>
      <c r="T484">
        <f t="shared" si="983"/>
        <v>5.1492116920359248</v>
      </c>
    </row>
    <row r="485" spans="1:20" x14ac:dyDescent="0.25">
      <c r="A485" s="5">
        <v>44108</v>
      </c>
      <c r="B485">
        <v>2.4777</v>
      </c>
      <c r="C485">
        <v>2.5341999999999998</v>
      </c>
      <c r="D485">
        <v>2.4645000000000001</v>
      </c>
      <c r="E485">
        <v>2.5175999999999998</v>
      </c>
      <c r="F485">
        <v>5213723.42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0.52367288378766053</v>
      </c>
      <c r="Q485">
        <f t="shared" si="980"/>
        <v>2730285.5786226639</v>
      </c>
      <c r="R485">
        <f t="shared" si="981"/>
        <v>512443834.24259657</v>
      </c>
      <c r="S485">
        <f t="shared" si="982"/>
        <v>5124.4383424259659</v>
      </c>
      <c r="T485">
        <f t="shared" si="983"/>
        <v>5.1244383424259663</v>
      </c>
    </row>
    <row r="486" spans="1:20" x14ac:dyDescent="0.25">
      <c r="A486" s="5">
        <v>44107</v>
      </c>
      <c r="B486">
        <v>2.4792000000000001</v>
      </c>
      <c r="C486">
        <v>2.5017</v>
      </c>
      <c r="D486">
        <v>2.4674999999999998</v>
      </c>
      <c r="E486">
        <v>2.4786000000000001</v>
      </c>
      <c r="F486">
        <v>3208406.62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-0.35087719298244108</v>
      </c>
      <c r="Q486">
        <f t="shared" si="980"/>
        <v>-1125756.7087718816</v>
      </c>
      <c r="R486">
        <f t="shared" si="981"/>
        <v>509713548.66397393</v>
      </c>
      <c r="S486">
        <f t="shared" si="982"/>
        <v>5097.1354866397396</v>
      </c>
      <c r="T486">
        <f t="shared" si="983"/>
        <v>5.0971354866397398</v>
      </c>
    </row>
    <row r="487" spans="1:20" x14ac:dyDescent="0.25">
      <c r="A487" s="5">
        <v>44106</v>
      </c>
      <c r="B487">
        <v>2.544</v>
      </c>
      <c r="C487">
        <v>2.5575999999999999</v>
      </c>
      <c r="D487">
        <v>2.4131999999999998</v>
      </c>
      <c r="E487">
        <v>2.4786999999999999</v>
      </c>
      <c r="F487">
        <v>8132938.5800000001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-9.2797783933516953E-2</v>
      </c>
      <c r="Q487">
        <f t="shared" si="980"/>
        <v>-754718.67709140421</v>
      </c>
      <c r="R487">
        <f t="shared" si="981"/>
        <v>510839305.37274581</v>
      </c>
      <c r="S487">
        <f t="shared" si="982"/>
        <v>5108.3930537274582</v>
      </c>
      <c r="T487">
        <f t="shared" si="983"/>
        <v>5.1083930537274584</v>
      </c>
    </row>
    <row r="488" spans="1:20" x14ac:dyDescent="0.25">
      <c r="A488" s="5">
        <v>44105</v>
      </c>
      <c r="B488">
        <v>2.5775999999999999</v>
      </c>
      <c r="C488">
        <v>2.6320000000000001</v>
      </c>
      <c r="D488">
        <v>2.4861</v>
      </c>
      <c r="E488">
        <v>2.5446</v>
      </c>
      <c r="F488">
        <v>7519319.6699999999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-0.19808087731322907</v>
      </c>
      <c r="Q488">
        <f t="shared" si="980"/>
        <v>-1489433.4370322202</v>
      </c>
      <c r="R488">
        <f t="shared" si="981"/>
        <v>511594024.04983723</v>
      </c>
      <c r="S488">
        <f t="shared" si="982"/>
        <v>5115.9402404983721</v>
      </c>
      <c r="T488">
        <f t="shared" si="983"/>
        <v>5.1159402404983725</v>
      </c>
    </row>
    <row r="489" spans="1:20" x14ac:dyDescent="0.25">
      <c r="A489" s="5">
        <v>44104</v>
      </c>
      <c r="B489">
        <v>2.5994000000000002</v>
      </c>
      <c r="C489">
        <v>2.6000999999999999</v>
      </c>
      <c r="D489">
        <v>2.5556000000000001</v>
      </c>
      <c r="E489">
        <v>2.5777000000000001</v>
      </c>
      <c r="F489">
        <v>5077013.1500000004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-6.7415730337021694E-3</v>
      </c>
      <c r="Q489">
        <f t="shared" si="980"/>
        <v>-34227.054943791307</v>
      </c>
      <c r="R489">
        <f t="shared" si="981"/>
        <v>513083457.48686945</v>
      </c>
      <c r="S489">
        <f t="shared" si="982"/>
        <v>5130.8345748686943</v>
      </c>
      <c r="T489">
        <f t="shared" si="983"/>
        <v>5.1308345748686941</v>
      </c>
    </row>
    <row r="490" spans="1:20" x14ac:dyDescent="0.25">
      <c r="A490" s="5">
        <v>44103</v>
      </c>
      <c r="B490">
        <v>2.5625</v>
      </c>
      <c r="C490">
        <v>2.6029</v>
      </c>
      <c r="D490">
        <v>2.5539000000000001</v>
      </c>
      <c r="E490">
        <v>2.5994999999999999</v>
      </c>
      <c r="F490">
        <v>6145092.3799999999</v>
      </c>
      <c r="G490">
        <v>0</v>
      </c>
      <c r="L490" t="s">
        <v>8</v>
      </c>
      <c r="M490" t="s">
        <v>7</v>
      </c>
      <c r="N490" t="s">
        <v>7</v>
      </c>
      <c r="P490">
        <f t="shared" si="979"/>
        <v>0.86122448979591537</v>
      </c>
      <c r="Q490">
        <f t="shared" si="980"/>
        <v>5292304.0497142673</v>
      </c>
      <c r="R490">
        <f t="shared" si="981"/>
        <v>513117684.54181325</v>
      </c>
      <c r="S490">
        <f t="shared" si="982"/>
        <v>5131.1768454181329</v>
      </c>
      <c r="T490">
        <f t="shared" si="983"/>
        <v>5.1311768454181328</v>
      </c>
    </row>
    <row r="491" spans="1:20" x14ac:dyDescent="0.25">
      <c r="A491" s="5">
        <v>44102</v>
      </c>
      <c r="B491">
        <v>2.5897000000000001</v>
      </c>
      <c r="C491">
        <v>2.6333000000000002</v>
      </c>
      <c r="D491">
        <v>2.5503</v>
      </c>
      <c r="E491">
        <v>2.5626000000000002</v>
      </c>
      <c r="F491">
        <v>9444420.8499999996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-0.70361445783132115</v>
      </c>
      <c r="Q491">
        <f t="shared" si="980"/>
        <v>-6645231.0559035754</v>
      </c>
      <c r="R491">
        <f t="shared" si="981"/>
        <v>507825380.49209899</v>
      </c>
      <c r="S491">
        <f t="shared" si="982"/>
        <v>5078.2538049209898</v>
      </c>
      <c r="T491">
        <f t="shared" si="983"/>
        <v>5.0782538049209895</v>
      </c>
    </row>
    <row r="492" spans="1:20" x14ac:dyDescent="0.25">
      <c r="A492" s="5">
        <v>44101</v>
      </c>
      <c r="B492">
        <v>2.5655000000000001</v>
      </c>
      <c r="C492">
        <v>2.6011000000000002</v>
      </c>
      <c r="D492">
        <v>2.5264000000000002</v>
      </c>
      <c r="E492">
        <v>2.5897000000000001</v>
      </c>
      <c r="F492">
        <v>6135356.9699999997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0.69477911646586132</v>
      </c>
      <c r="Q492">
        <f t="shared" si="980"/>
        <v>4262717.8948192643</v>
      </c>
      <c r="R492">
        <f t="shared" si="981"/>
        <v>514470611.54800254</v>
      </c>
      <c r="S492">
        <f t="shared" si="982"/>
        <v>5144.7061154800258</v>
      </c>
      <c r="T492">
        <f t="shared" si="983"/>
        <v>5.1447061154800258</v>
      </c>
    </row>
    <row r="493" spans="1:20" x14ac:dyDescent="0.25">
      <c r="A493" s="5">
        <v>44100</v>
      </c>
      <c r="B493">
        <v>2.544</v>
      </c>
      <c r="C493">
        <v>2.6057999999999999</v>
      </c>
      <c r="D493">
        <v>2.5051000000000001</v>
      </c>
      <c r="E493">
        <v>2.5655000000000001</v>
      </c>
      <c r="F493">
        <v>6104966.5599999996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0.19960278053624897</v>
      </c>
      <c r="Q493">
        <f t="shared" si="980"/>
        <v>1218568.3004568187</v>
      </c>
      <c r="R493">
        <f t="shared" si="981"/>
        <v>510207893.65318328</v>
      </c>
      <c r="S493">
        <f t="shared" si="982"/>
        <v>5102.0789365318324</v>
      </c>
      <c r="T493">
        <f t="shared" si="983"/>
        <v>5.1020789365318322</v>
      </c>
    </row>
    <row r="494" spans="1:20" x14ac:dyDescent="0.25">
      <c r="A494" s="5">
        <v>44099</v>
      </c>
      <c r="B494">
        <v>2.5344000000000002</v>
      </c>
      <c r="C494">
        <v>2.5634999999999999</v>
      </c>
      <c r="D494">
        <v>2.4628999999999999</v>
      </c>
      <c r="E494">
        <v>2.5445000000000002</v>
      </c>
      <c r="F494">
        <v>9169817.9199999999</v>
      </c>
      <c r="G494">
        <v>0</v>
      </c>
      <c r="L494" t="s">
        <v>7</v>
      </c>
      <c r="M494" t="s">
        <v>7</v>
      </c>
      <c r="N494" t="s">
        <v>7</v>
      </c>
      <c r="P494">
        <f t="shared" si="979"/>
        <v>0.62226640159046365</v>
      </c>
      <c r="Q494">
        <f t="shared" si="980"/>
        <v>5706069.6003181497</v>
      </c>
      <c r="R494">
        <f t="shared" si="981"/>
        <v>508989325.35272646</v>
      </c>
      <c r="S494">
        <f t="shared" si="982"/>
        <v>5089.8932535272643</v>
      </c>
      <c r="T494">
        <f t="shared" si="983"/>
        <v>5.0898932535272641</v>
      </c>
    </row>
    <row r="495" spans="1:20" x14ac:dyDescent="0.25">
      <c r="A495" s="5">
        <v>44098</v>
      </c>
      <c r="B495">
        <v>2.4422999999999999</v>
      </c>
      <c r="C495">
        <v>2.5611999999999999</v>
      </c>
      <c r="D495">
        <v>2.4239000000000002</v>
      </c>
      <c r="E495">
        <v>2.5337000000000001</v>
      </c>
      <c r="F495">
        <v>8392178.9199999999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0.59941733430444422</v>
      </c>
      <c r="Q495">
        <f t="shared" si="980"/>
        <v>5030417.5172323491</v>
      </c>
      <c r="R495">
        <f t="shared" si="981"/>
        <v>503283255.75240833</v>
      </c>
      <c r="S495">
        <f t="shared" si="982"/>
        <v>5032.8325575240833</v>
      </c>
      <c r="T495">
        <f t="shared" si="983"/>
        <v>5.0328325575240829</v>
      </c>
    </row>
    <row r="496" spans="1:20" x14ac:dyDescent="0.25">
      <c r="A496" s="5">
        <v>44097</v>
      </c>
      <c r="B496">
        <v>2.5718999999999999</v>
      </c>
      <c r="C496">
        <v>2.5785</v>
      </c>
      <c r="D496">
        <v>2.3906999999999998</v>
      </c>
      <c r="E496">
        <v>2.4422999999999999</v>
      </c>
      <c r="F496">
        <v>7620003.3399999999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-0.45047923322683664</v>
      </c>
      <c r="Q496">
        <f t="shared" si="980"/>
        <v>-3432653.2617891342</v>
      </c>
      <c r="R496">
        <f t="shared" si="981"/>
        <v>498252838.23517597</v>
      </c>
      <c r="S496">
        <f t="shared" si="982"/>
        <v>4982.5283823517593</v>
      </c>
      <c r="T496">
        <f t="shared" si="983"/>
        <v>4.9825283823517594</v>
      </c>
    </row>
    <row r="497" spans="1:20" x14ac:dyDescent="0.25">
      <c r="A497" s="5">
        <v>44096</v>
      </c>
      <c r="B497">
        <v>2.5051000000000001</v>
      </c>
      <c r="C497">
        <v>2.5849000000000002</v>
      </c>
      <c r="D497">
        <v>2.4866999999999999</v>
      </c>
      <c r="E497">
        <v>2.5718000000000001</v>
      </c>
      <c r="F497">
        <v>6639827.21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0.73319755600814518</v>
      </c>
      <c r="Q497">
        <f t="shared" si="980"/>
        <v>4868305.082688381</v>
      </c>
      <c r="R497">
        <f t="shared" si="981"/>
        <v>501685491.49696511</v>
      </c>
      <c r="S497">
        <f t="shared" si="982"/>
        <v>5016.854914969651</v>
      </c>
      <c r="T497">
        <f t="shared" si="983"/>
        <v>5.0168549149696506</v>
      </c>
    </row>
    <row r="498" spans="1:20" x14ac:dyDescent="0.25">
      <c r="A498" s="5">
        <v>44095</v>
      </c>
      <c r="B498">
        <v>2.6726999999999999</v>
      </c>
      <c r="C498">
        <v>2.6894999999999998</v>
      </c>
      <c r="D498">
        <v>2.4897</v>
      </c>
      <c r="E498">
        <v>2.5051000000000001</v>
      </c>
      <c r="F498">
        <v>11704230.68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-0.84584584584584488</v>
      </c>
      <c r="Q498">
        <f t="shared" si="980"/>
        <v>-9899974.8994994871</v>
      </c>
      <c r="R498">
        <f t="shared" si="981"/>
        <v>496817186.41427672</v>
      </c>
      <c r="S498">
        <f t="shared" si="982"/>
        <v>4968.1718641427669</v>
      </c>
      <c r="T498">
        <f t="shared" si="983"/>
        <v>4.968171864142767</v>
      </c>
    </row>
    <row r="499" spans="1:20" x14ac:dyDescent="0.25">
      <c r="A499" s="5">
        <v>44094</v>
      </c>
      <c r="B499">
        <v>2.7017000000000002</v>
      </c>
      <c r="C499">
        <v>2.7017000000000002</v>
      </c>
      <c r="D499">
        <v>2.6229</v>
      </c>
      <c r="E499">
        <v>2.6715</v>
      </c>
      <c r="F499">
        <v>5718243.29</v>
      </c>
      <c r="G499">
        <v>0</v>
      </c>
      <c r="L499" t="s">
        <v>8</v>
      </c>
      <c r="M499" t="s">
        <v>7</v>
      </c>
      <c r="N499" t="s">
        <v>7</v>
      </c>
      <c r="P499">
        <f t="shared" si="979"/>
        <v>0.23350253807106222</v>
      </c>
      <c r="Q499">
        <f t="shared" si="980"/>
        <v>1335224.3215228212</v>
      </c>
      <c r="R499">
        <f t="shared" si="981"/>
        <v>506717161.3137762</v>
      </c>
      <c r="S499">
        <f t="shared" si="982"/>
        <v>5067.1716131377616</v>
      </c>
      <c r="T499">
        <f t="shared" si="983"/>
        <v>5.067171613137762</v>
      </c>
    </row>
    <row r="500" spans="1:20" x14ac:dyDescent="0.25">
      <c r="A500" s="5">
        <v>44093</v>
      </c>
      <c r="B500">
        <v>2.6905000000000001</v>
      </c>
      <c r="C500">
        <v>2.7376999999999998</v>
      </c>
      <c r="D500">
        <v>2.6789000000000001</v>
      </c>
      <c r="E500">
        <v>2.7031000000000001</v>
      </c>
      <c r="F500">
        <v>5617629.8899999997</v>
      </c>
      <c r="G500">
        <v>0</v>
      </c>
      <c r="L500" t="s">
        <v>8</v>
      </c>
      <c r="M500" t="s">
        <v>7</v>
      </c>
      <c r="N500" t="s">
        <v>7</v>
      </c>
      <c r="P500">
        <f t="shared" si="979"/>
        <v>-0.17687074829931612</v>
      </c>
      <c r="Q500">
        <f t="shared" si="980"/>
        <v>-993594.40231290483</v>
      </c>
      <c r="R500">
        <f t="shared" si="981"/>
        <v>505381936.99225336</v>
      </c>
      <c r="S500">
        <f t="shared" si="982"/>
        <v>5053.819369922534</v>
      </c>
      <c r="T500">
        <f t="shared" si="983"/>
        <v>5.0538193699225342</v>
      </c>
    </row>
    <row r="501" spans="1:20" x14ac:dyDescent="0.25">
      <c r="A501" s="5">
        <v>44092</v>
      </c>
      <c r="B501">
        <v>2.7374999999999998</v>
      </c>
      <c r="C501">
        <v>2.75</v>
      </c>
      <c r="D501">
        <v>2.6490999999999998</v>
      </c>
      <c r="E501">
        <v>2.6905000000000001</v>
      </c>
      <c r="F501">
        <v>9252473.7200000007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-0.17938553022794373</v>
      </c>
      <c r="Q501">
        <f t="shared" si="980"/>
        <v>-1659759.9041823151</v>
      </c>
      <c r="R501">
        <f t="shared" si="981"/>
        <v>506375531.3945663</v>
      </c>
      <c r="S501">
        <f t="shared" si="982"/>
        <v>5063.7553139456631</v>
      </c>
      <c r="T501">
        <f t="shared" si="983"/>
        <v>5.0637553139456628</v>
      </c>
    </row>
    <row r="502" spans="1:20" x14ac:dyDescent="0.25">
      <c r="A502" s="5">
        <v>44091</v>
      </c>
      <c r="B502">
        <v>2.7124000000000001</v>
      </c>
      <c r="C502">
        <v>2.7761</v>
      </c>
      <c r="D502">
        <v>2.694</v>
      </c>
      <c r="E502">
        <v>2.7374999999999998</v>
      </c>
      <c r="F502">
        <v>10099272.939999999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5.9683313032882809E-2</v>
      </c>
      <c r="Q502">
        <f t="shared" si="980"/>
        <v>602758.06828254263</v>
      </c>
      <c r="R502">
        <f t="shared" si="981"/>
        <v>508035291.29874861</v>
      </c>
      <c r="S502">
        <f t="shared" si="982"/>
        <v>5080.352912987486</v>
      </c>
      <c r="T502">
        <f t="shared" si="983"/>
        <v>5.080352912987486</v>
      </c>
    </row>
    <row r="503" spans="1:20" x14ac:dyDescent="0.25">
      <c r="A503" s="5">
        <v>44090</v>
      </c>
      <c r="B503">
        <v>2.7035999999999998</v>
      </c>
      <c r="C503">
        <v>2.7492000000000001</v>
      </c>
      <c r="D503">
        <v>2.5771000000000002</v>
      </c>
      <c r="E503">
        <v>2.7130000000000001</v>
      </c>
      <c r="F503">
        <v>13376622.27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0.57931435212085969</v>
      </c>
      <c r="Q503">
        <f t="shared" si="980"/>
        <v>7749269.2639105134</v>
      </c>
      <c r="R503">
        <f t="shared" si="981"/>
        <v>507432533.23046607</v>
      </c>
      <c r="S503">
        <f t="shared" si="982"/>
        <v>5074.3253323046611</v>
      </c>
      <c r="T503">
        <f t="shared" si="983"/>
        <v>5.0743253323046611</v>
      </c>
    </row>
    <row r="504" spans="1:20" x14ac:dyDescent="0.25">
      <c r="A504" s="5">
        <v>44089</v>
      </c>
      <c r="B504">
        <v>2.7309999999999999</v>
      </c>
      <c r="C504">
        <v>2.7814000000000001</v>
      </c>
      <c r="D504">
        <v>2.6976</v>
      </c>
      <c r="E504">
        <v>2.7033999999999998</v>
      </c>
      <c r="F504">
        <v>10931677.27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-0.86157517899761815</v>
      </c>
      <c r="Q504">
        <f t="shared" si="980"/>
        <v>-9418461.8006444424</v>
      </c>
      <c r="R504">
        <f t="shared" si="981"/>
        <v>499683263.96655554</v>
      </c>
      <c r="S504">
        <f t="shared" si="982"/>
        <v>4996.8326396655557</v>
      </c>
      <c r="T504">
        <f t="shared" si="983"/>
        <v>4.9968326396655556</v>
      </c>
    </row>
    <row r="505" spans="1:20" x14ac:dyDescent="0.25">
      <c r="A505" s="5">
        <v>44088</v>
      </c>
      <c r="B505">
        <v>2.7248999999999999</v>
      </c>
      <c r="C505">
        <v>2.7639999999999998</v>
      </c>
      <c r="D505">
        <v>2.6854</v>
      </c>
      <c r="E505">
        <v>2.7317</v>
      </c>
      <c r="F505">
        <v>8910182.6999999993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0.17811704834605946</v>
      </c>
      <c r="Q505">
        <f t="shared" si="980"/>
        <v>1587055.4427481224</v>
      </c>
      <c r="R505">
        <f t="shared" si="981"/>
        <v>509101725.76719999</v>
      </c>
      <c r="S505">
        <f t="shared" si="982"/>
        <v>5091.0172576719997</v>
      </c>
      <c r="T505">
        <f t="shared" si="983"/>
        <v>5.0910172576720001</v>
      </c>
    </row>
    <row r="506" spans="1:20" x14ac:dyDescent="0.25">
      <c r="A506" s="5">
        <v>44087</v>
      </c>
      <c r="B506">
        <v>2.8046000000000002</v>
      </c>
      <c r="C506">
        <v>2.8269000000000002</v>
      </c>
      <c r="D506">
        <v>2.6726000000000001</v>
      </c>
      <c r="E506">
        <v>2.7248999999999999</v>
      </c>
      <c r="F506">
        <v>10904326.970000001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-0.32209980557356116</v>
      </c>
      <c r="Q506">
        <f t="shared" si="980"/>
        <v>-3512281.5969475396</v>
      </c>
      <c r="R506">
        <f t="shared" si="981"/>
        <v>507514670.32445186</v>
      </c>
      <c r="S506">
        <f t="shared" si="982"/>
        <v>5075.1467032445189</v>
      </c>
      <c r="T506">
        <f t="shared" si="983"/>
        <v>5.0751467032445188</v>
      </c>
    </row>
    <row r="507" spans="1:20" x14ac:dyDescent="0.25">
      <c r="A507" s="5">
        <v>44086</v>
      </c>
      <c r="B507">
        <v>2.7850000000000001</v>
      </c>
      <c r="C507">
        <v>2.8288000000000002</v>
      </c>
      <c r="D507">
        <v>2.7410000000000001</v>
      </c>
      <c r="E507">
        <v>2.8052000000000001</v>
      </c>
      <c r="F507">
        <v>7893987.7800000003</v>
      </c>
      <c r="G507">
        <v>0</v>
      </c>
      <c r="L507" t="s">
        <v>8</v>
      </c>
      <c r="M507" t="s">
        <v>7</v>
      </c>
      <c r="N507" t="s">
        <v>7</v>
      </c>
      <c r="P507">
        <f t="shared" si="979"/>
        <v>0.46241457858769847</v>
      </c>
      <c r="Q507">
        <f t="shared" si="980"/>
        <v>3650295.0326651414</v>
      </c>
      <c r="R507">
        <f t="shared" si="981"/>
        <v>511026951.92139941</v>
      </c>
      <c r="S507">
        <f t="shared" si="982"/>
        <v>5110.2695192139945</v>
      </c>
      <c r="T507">
        <f t="shared" si="983"/>
        <v>5.1102695192139942</v>
      </c>
    </row>
    <row r="508" spans="1:20" x14ac:dyDescent="0.25">
      <c r="A508" s="5">
        <v>44085</v>
      </c>
      <c r="B508">
        <v>2.7759</v>
      </c>
      <c r="C508">
        <v>2.8214000000000001</v>
      </c>
      <c r="D508">
        <v>2.7170999999999998</v>
      </c>
      <c r="E508">
        <v>2.7846000000000002</v>
      </c>
      <c r="F508">
        <v>10953743.359999999</v>
      </c>
      <c r="G508">
        <v>0</v>
      </c>
      <c r="L508" t="s">
        <v>8</v>
      </c>
      <c r="M508" t="s">
        <v>7</v>
      </c>
      <c r="N508" t="s">
        <v>7</v>
      </c>
      <c r="P508">
        <f t="shared" si="979"/>
        <v>0.29434324065196849</v>
      </c>
      <c r="Q508">
        <f t="shared" si="980"/>
        <v>3224160.3178523816</v>
      </c>
      <c r="R508">
        <f t="shared" si="981"/>
        <v>507376656.88873428</v>
      </c>
      <c r="S508">
        <f t="shared" si="982"/>
        <v>5073.7665688873431</v>
      </c>
      <c r="T508">
        <f t="shared" si="983"/>
        <v>5.0737665688873435</v>
      </c>
    </row>
    <row r="509" spans="1:20" x14ac:dyDescent="0.25">
      <c r="A509" s="5">
        <v>44084</v>
      </c>
      <c r="B509">
        <v>2.7513999999999998</v>
      </c>
      <c r="C509">
        <v>2.8418999999999999</v>
      </c>
      <c r="D509">
        <v>2.7376999999999998</v>
      </c>
      <c r="E509">
        <v>2.7766999999999999</v>
      </c>
      <c r="F509">
        <v>11796591.109999999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-0.25143953934740654</v>
      </c>
      <c r="Q509">
        <f t="shared" si="980"/>
        <v>-2966129.4345681109</v>
      </c>
      <c r="R509">
        <f t="shared" si="981"/>
        <v>504152496.5708819</v>
      </c>
      <c r="S509">
        <f t="shared" si="982"/>
        <v>5041.5249657088189</v>
      </c>
      <c r="T509">
        <f t="shared" si="983"/>
        <v>5.0415249657088186</v>
      </c>
    </row>
    <row r="510" spans="1:20" x14ac:dyDescent="0.25">
      <c r="A510" s="5">
        <v>44083</v>
      </c>
      <c r="B510">
        <v>2.762</v>
      </c>
      <c r="C510">
        <v>2.8134000000000001</v>
      </c>
      <c r="D510">
        <v>2.6966000000000001</v>
      </c>
      <c r="E510">
        <v>2.7513999999999998</v>
      </c>
      <c r="F510">
        <v>10566139.48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-6.1643835616442967E-2</v>
      </c>
      <c r="Q510">
        <f t="shared" si="980"/>
        <v>-651337.36520552821</v>
      </c>
      <c r="R510">
        <f t="shared" si="981"/>
        <v>507118626.00545001</v>
      </c>
      <c r="S510">
        <f t="shared" si="982"/>
        <v>5071.1862600545001</v>
      </c>
      <c r="T510">
        <f t="shared" si="983"/>
        <v>5.0711862600544997</v>
      </c>
    </row>
    <row r="511" spans="1:20" x14ac:dyDescent="0.25">
      <c r="A511" s="5">
        <v>44082</v>
      </c>
      <c r="B511">
        <v>2.8536000000000001</v>
      </c>
      <c r="C511">
        <v>2.8593999999999999</v>
      </c>
      <c r="D511">
        <v>2.6707000000000001</v>
      </c>
      <c r="E511">
        <v>2.7622</v>
      </c>
      <c r="F511">
        <v>17445846.309999999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-3.0206677265501018E-2</v>
      </c>
      <c r="Q511">
        <f t="shared" si="980"/>
        <v>-526981.04910970177</v>
      </c>
      <c r="R511">
        <f t="shared" si="981"/>
        <v>507769963.37065554</v>
      </c>
      <c r="S511">
        <f t="shared" si="982"/>
        <v>5077.6996337065557</v>
      </c>
      <c r="T511">
        <f t="shared" si="983"/>
        <v>5.0776996337065556</v>
      </c>
    </row>
    <row r="512" spans="1:20" x14ac:dyDescent="0.25">
      <c r="A512" s="5">
        <v>44081</v>
      </c>
      <c r="B512">
        <v>2.9024999999999999</v>
      </c>
      <c r="C512">
        <v>2.9392999999999998</v>
      </c>
      <c r="D512">
        <v>2.6595</v>
      </c>
      <c r="E512">
        <v>2.8519999999999999</v>
      </c>
      <c r="F512">
        <v>20516121.640000001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0.37598284488920669</v>
      </c>
      <c r="Q512">
        <f t="shared" si="980"/>
        <v>7713709.7803002167</v>
      </c>
      <c r="R512">
        <f t="shared" si="981"/>
        <v>508296944.41976523</v>
      </c>
      <c r="S512">
        <f t="shared" si="982"/>
        <v>5082.9694441976526</v>
      </c>
      <c r="T512">
        <f t="shared" si="983"/>
        <v>5.0829694441976523</v>
      </c>
    </row>
    <row r="513" spans="1:20" x14ac:dyDescent="0.25">
      <c r="A513" s="5">
        <v>44080</v>
      </c>
      <c r="B513">
        <v>2.9390999999999998</v>
      </c>
      <c r="C513">
        <v>3.0335000000000001</v>
      </c>
      <c r="D513">
        <v>2.8100999999999998</v>
      </c>
      <c r="E513">
        <v>2.9024000000000001</v>
      </c>
      <c r="F513">
        <v>20449007.579999998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-0.17367949865711582</v>
      </c>
      <c r="Q513">
        <f t="shared" si="980"/>
        <v>-3551573.3845299608</v>
      </c>
      <c r="R513">
        <f t="shared" si="981"/>
        <v>500583234.63946503</v>
      </c>
      <c r="S513">
        <f t="shared" si="982"/>
        <v>5005.8323463946499</v>
      </c>
      <c r="T513">
        <f t="shared" si="983"/>
        <v>5.0058323463946497</v>
      </c>
    </row>
    <row r="514" spans="1:20" x14ac:dyDescent="0.25">
      <c r="A514" s="5">
        <v>44079</v>
      </c>
      <c r="B514">
        <v>2.9948000000000001</v>
      </c>
      <c r="C514">
        <v>3.1505999999999998</v>
      </c>
      <c r="D514">
        <v>2.7732999999999999</v>
      </c>
      <c r="E514">
        <v>2.9386999999999999</v>
      </c>
      <c r="F514">
        <v>57832664.280000001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-0.12324410283593955</v>
      </c>
      <c r="Q514">
        <f t="shared" si="980"/>
        <v>-7127534.8238006877</v>
      </c>
      <c r="R514">
        <f t="shared" si="981"/>
        <v>504134808.02399498</v>
      </c>
      <c r="S514">
        <f t="shared" si="982"/>
        <v>5041.3480802399499</v>
      </c>
      <c r="T514">
        <f t="shared" si="983"/>
        <v>5.04134808023995</v>
      </c>
    </row>
    <row r="515" spans="1:20" x14ac:dyDescent="0.25">
      <c r="A515" s="5">
        <v>44078</v>
      </c>
      <c r="B515">
        <v>2.6137999999999999</v>
      </c>
      <c r="C515">
        <v>3.2421000000000002</v>
      </c>
      <c r="D515">
        <v>2.5788000000000002</v>
      </c>
      <c r="E515">
        <v>2.9948000000000001</v>
      </c>
      <c r="F515">
        <v>58003354.439999998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0.25433438866274666</v>
      </c>
      <c r="Q515">
        <f t="shared" si="980"/>
        <v>14752247.691886012</v>
      </c>
      <c r="R515">
        <f t="shared" si="981"/>
        <v>511262342.84779567</v>
      </c>
      <c r="S515">
        <f t="shared" si="982"/>
        <v>5112.6234284779566</v>
      </c>
      <c r="T515">
        <f t="shared" si="983"/>
        <v>5.1126234284779564</v>
      </c>
    </row>
    <row r="516" spans="1:20" x14ac:dyDescent="0.25">
      <c r="A516" s="5">
        <v>44077</v>
      </c>
      <c r="B516">
        <v>3.1019999999999999</v>
      </c>
      <c r="C516">
        <v>3.1583999999999999</v>
      </c>
      <c r="D516">
        <v>2.4908999999999999</v>
      </c>
      <c r="E516">
        <v>2.6133000000000002</v>
      </c>
      <c r="F516">
        <v>37791737.280000001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-0.63325842696629131</v>
      </c>
      <c r="Q516">
        <f t="shared" si="980"/>
        <v>-23931936.102256149</v>
      </c>
      <c r="R516">
        <f t="shared" si="981"/>
        <v>496510095.15590966</v>
      </c>
      <c r="S516">
        <f t="shared" si="982"/>
        <v>4965.1009515590968</v>
      </c>
      <c r="T516">
        <f t="shared" si="983"/>
        <v>4.9651009515590969</v>
      </c>
    </row>
    <row r="517" spans="1:20" x14ac:dyDescent="0.25">
      <c r="A517" s="5">
        <v>44076</v>
      </c>
      <c r="B517">
        <v>3.4704999999999999</v>
      </c>
      <c r="C517">
        <v>3.4982000000000002</v>
      </c>
      <c r="D517">
        <v>2.8773</v>
      </c>
      <c r="E517">
        <v>3.1015999999999999</v>
      </c>
      <c r="F517">
        <v>30237981.699999999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-0.27750040264132753</v>
      </c>
      <c r="Q517">
        <f t="shared" si="980"/>
        <v>-8391052.0968110934</v>
      </c>
      <c r="R517">
        <f t="shared" si="981"/>
        <v>520442031.25816584</v>
      </c>
      <c r="S517">
        <f t="shared" si="982"/>
        <v>5204.4203125816584</v>
      </c>
      <c r="T517">
        <f t="shared" si="983"/>
        <v>5.2044203125816582</v>
      </c>
    </row>
    <row r="518" spans="1:20" x14ac:dyDescent="0.25">
      <c r="A518" s="5">
        <v>44075</v>
      </c>
      <c r="B518">
        <v>3.2081</v>
      </c>
      <c r="C518">
        <v>3.5497000000000001</v>
      </c>
      <c r="D518">
        <v>3.1516999999999999</v>
      </c>
      <c r="E518">
        <v>3.4723999999999999</v>
      </c>
      <c r="F518">
        <v>18258233.600000001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0.61155778894472301</v>
      </c>
      <c r="Q518">
        <f t="shared" ref="Q518:Q581" si="985">F518*P518</f>
        <v>11165964.970452251</v>
      </c>
      <c r="R518">
        <f t="shared" ref="R518:R581" si="986">R519+Q518</f>
        <v>528833083.35497695</v>
      </c>
      <c r="S518">
        <f t="shared" ref="S518:S581" si="987">R518/100000</f>
        <v>5288.3308335497695</v>
      </c>
      <c r="T518">
        <f t="shared" ref="T518:T581" si="988">S518/1000</f>
        <v>5.2883308335497698</v>
      </c>
    </row>
    <row r="519" spans="1:20" x14ac:dyDescent="0.25">
      <c r="A519" s="5">
        <v>44074</v>
      </c>
      <c r="B519">
        <v>3.2614999999999998</v>
      </c>
      <c r="C519">
        <v>3.2948</v>
      </c>
      <c r="D519">
        <v>3.1915</v>
      </c>
      <c r="E519">
        <v>3.2081</v>
      </c>
      <c r="F519">
        <v>9813255.3599999994</v>
      </c>
      <c r="G519">
        <v>0</v>
      </c>
      <c r="L519" t="s">
        <v>8</v>
      </c>
      <c r="M519" t="s">
        <v>7</v>
      </c>
      <c r="N519" t="s">
        <v>8</v>
      </c>
      <c r="P519">
        <f t="shared" si="984"/>
        <v>-0.67860600193610932</v>
      </c>
      <c r="Q519">
        <f t="shared" si="985"/>
        <v>-6659333.9858276946</v>
      </c>
      <c r="R519">
        <f t="shared" si="986"/>
        <v>517667118.3845247</v>
      </c>
      <c r="S519">
        <f t="shared" si="987"/>
        <v>5176.6711838452475</v>
      </c>
      <c r="T519">
        <f t="shared" si="988"/>
        <v>5.1766711838452473</v>
      </c>
    </row>
    <row r="520" spans="1:20" x14ac:dyDescent="0.25">
      <c r="A520" s="5">
        <v>44073</v>
      </c>
      <c r="B520">
        <v>3.1263000000000001</v>
      </c>
      <c r="C520">
        <v>3.2732999999999999</v>
      </c>
      <c r="D520">
        <v>3.1254</v>
      </c>
      <c r="E520">
        <v>3.2614000000000001</v>
      </c>
      <c r="F520">
        <v>10985380.16</v>
      </c>
      <c r="G520">
        <v>0</v>
      </c>
      <c r="L520" t="s">
        <v>8</v>
      </c>
      <c r="M520" t="s">
        <v>7</v>
      </c>
      <c r="N520" t="s">
        <v>8</v>
      </c>
      <c r="P520">
        <f t="shared" si="984"/>
        <v>0.83908045977011758</v>
      </c>
      <c r="Q520">
        <f t="shared" si="985"/>
        <v>9217617.8354023285</v>
      </c>
      <c r="R520">
        <f t="shared" si="986"/>
        <v>524326452.37035239</v>
      </c>
      <c r="S520">
        <f t="shared" si="987"/>
        <v>5243.264523703524</v>
      </c>
      <c r="T520">
        <f t="shared" si="988"/>
        <v>5.243264523703524</v>
      </c>
    </row>
    <row r="521" spans="1:20" x14ac:dyDescent="0.25">
      <c r="A521" s="5">
        <v>44072</v>
      </c>
      <c r="B521">
        <v>3.1158999999999999</v>
      </c>
      <c r="C521">
        <v>3.2048999999999999</v>
      </c>
      <c r="D521">
        <v>3.0834000000000001</v>
      </c>
      <c r="E521">
        <v>3.1259999999999999</v>
      </c>
      <c r="F521">
        <v>8739078.9800000004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-0.29876543209876794</v>
      </c>
      <c r="Q521">
        <f t="shared" si="985"/>
        <v>-2610934.7076049601</v>
      </c>
      <c r="R521">
        <f t="shared" si="986"/>
        <v>515108834.53495008</v>
      </c>
      <c r="S521">
        <f t="shared" si="987"/>
        <v>5151.0883453495007</v>
      </c>
      <c r="T521">
        <f t="shared" si="988"/>
        <v>5.1510883453495007</v>
      </c>
    </row>
    <row r="522" spans="1:20" x14ac:dyDescent="0.25">
      <c r="A522" s="5">
        <v>44071</v>
      </c>
      <c r="B522">
        <v>2.9790000000000001</v>
      </c>
      <c r="C522">
        <v>3.1732</v>
      </c>
      <c r="D522">
        <v>2.9379</v>
      </c>
      <c r="E522">
        <v>3.1158999999999999</v>
      </c>
      <c r="F522">
        <v>13616152.810000001</v>
      </c>
      <c r="G522">
        <v>0</v>
      </c>
      <c r="L522" t="s">
        <v>8</v>
      </c>
      <c r="M522" t="s">
        <v>7</v>
      </c>
      <c r="N522" t="s">
        <v>8</v>
      </c>
      <c r="P522">
        <f t="shared" si="984"/>
        <v>0.51296217594560045</v>
      </c>
      <c r="Q522">
        <f t="shared" si="985"/>
        <v>6984571.3734254027</v>
      </c>
      <c r="R522">
        <f t="shared" si="986"/>
        <v>517719769.24255502</v>
      </c>
      <c r="S522">
        <f t="shared" si="987"/>
        <v>5177.1976924255505</v>
      </c>
      <c r="T522">
        <f t="shared" si="988"/>
        <v>5.1771976924255503</v>
      </c>
    </row>
    <row r="523" spans="1:20" x14ac:dyDescent="0.25">
      <c r="A523" s="5">
        <v>44070</v>
      </c>
      <c r="B523">
        <v>3.1179000000000001</v>
      </c>
      <c r="C523">
        <v>3.1480000000000001</v>
      </c>
      <c r="D523">
        <v>2.8555000000000001</v>
      </c>
      <c r="E523">
        <v>2.9790000000000001</v>
      </c>
      <c r="F523">
        <v>18780765.300000001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-0.15555555555555589</v>
      </c>
      <c r="Q523">
        <f t="shared" si="985"/>
        <v>-2921452.3800000064</v>
      </c>
      <c r="R523">
        <f t="shared" si="986"/>
        <v>510735197.8691296</v>
      </c>
      <c r="S523">
        <f t="shared" si="987"/>
        <v>5107.3519786912957</v>
      </c>
      <c r="T523">
        <f t="shared" si="988"/>
        <v>5.1073519786912955</v>
      </c>
    </row>
    <row r="524" spans="1:20" x14ac:dyDescent="0.25">
      <c r="A524" s="5">
        <v>44069</v>
      </c>
      <c r="B524">
        <v>3.1202999999999999</v>
      </c>
      <c r="C524">
        <v>3.1673</v>
      </c>
      <c r="D524">
        <v>3.0604</v>
      </c>
      <c r="E524">
        <v>3.1179000000000001</v>
      </c>
      <c r="F524">
        <v>12435162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7.5771749298411767E-2</v>
      </c>
      <c r="Q524">
        <f t="shared" si="985"/>
        <v>942233.97754913662</v>
      </c>
      <c r="R524">
        <f t="shared" si="986"/>
        <v>513656650.24912959</v>
      </c>
      <c r="S524">
        <f t="shared" si="987"/>
        <v>5136.566502491296</v>
      </c>
      <c r="T524">
        <f t="shared" si="988"/>
        <v>5.1365665024912959</v>
      </c>
    </row>
    <row r="525" spans="1:20" x14ac:dyDescent="0.25">
      <c r="A525" s="5">
        <v>44068</v>
      </c>
      <c r="B525">
        <v>3.3854000000000002</v>
      </c>
      <c r="C525">
        <v>3.3935</v>
      </c>
      <c r="D525">
        <v>2.9594999999999998</v>
      </c>
      <c r="E525">
        <v>3.1206</v>
      </c>
      <c r="F525">
        <v>20089467.75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-0.25760368663594385</v>
      </c>
      <c r="Q525">
        <f t="shared" si="985"/>
        <v>-5175120.9549538996</v>
      </c>
      <c r="R525">
        <f t="shared" si="986"/>
        <v>512714416.27158046</v>
      </c>
      <c r="S525">
        <f t="shared" si="987"/>
        <v>5127.1441627158047</v>
      </c>
      <c r="T525">
        <f t="shared" si="988"/>
        <v>5.1271441627158048</v>
      </c>
    </row>
    <row r="526" spans="1:20" x14ac:dyDescent="0.25">
      <c r="A526" s="5">
        <v>44067</v>
      </c>
      <c r="B526">
        <v>3.3220000000000001</v>
      </c>
      <c r="C526">
        <v>3.4218999999999999</v>
      </c>
      <c r="D526">
        <v>3.2844000000000002</v>
      </c>
      <c r="E526">
        <v>3.3854000000000002</v>
      </c>
      <c r="F526">
        <v>10293165.720000001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0.46909090909091161</v>
      </c>
      <c r="Q526">
        <f t="shared" si="985"/>
        <v>4828430.4650182081</v>
      </c>
      <c r="R526">
        <f t="shared" si="986"/>
        <v>517889537.22653437</v>
      </c>
      <c r="S526">
        <f t="shared" si="987"/>
        <v>5178.8953722653432</v>
      </c>
      <c r="T526">
        <f t="shared" si="988"/>
        <v>5.1788953722653428</v>
      </c>
    </row>
    <row r="527" spans="1:20" x14ac:dyDescent="0.25">
      <c r="A527" s="5">
        <v>44066</v>
      </c>
      <c r="B527">
        <v>3.3612000000000002</v>
      </c>
      <c r="C527">
        <v>3.3864999999999998</v>
      </c>
      <c r="D527">
        <v>3.2277999999999998</v>
      </c>
      <c r="E527">
        <v>3.3212000000000002</v>
      </c>
      <c r="F527">
        <v>9517140.2699999996</v>
      </c>
      <c r="G527">
        <v>0</v>
      </c>
      <c r="L527" t="s">
        <v>7</v>
      </c>
      <c r="M527" t="s">
        <v>7</v>
      </c>
      <c r="N527" t="s">
        <v>8</v>
      </c>
      <c r="P527">
        <f t="shared" si="984"/>
        <v>0.17706364209200171</v>
      </c>
      <c r="Q527">
        <f t="shared" si="985"/>
        <v>1685139.5185066564</v>
      </c>
      <c r="R527">
        <f t="shared" si="986"/>
        <v>513061106.76151615</v>
      </c>
      <c r="S527">
        <f t="shared" si="987"/>
        <v>5130.6110676151611</v>
      </c>
      <c r="T527">
        <f t="shared" si="988"/>
        <v>5.1306110676151615</v>
      </c>
    </row>
    <row r="528" spans="1:20" x14ac:dyDescent="0.25">
      <c r="A528" s="5">
        <v>44065</v>
      </c>
      <c r="B528">
        <v>3.2524000000000002</v>
      </c>
      <c r="C528">
        <v>3.3791000000000002</v>
      </c>
      <c r="D528">
        <v>3.1652</v>
      </c>
      <c r="E528">
        <v>3.3620000000000001</v>
      </c>
      <c r="F528">
        <v>14905840.039999999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0.84011220196353342</v>
      </c>
      <c r="Q528">
        <f t="shared" si="985"/>
        <v>12522578.098120602</v>
      </c>
      <c r="R528">
        <f t="shared" si="986"/>
        <v>511375967.24300951</v>
      </c>
      <c r="S528">
        <f t="shared" si="987"/>
        <v>5113.7596724300947</v>
      </c>
      <c r="T528">
        <f t="shared" si="988"/>
        <v>5.1137596724300947</v>
      </c>
    </row>
    <row r="529" spans="1:20" x14ac:dyDescent="0.25">
      <c r="A529" s="5">
        <v>44064</v>
      </c>
      <c r="B529">
        <v>3.4426000000000001</v>
      </c>
      <c r="C529">
        <v>3.6269999999999998</v>
      </c>
      <c r="D529">
        <v>3.2185000000000001</v>
      </c>
      <c r="E529">
        <v>3.2528000000000001</v>
      </c>
      <c r="F529">
        <v>28916287.489999998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-0.83206854345165226</v>
      </c>
      <c r="Q529">
        <f t="shared" si="985"/>
        <v>-24060333.213833533</v>
      </c>
      <c r="R529">
        <f t="shared" si="986"/>
        <v>498853389.14488888</v>
      </c>
      <c r="S529">
        <f t="shared" si="987"/>
        <v>4988.5338914488884</v>
      </c>
      <c r="T529">
        <f t="shared" si="988"/>
        <v>4.9885338914488884</v>
      </c>
    </row>
    <row r="530" spans="1:20" x14ac:dyDescent="0.25">
      <c r="A530" s="5">
        <v>44063</v>
      </c>
      <c r="B530">
        <v>3.3481000000000001</v>
      </c>
      <c r="C530">
        <v>3.4590000000000001</v>
      </c>
      <c r="D530">
        <v>3.3477999999999999</v>
      </c>
      <c r="E530">
        <v>3.4428999999999998</v>
      </c>
      <c r="F530">
        <v>12564967.5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0.71043165467625546</v>
      </c>
      <c r="Q530">
        <f t="shared" si="985"/>
        <v>8926550.6519783735</v>
      </c>
      <c r="R530">
        <f t="shared" si="986"/>
        <v>522913722.35872239</v>
      </c>
      <c r="S530">
        <f t="shared" si="987"/>
        <v>5229.1372235872241</v>
      </c>
      <c r="T530">
        <f t="shared" si="988"/>
        <v>5.229137223587224</v>
      </c>
    </row>
    <row r="531" spans="1:20" x14ac:dyDescent="0.25">
      <c r="A531" s="5">
        <v>44062</v>
      </c>
      <c r="B531">
        <v>3.5760999999999998</v>
      </c>
      <c r="C531">
        <v>3.6301999999999999</v>
      </c>
      <c r="D531">
        <v>3.2115999999999998</v>
      </c>
      <c r="E531">
        <v>3.3487</v>
      </c>
      <c r="F531">
        <v>27858538.120000001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-0.3449593884376484</v>
      </c>
      <c r="Q531">
        <f t="shared" si="985"/>
        <v>-9610064.2726421151</v>
      </c>
      <c r="R531">
        <f t="shared" si="986"/>
        <v>513987171.70674402</v>
      </c>
      <c r="S531">
        <f t="shared" si="987"/>
        <v>5139.8717170674399</v>
      </c>
      <c r="T531">
        <f t="shared" si="988"/>
        <v>5.1398717170674395</v>
      </c>
    </row>
    <row r="532" spans="1:20" x14ac:dyDescent="0.25">
      <c r="A532" s="5">
        <v>44061</v>
      </c>
      <c r="B532">
        <v>3.7761</v>
      </c>
      <c r="C532">
        <v>3.82</v>
      </c>
      <c r="D532">
        <v>3.4811999999999999</v>
      </c>
      <c r="E532">
        <v>3.5743999999999998</v>
      </c>
      <c r="F532">
        <v>22424284.02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-0.4498229043683592</v>
      </c>
      <c r="Q532">
        <f t="shared" si="985"/>
        <v>-10086956.566257386</v>
      </c>
      <c r="R532">
        <f t="shared" si="986"/>
        <v>523597235.97938615</v>
      </c>
      <c r="S532">
        <f t="shared" si="987"/>
        <v>5235.9723597938619</v>
      </c>
      <c r="T532">
        <f t="shared" si="988"/>
        <v>5.2359723597938617</v>
      </c>
    </row>
    <row r="533" spans="1:20" x14ac:dyDescent="0.25">
      <c r="A533" s="5">
        <v>44060</v>
      </c>
      <c r="B533">
        <v>3.88</v>
      </c>
      <c r="C533">
        <v>3.9177</v>
      </c>
      <c r="D533">
        <v>3.6629</v>
      </c>
      <c r="E533">
        <v>3.7761999999999998</v>
      </c>
      <c r="F533">
        <v>25998750.48</v>
      </c>
      <c r="G533">
        <v>0</v>
      </c>
      <c r="L533" t="s">
        <v>7</v>
      </c>
      <c r="M533" t="s">
        <v>8</v>
      </c>
      <c r="N533" t="s">
        <v>8</v>
      </c>
      <c r="P533">
        <f t="shared" si="984"/>
        <v>-0.11067503924646961</v>
      </c>
      <c r="Q533">
        <f t="shared" si="985"/>
        <v>-2877412.7297331705</v>
      </c>
      <c r="R533">
        <f t="shared" si="986"/>
        <v>533684192.54564351</v>
      </c>
      <c r="S533">
        <f t="shared" si="987"/>
        <v>5336.8419254564351</v>
      </c>
      <c r="T533">
        <f t="shared" si="988"/>
        <v>5.3368419254564348</v>
      </c>
    </row>
    <row r="534" spans="1:20" x14ac:dyDescent="0.25">
      <c r="A534" s="5">
        <v>44059</v>
      </c>
      <c r="B534">
        <v>3.7233000000000001</v>
      </c>
      <c r="C534">
        <v>3.9489999999999998</v>
      </c>
      <c r="D534">
        <v>3.5</v>
      </c>
      <c r="E534">
        <v>3.88</v>
      </c>
      <c r="F534">
        <v>37618928.359999999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0.69265033407572396</v>
      </c>
      <c r="Q534">
        <f t="shared" si="985"/>
        <v>26056763.296124727</v>
      </c>
      <c r="R534">
        <f t="shared" si="986"/>
        <v>536561605.27537668</v>
      </c>
      <c r="S534">
        <f t="shared" si="987"/>
        <v>5365.6160527537668</v>
      </c>
      <c r="T534">
        <f t="shared" si="988"/>
        <v>5.3656160527537669</v>
      </c>
    </row>
    <row r="535" spans="1:20" x14ac:dyDescent="0.25">
      <c r="A535" s="5">
        <v>44058</v>
      </c>
      <c r="B535">
        <v>3.2614000000000001</v>
      </c>
      <c r="C535">
        <v>3.8479000000000001</v>
      </c>
      <c r="D535">
        <v>3.2612999999999999</v>
      </c>
      <c r="E535">
        <v>3.7227999999999999</v>
      </c>
      <c r="F535">
        <v>42375306.649999999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0.57347425843845834</v>
      </c>
      <c r="Q535">
        <f t="shared" si="985"/>
        <v>24301147.557211023</v>
      </c>
      <c r="R535">
        <f t="shared" si="986"/>
        <v>510504841.97925192</v>
      </c>
      <c r="S535">
        <f t="shared" si="987"/>
        <v>5105.0484197925189</v>
      </c>
      <c r="T535">
        <f t="shared" si="988"/>
        <v>5.105048419792519</v>
      </c>
    </row>
    <row r="536" spans="1:20" x14ac:dyDescent="0.25">
      <c r="A536" s="5">
        <v>44057</v>
      </c>
      <c r="B536">
        <v>3.1364999999999998</v>
      </c>
      <c r="C536">
        <v>3.2932000000000001</v>
      </c>
      <c r="D536">
        <v>3.0821000000000001</v>
      </c>
      <c r="E536">
        <v>3.2606000000000002</v>
      </c>
      <c r="F536">
        <v>17730971.050000001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0.69114163903363379</v>
      </c>
      <c r="Q536">
        <f t="shared" si="985"/>
        <v>12254612.393154912</v>
      </c>
      <c r="R536">
        <f t="shared" si="986"/>
        <v>486203694.42204088</v>
      </c>
      <c r="S536">
        <f t="shared" si="987"/>
        <v>4862.0369442204092</v>
      </c>
      <c r="T536">
        <f t="shared" si="988"/>
        <v>4.8620369442204092</v>
      </c>
    </row>
    <row r="537" spans="1:20" x14ac:dyDescent="0.25">
      <c r="A537" s="5">
        <v>44056</v>
      </c>
      <c r="B537">
        <v>3.0253999999999999</v>
      </c>
      <c r="C537">
        <v>3.1448</v>
      </c>
      <c r="D537">
        <v>2.9177</v>
      </c>
      <c r="E537">
        <v>3.1364999999999998</v>
      </c>
      <c r="F537">
        <v>13740396.49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0.9269044473800071</v>
      </c>
      <c r="Q537">
        <f t="shared" si="985"/>
        <v>12736034.61534564</v>
      </c>
      <c r="R537">
        <f t="shared" si="986"/>
        <v>473949082.02888596</v>
      </c>
      <c r="S537">
        <f t="shared" si="987"/>
        <v>4739.49082028886</v>
      </c>
      <c r="T537">
        <f t="shared" si="988"/>
        <v>4.7394908202888599</v>
      </c>
    </row>
    <row r="538" spans="1:20" x14ac:dyDescent="0.25">
      <c r="A538" s="5">
        <v>44055</v>
      </c>
      <c r="B538">
        <v>3.0057999999999998</v>
      </c>
      <c r="C538">
        <v>3.0497000000000001</v>
      </c>
      <c r="D538">
        <v>2.8877000000000002</v>
      </c>
      <c r="E538">
        <v>3.0253000000000001</v>
      </c>
      <c r="F538">
        <v>11784141.039999999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0.69876543209876552</v>
      </c>
      <c r="Q538">
        <f t="shared" si="985"/>
        <v>8234350.4057283951</v>
      </c>
      <c r="R538">
        <f t="shared" si="986"/>
        <v>461213047.4135403</v>
      </c>
      <c r="S538">
        <f t="shared" si="987"/>
        <v>4612.1304741354033</v>
      </c>
      <c r="T538">
        <f t="shared" si="988"/>
        <v>4.6121304741354034</v>
      </c>
    </row>
    <row r="539" spans="1:20" x14ac:dyDescent="0.25">
      <c r="A539" s="5">
        <v>44054</v>
      </c>
      <c r="B539">
        <v>3.2366000000000001</v>
      </c>
      <c r="C539">
        <v>3.2955000000000001</v>
      </c>
      <c r="D539">
        <v>2.8717999999999999</v>
      </c>
      <c r="E539">
        <v>3.0047999999999999</v>
      </c>
      <c r="F539">
        <v>20554907.859999999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-0.3721973094170406</v>
      </c>
      <c r="Q539">
        <f t="shared" si="985"/>
        <v>-7650481.4008071795</v>
      </c>
      <c r="R539">
        <f t="shared" si="986"/>
        <v>452978697.0078119</v>
      </c>
      <c r="S539">
        <f t="shared" si="987"/>
        <v>4529.7869700781193</v>
      </c>
      <c r="T539">
        <f t="shared" si="988"/>
        <v>4.5297869700781197</v>
      </c>
    </row>
    <row r="540" spans="1:20" x14ac:dyDescent="0.25">
      <c r="A540" s="5">
        <v>44053</v>
      </c>
      <c r="B540">
        <v>3.0276999999999998</v>
      </c>
      <c r="C540">
        <v>3.2917999999999998</v>
      </c>
      <c r="D540">
        <v>2.98</v>
      </c>
      <c r="E540">
        <v>3.2364999999999999</v>
      </c>
      <c r="F540">
        <v>20700739.140000001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0.64528543938422112</v>
      </c>
      <c r="Q540">
        <f t="shared" si="985"/>
        <v>13357885.551533043</v>
      </c>
      <c r="R540">
        <f t="shared" si="986"/>
        <v>460629178.40861911</v>
      </c>
      <c r="S540">
        <f t="shared" si="987"/>
        <v>4606.291784086191</v>
      </c>
      <c r="T540">
        <f t="shared" si="988"/>
        <v>4.6062917840861912</v>
      </c>
    </row>
    <row r="541" spans="1:20" x14ac:dyDescent="0.25">
      <c r="A541" s="5">
        <v>44052</v>
      </c>
      <c r="B541">
        <v>3.0651999999999999</v>
      </c>
      <c r="C541">
        <v>3.0840000000000001</v>
      </c>
      <c r="D541">
        <v>2.9293</v>
      </c>
      <c r="E541">
        <v>3.0272000000000001</v>
      </c>
      <c r="F541">
        <v>8252484.7400000002</v>
      </c>
      <c r="G541">
        <v>0</v>
      </c>
      <c r="L541" t="s">
        <v>7</v>
      </c>
      <c r="M541" t="s">
        <v>7</v>
      </c>
      <c r="N541" t="s">
        <v>8</v>
      </c>
      <c r="P541">
        <f t="shared" si="984"/>
        <v>0.26567550096961939</v>
      </c>
      <c r="Q541">
        <f t="shared" si="985"/>
        <v>2192483.0175436395</v>
      </c>
      <c r="R541">
        <f t="shared" si="986"/>
        <v>447271292.85708606</v>
      </c>
      <c r="S541">
        <f t="shared" si="987"/>
        <v>4472.7129285708606</v>
      </c>
      <c r="T541">
        <f t="shared" si="988"/>
        <v>4.4727129285708607</v>
      </c>
    </row>
    <row r="542" spans="1:20" x14ac:dyDescent="0.25">
      <c r="A542" s="5">
        <v>44051</v>
      </c>
      <c r="B542">
        <v>3.0103</v>
      </c>
      <c r="C542">
        <v>3.0905999999999998</v>
      </c>
      <c r="D542">
        <v>2.9727000000000001</v>
      </c>
      <c r="E542">
        <v>3.0649000000000002</v>
      </c>
      <c r="F542">
        <v>8406246.7200000007</v>
      </c>
      <c r="G542">
        <v>0</v>
      </c>
      <c r="L542" t="s">
        <v>7</v>
      </c>
      <c r="M542" t="s">
        <v>7</v>
      </c>
      <c r="N542" t="s">
        <v>8</v>
      </c>
      <c r="P542">
        <f t="shared" si="984"/>
        <v>0.56403731976251592</v>
      </c>
      <c r="Q542">
        <f t="shared" si="985"/>
        <v>4741436.8692112407</v>
      </c>
      <c r="R542">
        <f t="shared" si="986"/>
        <v>445078809.83954245</v>
      </c>
      <c r="S542">
        <f t="shared" si="987"/>
        <v>4450.7880983954246</v>
      </c>
      <c r="T542">
        <f t="shared" si="988"/>
        <v>4.4507880983954244</v>
      </c>
    </row>
    <row r="543" spans="1:20" x14ac:dyDescent="0.25">
      <c r="A543" s="5">
        <v>44050</v>
      </c>
      <c r="B543">
        <v>3.089</v>
      </c>
      <c r="C543">
        <v>3.25</v>
      </c>
      <c r="D543">
        <v>2.7612000000000001</v>
      </c>
      <c r="E543">
        <v>3.0104000000000002</v>
      </c>
      <c r="F543">
        <v>21168469.780000001</v>
      </c>
      <c r="G543">
        <v>0</v>
      </c>
      <c r="L543" t="s">
        <v>8</v>
      </c>
      <c r="M543" t="s">
        <v>7</v>
      </c>
      <c r="N543" t="s">
        <v>8</v>
      </c>
      <c r="P543">
        <f t="shared" si="984"/>
        <v>1.963993453355212E-2</v>
      </c>
      <c r="Q543">
        <f t="shared" si="985"/>
        <v>415747.36065467651</v>
      </c>
      <c r="R543">
        <f t="shared" si="986"/>
        <v>440337372.97033119</v>
      </c>
      <c r="S543">
        <f t="shared" si="987"/>
        <v>4403.3737297033122</v>
      </c>
      <c r="T543">
        <f t="shared" si="988"/>
        <v>4.4033737297033122</v>
      </c>
    </row>
    <row r="544" spans="1:20" x14ac:dyDescent="0.25">
      <c r="A544" s="5">
        <v>44049</v>
      </c>
      <c r="B544">
        <v>3.0556999999999999</v>
      </c>
      <c r="C544">
        <v>3.198</v>
      </c>
      <c r="D544">
        <v>2.9984999999999999</v>
      </c>
      <c r="E544">
        <v>3.089</v>
      </c>
      <c r="F544">
        <v>15127582.9</v>
      </c>
      <c r="G544">
        <v>0</v>
      </c>
      <c r="L544" t="s">
        <v>8</v>
      </c>
      <c r="M544" t="s">
        <v>7</v>
      </c>
      <c r="N544" t="s">
        <v>8</v>
      </c>
      <c r="P544">
        <f t="shared" si="984"/>
        <v>-9.2731829573934638E-2</v>
      </c>
      <c r="Q544">
        <f t="shared" si="985"/>
        <v>-1402808.439348368</v>
      </c>
      <c r="R544">
        <f t="shared" si="986"/>
        <v>439921625.60967654</v>
      </c>
      <c r="S544">
        <f t="shared" si="987"/>
        <v>4399.2162560967654</v>
      </c>
      <c r="T544">
        <f t="shared" si="988"/>
        <v>4.3992162560967651</v>
      </c>
    </row>
    <row r="545" spans="1:20" x14ac:dyDescent="0.25">
      <c r="A545" s="5">
        <v>44048</v>
      </c>
      <c r="B545">
        <v>3.0371000000000001</v>
      </c>
      <c r="C545">
        <v>3.1</v>
      </c>
      <c r="D545">
        <v>3</v>
      </c>
      <c r="E545">
        <v>3.0545</v>
      </c>
      <c r="F545">
        <v>11354216.960000001</v>
      </c>
      <c r="G545">
        <v>0</v>
      </c>
      <c r="L545" t="s">
        <v>8</v>
      </c>
      <c r="M545" t="s">
        <v>7</v>
      </c>
      <c r="N545" t="s">
        <v>8</v>
      </c>
      <c r="P545">
        <f t="shared" si="984"/>
        <v>8.9999999999998886E-2</v>
      </c>
      <c r="Q545">
        <f t="shared" si="985"/>
        <v>1021879.5263999874</v>
      </c>
      <c r="R545">
        <f t="shared" si="986"/>
        <v>441324434.04902488</v>
      </c>
      <c r="S545">
        <f t="shared" si="987"/>
        <v>4413.2443404902488</v>
      </c>
      <c r="T545">
        <f t="shared" si="988"/>
        <v>4.4132443404902491</v>
      </c>
    </row>
    <row r="546" spans="1:20" x14ac:dyDescent="0.25">
      <c r="A546" s="5">
        <v>44047</v>
      </c>
      <c r="B546">
        <v>3.0451999999999999</v>
      </c>
      <c r="C546">
        <v>3.1032000000000002</v>
      </c>
      <c r="D546">
        <v>2.95</v>
      </c>
      <c r="E546">
        <v>3.0363000000000002</v>
      </c>
      <c r="F546">
        <v>13305738.880000001</v>
      </c>
      <c r="G546">
        <v>0</v>
      </c>
      <c r="L546" t="s">
        <v>8</v>
      </c>
      <c r="M546" t="s">
        <v>7</v>
      </c>
      <c r="N546" t="s">
        <v>8</v>
      </c>
      <c r="P546">
        <f t="shared" si="984"/>
        <v>0.12663185378590133</v>
      </c>
      <c r="Q546">
        <f t="shared" si="985"/>
        <v>1684930.3803655426</v>
      </c>
      <c r="R546">
        <f t="shared" si="986"/>
        <v>440302554.52262491</v>
      </c>
      <c r="S546">
        <f t="shared" si="987"/>
        <v>4403.0255452262491</v>
      </c>
      <c r="T546">
        <f t="shared" si="988"/>
        <v>4.4030255452262494</v>
      </c>
    </row>
    <row r="547" spans="1:20" x14ac:dyDescent="0.25">
      <c r="A547" s="5">
        <v>44046</v>
      </c>
      <c r="B547">
        <v>2.9447000000000001</v>
      </c>
      <c r="C547">
        <v>3.1230000000000002</v>
      </c>
      <c r="D547">
        <v>2.9009999999999998</v>
      </c>
      <c r="E547">
        <v>3.0449000000000002</v>
      </c>
      <c r="F547">
        <v>16215568.449999999</v>
      </c>
      <c r="G547">
        <v>0</v>
      </c>
      <c r="L547" t="s">
        <v>7</v>
      </c>
      <c r="M547" t="s">
        <v>7</v>
      </c>
      <c r="N547" t="s">
        <v>8</v>
      </c>
      <c r="P547">
        <f t="shared" si="984"/>
        <v>0.2963963963963972</v>
      </c>
      <c r="Q547">
        <f t="shared" si="985"/>
        <v>4806236.0540991118</v>
      </c>
      <c r="R547">
        <f t="shared" si="986"/>
        <v>438617624.14225936</v>
      </c>
      <c r="S547">
        <f t="shared" si="987"/>
        <v>4386.1762414225932</v>
      </c>
      <c r="T547">
        <f t="shared" si="988"/>
        <v>4.3861762414225929</v>
      </c>
    </row>
    <row r="548" spans="1:20" x14ac:dyDescent="0.25">
      <c r="A548" s="5">
        <v>44045</v>
      </c>
      <c r="B548">
        <v>3.3048000000000002</v>
      </c>
      <c r="C548">
        <v>3.4921000000000002</v>
      </c>
      <c r="D548">
        <v>2.5434999999999999</v>
      </c>
      <c r="E548">
        <v>2.9441000000000002</v>
      </c>
      <c r="F548">
        <v>33567591.829999998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-0.15538688593717026</v>
      </c>
      <c r="Q548">
        <f t="shared" si="985"/>
        <v>-5215963.5628736978</v>
      </c>
      <c r="R548">
        <f t="shared" si="986"/>
        <v>433811388.08816028</v>
      </c>
      <c r="S548">
        <f t="shared" si="987"/>
        <v>4338.1138808816031</v>
      </c>
      <c r="T548">
        <f t="shared" si="988"/>
        <v>4.3381138808816031</v>
      </c>
    </row>
    <row r="549" spans="1:20" x14ac:dyDescent="0.25">
      <c r="A549" s="5">
        <v>44044</v>
      </c>
      <c r="B549">
        <v>3.0933000000000002</v>
      </c>
      <c r="C549">
        <v>3.3235999999999999</v>
      </c>
      <c r="D549">
        <v>3.0701000000000001</v>
      </c>
      <c r="E549">
        <v>3.3037999999999998</v>
      </c>
      <c r="F549">
        <v>17448951.59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0.84378698224852033</v>
      </c>
      <c r="Q549">
        <f t="shared" si="985"/>
        <v>14723198.20552662</v>
      </c>
      <c r="R549">
        <f t="shared" si="986"/>
        <v>439027351.651034</v>
      </c>
      <c r="S549">
        <f t="shared" si="987"/>
        <v>4390.2735165103404</v>
      </c>
      <c r="T549">
        <f t="shared" si="988"/>
        <v>4.3902735165103408</v>
      </c>
    </row>
    <row r="550" spans="1:20" x14ac:dyDescent="0.25">
      <c r="A550" s="5">
        <v>44043</v>
      </c>
      <c r="B550">
        <v>3.0470000000000002</v>
      </c>
      <c r="C550">
        <v>3.1425000000000001</v>
      </c>
      <c r="D550">
        <v>3.0101</v>
      </c>
      <c r="E550">
        <v>3.0931999999999999</v>
      </c>
      <c r="F550">
        <v>9313256.4700000007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0.2552870090634427</v>
      </c>
      <c r="Q550">
        <f t="shared" si="985"/>
        <v>2377553.3888670565</v>
      </c>
      <c r="R550">
        <f t="shared" si="986"/>
        <v>424304153.44550735</v>
      </c>
      <c r="S550">
        <f t="shared" si="987"/>
        <v>4243.0415344550738</v>
      </c>
      <c r="T550">
        <f t="shared" si="988"/>
        <v>4.2430415344550738</v>
      </c>
    </row>
    <row r="551" spans="1:20" x14ac:dyDescent="0.25">
      <c r="A551" s="5">
        <v>44042</v>
      </c>
      <c r="B551">
        <v>3.0230999999999999</v>
      </c>
      <c r="C551">
        <v>3.0996999999999999</v>
      </c>
      <c r="D551">
        <v>2.9552999999999998</v>
      </c>
      <c r="E551">
        <v>3.0470000000000002</v>
      </c>
      <c r="F551">
        <v>12145172.09</v>
      </c>
      <c r="G551">
        <v>0</v>
      </c>
      <c r="L551" t="s">
        <v>8</v>
      </c>
      <c r="M551" t="s">
        <v>8</v>
      </c>
      <c r="N551" t="s">
        <v>8</v>
      </c>
      <c r="P551">
        <f t="shared" si="984"/>
        <v>0.27008310249307871</v>
      </c>
      <c r="Q551">
        <f t="shared" si="985"/>
        <v>3280205.7583795488</v>
      </c>
      <c r="R551">
        <f t="shared" si="986"/>
        <v>421926600.05664027</v>
      </c>
      <c r="S551">
        <f t="shared" si="987"/>
        <v>4219.2660005664029</v>
      </c>
      <c r="T551">
        <f t="shared" si="988"/>
        <v>4.2192660005664031</v>
      </c>
    </row>
    <row r="552" spans="1:20" x14ac:dyDescent="0.25">
      <c r="A552" s="5">
        <v>44041</v>
      </c>
      <c r="B552">
        <v>2.9943</v>
      </c>
      <c r="C552">
        <v>3.1469999999999998</v>
      </c>
      <c r="D552">
        <v>2.9489999999999998</v>
      </c>
      <c r="E552">
        <v>3.0232999999999999</v>
      </c>
      <c r="F552">
        <v>17078561.239999998</v>
      </c>
      <c r="G552">
        <v>0</v>
      </c>
      <c r="L552" t="s">
        <v>8</v>
      </c>
      <c r="M552" t="s">
        <v>8</v>
      </c>
      <c r="N552" t="s">
        <v>8</v>
      </c>
      <c r="P552">
        <f t="shared" si="984"/>
        <v>-0.24949494949494899</v>
      </c>
      <c r="Q552">
        <f t="shared" si="985"/>
        <v>-4261014.7740201931</v>
      </c>
      <c r="R552">
        <f t="shared" si="986"/>
        <v>418646394.29826069</v>
      </c>
      <c r="S552">
        <f t="shared" si="987"/>
        <v>4186.4639429826066</v>
      </c>
      <c r="T552">
        <f t="shared" si="988"/>
        <v>4.1864639429826065</v>
      </c>
    </row>
    <row r="553" spans="1:20" x14ac:dyDescent="0.25">
      <c r="A553" s="5">
        <v>44040</v>
      </c>
      <c r="B553">
        <v>2.8464999999999998</v>
      </c>
      <c r="C553">
        <v>3.0798999999999999</v>
      </c>
      <c r="D553">
        <v>2.7719</v>
      </c>
      <c r="E553">
        <v>2.9941</v>
      </c>
      <c r="F553">
        <v>20491937.77</v>
      </c>
      <c r="G553">
        <v>0</v>
      </c>
      <c r="L553" t="s">
        <v>8</v>
      </c>
      <c r="M553" t="s">
        <v>8</v>
      </c>
      <c r="N553" t="s">
        <v>8</v>
      </c>
      <c r="P553">
        <f t="shared" si="984"/>
        <v>0.44285714285714334</v>
      </c>
      <c r="Q553">
        <f t="shared" si="985"/>
        <v>9075001.0124285817</v>
      </c>
      <c r="R553">
        <f t="shared" si="986"/>
        <v>422907409.07228088</v>
      </c>
      <c r="S553">
        <f t="shared" si="987"/>
        <v>4229.0740907228092</v>
      </c>
      <c r="T553">
        <f t="shared" si="988"/>
        <v>4.2290740907228095</v>
      </c>
    </row>
    <row r="554" spans="1:20" x14ac:dyDescent="0.25">
      <c r="A554" s="5">
        <v>44039</v>
      </c>
      <c r="B554">
        <v>2.7117</v>
      </c>
      <c r="C554">
        <v>2.9251999999999998</v>
      </c>
      <c r="D554">
        <v>2.6074999999999999</v>
      </c>
      <c r="E554">
        <v>2.8472</v>
      </c>
      <c r="F554">
        <v>22237853.420000002</v>
      </c>
      <c r="G554">
        <v>0</v>
      </c>
      <c r="L554" t="s">
        <v>8</v>
      </c>
      <c r="M554" t="s">
        <v>8</v>
      </c>
      <c r="N554" t="s">
        <v>8</v>
      </c>
      <c r="P554">
        <f t="shared" si="984"/>
        <v>0.50897072710103952</v>
      </c>
      <c r="Q554">
        <f t="shared" si="985"/>
        <v>11318416.424343739</v>
      </c>
      <c r="R554">
        <f t="shared" si="986"/>
        <v>413832408.0598523</v>
      </c>
      <c r="S554">
        <f t="shared" si="987"/>
        <v>4138.3240805985233</v>
      </c>
      <c r="T554">
        <f t="shared" si="988"/>
        <v>4.1383240805985233</v>
      </c>
    </row>
    <row r="555" spans="1:20" x14ac:dyDescent="0.25">
      <c r="A555" s="5">
        <v>44038</v>
      </c>
      <c r="B555">
        <v>2.7288000000000001</v>
      </c>
      <c r="C555">
        <v>2.8016000000000001</v>
      </c>
      <c r="D555">
        <v>2.6776</v>
      </c>
      <c r="E555">
        <v>2.7121</v>
      </c>
      <c r="F555">
        <v>13592403.880000001</v>
      </c>
      <c r="G555">
        <v>0</v>
      </c>
      <c r="L555" t="s">
        <v>8</v>
      </c>
      <c r="M555" t="s">
        <v>8</v>
      </c>
      <c r="N555" t="s">
        <v>8</v>
      </c>
      <c r="P555">
        <f t="shared" si="984"/>
        <v>-0.44354838709677508</v>
      </c>
      <c r="Q555">
        <f t="shared" si="985"/>
        <v>-6028888.8177419482</v>
      </c>
      <c r="R555">
        <f t="shared" si="986"/>
        <v>402513991.63550854</v>
      </c>
      <c r="S555">
        <f t="shared" si="987"/>
        <v>4025.1399163550855</v>
      </c>
      <c r="T555">
        <f t="shared" si="988"/>
        <v>4.0251399163550854</v>
      </c>
    </row>
    <row r="556" spans="1:20" x14ac:dyDescent="0.25">
      <c r="A556" s="5">
        <v>44037</v>
      </c>
      <c r="B556">
        <v>2.5950000000000002</v>
      </c>
      <c r="C556">
        <v>2.7450000000000001</v>
      </c>
      <c r="D556">
        <v>2.5920000000000001</v>
      </c>
      <c r="E556">
        <v>2.7288999999999999</v>
      </c>
      <c r="F556">
        <v>11334947.779999999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0.7895424836601278</v>
      </c>
      <c r="Q556">
        <f t="shared" si="985"/>
        <v>8949422.8223790508</v>
      </c>
      <c r="R556">
        <f t="shared" si="986"/>
        <v>408542880.45325047</v>
      </c>
      <c r="S556">
        <f t="shared" si="987"/>
        <v>4085.4288045325047</v>
      </c>
      <c r="T556">
        <f t="shared" si="988"/>
        <v>4.0854288045325049</v>
      </c>
    </row>
    <row r="557" spans="1:20" x14ac:dyDescent="0.25">
      <c r="A557" s="5">
        <v>44036</v>
      </c>
      <c r="B557">
        <v>2.6530999999999998</v>
      </c>
      <c r="C557">
        <v>2.6530999999999998</v>
      </c>
      <c r="D557">
        <v>2.5649999999999999</v>
      </c>
      <c r="E557">
        <v>2.5949</v>
      </c>
      <c r="F557">
        <v>6517615.1900000004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-0.32122587968217731</v>
      </c>
      <c r="Q557">
        <f t="shared" si="985"/>
        <v>-2093626.6728376714</v>
      </c>
      <c r="R557">
        <f t="shared" si="986"/>
        <v>399593457.63087142</v>
      </c>
      <c r="S557">
        <f t="shared" si="987"/>
        <v>3995.934576308714</v>
      </c>
      <c r="T557">
        <f t="shared" si="988"/>
        <v>3.9959345763087142</v>
      </c>
    </row>
    <row r="558" spans="1:20" x14ac:dyDescent="0.25">
      <c r="A558" s="5">
        <v>44035</v>
      </c>
      <c r="B558">
        <v>2.6575000000000002</v>
      </c>
      <c r="C558">
        <v>2.6892</v>
      </c>
      <c r="D558">
        <v>2.6242000000000001</v>
      </c>
      <c r="E558">
        <v>2.6526000000000001</v>
      </c>
      <c r="F558">
        <v>7589367.79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-0.12615384615384603</v>
      </c>
      <c r="Q558">
        <f t="shared" si="985"/>
        <v>-957427.93658461445</v>
      </c>
      <c r="R558">
        <f t="shared" si="986"/>
        <v>401687084.30370909</v>
      </c>
      <c r="S558">
        <f t="shared" si="987"/>
        <v>4016.8708430370907</v>
      </c>
      <c r="T558">
        <f t="shared" si="988"/>
        <v>4.0168708430370907</v>
      </c>
    </row>
    <row r="559" spans="1:20" x14ac:dyDescent="0.25">
      <c r="A559" s="5">
        <v>44034</v>
      </c>
      <c r="B559">
        <v>2.6234000000000002</v>
      </c>
      <c r="C559">
        <v>2.6661999999999999</v>
      </c>
      <c r="D559">
        <v>2.5787</v>
      </c>
      <c r="E559">
        <v>2.6574</v>
      </c>
      <c r="F559">
        <v>6033633.9400000004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0.79885714285714449</v>
      </c>
      <c r="Q559">
        <f t="shared" si="985"/>
        <v>4820011.5703542959</v>
      </c>
      <c r="R559">
        <f t="shared" si="986"/>
        <v>402644512.24029368</v>
      </c>
      <c r="S559">
        <f t="shared" si="987"/>
        <v>4026.4451224029367</v>
      </c>
      <c r="T559">
        <f t="shared" si="988"/>
        <v>4.0264451224029365</v>
      </c>
    </row>
    <row r="560" spans="1:20" x14ac:dyDescent="0.25">
      <c r="A560" s="5">
        <v>44033</v>
      </c>
      <c r="B560">
        <v>2.5619999999999998</v>
      </c>
      <c r="C560">
        <v>2.6324999999999998</v>
      </c>
      <c r="D560">
        <v>2.5548999999999999</v>
      </c>
      <c r="E560">
        <v>2.6232000000000002</v>
      </c>
      <c r="F560">
        <v>6314726.3499999996</v>
      </c>
      <c r="G560">
        <v>0</v>
      </c>
      <c r="L560" t="s">
        <v>8</v>
      </c>
      <c r="M560" t="s">
        <v>8</v>
      </c>
      <c r="N560" t="s">
        <v>8</v>
      </c>
      <c r="P560">
        <f t="shared" si="984"/>
        <v>0.76030927835052431</v>
      </c>
      <c r="Q560">
        <f t="shared" si="985"/>
        <v>4801145.0341495397</v>
      </c>
      <c r="R560">
        <f t="shared" si="986"/>
        <v>397824500.6699394</v>
      </c>
      <c r="S560">
        <f t="shared" si="987"/>
        <v>3978.2450066993938</v>
      </c>
      <c r="T560">
        <f t="shared" si="988"/>
        <v>3.9782450066993937</v>
      </c>
    </row>
    <row r="561" spans="1:104" x14ac:dyDescent="0.25">
      <c r="A561" s="5">
        <v>44032</v>
      </c>
      <c r="B561">
        <v>2.5848</v>
      </c>
      <c r="C561">
        <v>2.6116999999999999</v>
      </c>
      <c r="D561">
        <v>2.5323000000000002</v>
      </c>
      <c r="E561">
        <v>2.5617999999999999</v>
      </c>
      <c r="F561">
        <v>6607702.9500000002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-0.2569269521410642</v>
      </c>
      <c r="Q561">
        <f t="shared" si="985"/>
        <v>-1697696.9795970188</v>
      </c>
      <c r="R561">
        <f t="shared" si="986"/>
        <v>393023355.63578987</v>
      </c>
      <c r="S561">
        <f t="shared" si="987"/>
        <v>3930.2335563578986</v>
      </c>
      <c r="T561">
        <f t="shared" si="988"/>
        <v>3.9302335563578987</v>
      </c>
      <c r="CZ561" t="s">
        <v>7</v>
      </c>
    </row>
    <row r="562" spans="1:104" x14ac:dyDescent="0.25">
      <c r="A562" s="5">
        <v>44031</v>
      </c>
      <c r="B562">
        <v>2.5023</v>
      </c>
      <c r="C562">
        <v>2.6112000000000002</v>
      </c>
      <c r="D562">
        <v>2.4670000000000001</v>
      </c>
      <c r="E562">
        <v>2.5844999999999998</v>
      </c>
      <c r="F562">
        <v>6845332.3799999999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0.62968099861303228</v>
      </c>
      <c r="Q562">
        <f t="shared" si="985"/>
        <v>4310375.7288765246</v>
      </c>
      <c r="R562">
        <f t="shared" si="986"/>
        <v>394721052.6153869</v>
      </c>
      <c r="S562">
        <f t="shared" si="987"/>
        <v>3947.2105261538691</v>
      </c>
      <c r="T562">
        <f t="shared" si="988"/>
        <v>3.947210526153869</v>
      </c>
      <c r="CZ562" t="s">
        <v>7</v>
      </c>
    </row>
    <row r="563" spans="1:104" x14ac:dyDescent="0.25">
      <c r="A563" s="5">
        <v>44030</v>
      </c>
      <c r="B563">
        <v>2.4952999999999999</v>
      </c>
      <c r="C563">
        <v>2.5236999999999998</v>
      </c>
      <c r="D563">
        <v>2.48</v>
      </c>
      <c r="E563">
        <v>2.5026000000000002</v>
      </c>
      <c r="F563">
        <v>3104973.62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3.4324942791773595E-2</v>
      </c>
      <c r="Q563">
        <f t="shared" si="985"/>
        <v>106578.04187646617</v>
      </c>
      <c r="R563">
        <f t="shared" si="986"/>
        <v>390410676.88651037</v>
      </c>
      <c r="S563">
        <f t="shared" si="987"/>
        <v>3904.1067688651037</v>
      </c>
      <c r="T563">
        <f t="shared" si="988"/>
        <v>3.9041067688651037</v>
      </c>
      <c r="CZ563" t="s">
        <v>7</v>
      </c>
    </row>
    <row r="564" spans="1:104" x14ac:dyDescent="0.25">
      <c r="A564" s="5">
        <v>44029</v>
      </c>
      <c r="B564">
        <v>2.5007000000000001</v>
      </c>
      <c r="C564">
        <v>2.5244</v>
      </c>
      <c r="D564">
        <v>2.4729999999999999</v>
      </c>
      <c r="E564">
        <v>2.4948999999999999</v>
      </c>
      <c r="F564">
        <v>3728663.25</v>
      </c>
      <c r="G564">
        <v>0</v>
      </c>
      <c r="L564" t="s">
        <v>7</v>
      </c>
      <c r="M564" t="s">
        <v>8</v>
      </c>
      <c r="N564" t="s">
        <v>8</v>
      </c>
      <c r="P564">
        <f t="shared" si="984"/>
        <v>-0.147859922178989</v>
      </c>
      <c r="Q564">
        <f t="shared" si="985"/>
        <v>-551319.85797665617</v>
      </c>
      <c r="R564">
        <f t="shared" si="986"/>
        <v>390304098.84463388</v>
      </c>
      <c r="S564">
        <f t="shared" si="987"/>
        <v>3903.0409884463388</v>
      </c>
      <c r="T564">
        <f t="shared" si="988"/>
        <v>3.9030409884463388</v>
      </c>
    </row>
    <row r="565" spans="1:104" x14ac:dyDescent="0.25">
      <c r="A565" s="5">
        <v>44028</v>
      </c>
      <c r="B565">
        <v>2.5371999999999999</v>
      </c>
      <c r="C565">
        <v>2.5594999999999999</v>
      </c>
      <c r="D565">
        <v>2.4300999999999999</v>
      </c>
      <c r="E565">
        <v>2.4998999999999998</v>
      </c>
      <c r="F565">
        <v>6221059.9900000002</v>
      </c>
      <c r="G565">
        <v>0</v>
      </c>
      <c r="L565" t="s">
        <v>7</v>
      </c>
      <c r="M565" t="s">
        <v>8</v>
      </c>
      <c r="N565" t="s">
        <v>8</v>
      </c>
      <c r="P565">
        <f t="shared" si="984"/>
        <v>7.8825347758885375E-2</v>
      </c>
      <c r="Q565">
        <f t="shared" si="985"/>
        <v>490377.21714063798</v>
      </c>
      <c r="R565">
        <f t="shared" si="986"/>
        <v>390855418.70261055</v>
      </c>
      <c r="S565">
        <f t="shared" si="987"/>
        <v>3908.5541870261054</v>
      </c>
      <c r="T565">
        <f t="shared" si="988"/>
        <v>3.9085541870261054</v>
      </c>
    </row>
    <row r="566" spans="1:104" x14ac:dyDescent="0.25">
      <c r="A566" s="5">
        <v>44027</v>
      </c>
      <c r="B566">
        <v>2.5589</v>
      </c>
      <c r="C566">
        <v>2.5674999999999999</v>
      </c>
      <c r="D566">
        <v>2.5055999999999998</v>
      </c>
      <c r="E566">
        <v>2.5365000000000002</v>
      </c>
      <c r="F566">
        <v>4751008.5599999996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-1.6155088852879281E-3</v>
      </c>
      <c r="Q566">
        <f t="shared" si="985"/>
        <v>-7675.2965427590043</v>
      </c>
      <c r="R566">
        <f t="shared" si="986"/>
        <v>390365041.48546994</v>
      </c>
      <c r="S566">
        <f t="shared" si="987"/>
        <v>3903.6504148546992</v>
      </c>
      <c r="T566">
        <f t="shared" si="988"/>
        <v>3.9036504148546993</v>
      </c>
    </row>
    <row r="567" spans="1:104" x14ac:dyDescent="0.25">
      <c r="A567" s="5">
        <v>44026</v>
      </c>
      <c r="B567">
        <v>2.5529000000000002</v>
      </c>
      <c r="C567">
        <v>2.5760999999999998</v>
      </c>
      <c r="D567">
        <v>2.5023</v>
      </c>
      <c r="E567">
        <v>2.5592000000000001</v>
      </c>
      <c r="F567">
        <v>5667056.79</v>
      </c>
      <c r="G567">
        <v>0</v>
      </c>
      <c r="L567" t="s">
        <v>7</v>
      </c>
      <c r="M567" t="s">
        <v>8</v>
      </c>
      <c r="N567" t="s">
        <v>8</v>
      </c>
      <c r="P567">
        <f t="shared" si="984"/>
        <v>0.54200542005420804</v>
      </c>
      <c r="Q567">
        <f t="shared" si="985"/>
        <v>3071575.4959350019</v>
      </c>
      <c r="R567">
        <f t="shared" si="986"/>
        <v>390372716.7820127</v>
      </c>
      <c r="S567">
        <f t="shared" si="987"/>
        <v>3903.7271678201269</v>
      </c>
      <c r="T567">
        <f t="shared" si="988"/>
        <v>3.9037271678201266</v>
      </c>
    </row>
    <row r="568" spans="1:104" x14ac:dyDescent="0.25">
      <c r="A568" s="5">
        <v>44025</v>
      </c>
      <c r="B568">
        <v>2.6173000000000002</v>
      </c>
      <c r="C568">
        <v>2.6463999999999999</v>
      </c>
      <c r="D568">
        <v>2.4407000000000001</v>
      </c>
      <c r="E568">
        <v>2.5529999999999999</v>
      </c>
      <c r="F568">
        <v>10436749.449999999</v>
      </c>
      <c r="G568">
        <v>0</v>
      </c>
      <c r="L568" t="s">
        <v>7</v>
      </c>
      <c r="M568" t="s">
        <v>8</v>
      </c>
      <c r="N568" t="s">
        <v>8</v>
      </c>
      <c r="P568">
        <f t="shared" si="984"/>
        <v>9.1881380651433822E-2</v>
      </c>
      <c r="Q568">
        <f t="shared" si="985"/>
        <v>958942.94897909253</v>
      </c>
      <c r="R568">
        <f t="shared" si="986"/>
        <v>387301141.28607768</v>
      </c>
      <c r="S568">
        <f t="shared" si="987"/>
        <v>3873.011412860777</v>
      </c>
      <c r="T568">
        <f t="shared" si="988"/>
        <v>3.8730114128607771</v>
      </c>
    </row>
    <row r="569" spans="1:104" x14ac:dyDescent="0.25">
      <c r="A569" s="5">
        <v>44024</v>
      </c>
      <c r="B569">
        <v>2.6194999999999999</v>
      </c>
      <c r="C569">
        <v>2.6589</v>
      </c>
      <c r="D569">
        <v>2.5602</v>
      </c>
      <c r="E569">
        <v>2.6171000000000002</v>
      </c>
      <c r="F569">
        <v>5957196.3099999996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0.15298885511651808</v>
      </c>
      <c r="Q569">
        <f t="shared" si="985"/>
        <v>911384.64317124605</v>
      </c>
      <c r="R569">
        <f t="shared" si="986"/>
        <v>386342198.3370986</v>
      </c>
      <c r="S569">
        <f t="shared" si="987"/>
        <v>3863.4219833709858</v>
      </c>
      <c r="T569">
        <f t="shared" si="988"/>
        <v>3.8634219833709857</v>
      </c>
    </row>
    <row r="570" spans="1:104" x14ac:dyDescent="0.25">
      <c r="A570" s="5">
        <v>44023</v>
      </c>
      <c r="B570">
        <v>2.6219000000000001</v>
      </c>
      <c r="C570">
        <v>2.641</v>
      </c>
      <c r="D570">
        <v>2.5876999999999999</v>
      </c>
      <c r="E570">
        <v>2.6194000000000002</v>
      </c>
      <c r="F570">
        <v>5558764.1699999999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0.18949343339588026</v>
      </c>
      <c r="Q570">
        <f t="shared" si="985"/>
        <v>1053349.3080113006</v>
      </c>
      <c r="R570">
        <f t="shared" si="986"/>
        <v>385430813.69392735</v>
      </c>
      <c r="S570">
        <f t="shared" si="987"/>
        <v>3854.3081369392735</v>
      </c>
      <c r="T570">
        <f t="shared" si="988"/>
        <v>3.8543081369392733</v>
      </c>
    </row>
    <row r="571" spans="1:104" x14ac:dyDescent="0.25">
      <c r="A571" s="5">
        <v>44022</v>
      </c>
      <c r="B571">
        <v>2.649</v>
      </c>
      <c r="C571">
        <v>2.6497999999999999</v>
      </c>
      <c r="D571">
        <v>2.5716999999999999</v>
      </c>
      <c r="E571">
        <v>2.6221000000000001</v>
      </c>
      <c r="F571">
        <v>6882737.2199999997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0.29065300896287283</v>
      </c>
      <c r="Q571">
        <f t="shared" si="985"/>
        <v>2000488.2828937583</v>
      </c>
      <c r="R571">
        <f t="shared" si="986"/>
        <v>384377464.38591605</v>
      </c>
      <c r="S571">
        <f t="shared" si="987"/>
        <v>3843.7746438591607</v>
      </c>
      <c r="T571">
        <f t="shared" si="988"/>
        <v>3.8437746438591609</v>
      </c>
    </row>
    <row r="572" spans="1:104" x14ac:dyDescent="0.25">
      <c r="A572" s="5">
        <v>44021</v>
      </c>
      <c r="B572">
        <v>2.6797</v>
      </c>
      <c r="C572">
        <v>2.7269000000000001</v>
      </c>
      <c r="D572">
        <v>2.5783999999999998</v>
      </c>
      <c r="E572">
        <v>2.6503999999999999</v>
      </c>
      <c r="F572">
        <v>11451467.32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-3.030303030303139E-2</v>
      </c>
      <c r="Q572">
        <f t="shared" si="985"/>
        <v>-347014.16121213365</v>
      </c>
      <c r="R572">
        <f t="shared" si="986"/>
        <v>382376976.10302228</v>
      </c>
      <c r="S572">
        <f t="shared" si="987"/>
        <v>3823.769761030223</v>
      </c>
      <c r="T572">
        <f t="shared" si="988"/>
        <v>3.8237697610302228</v>
      </c>
    </row>
    <row r="573" spans="1:104" x14ac:dyDescent="0.25">
      <c r="A573" s="5">
        <v>44020</v>
      </c>
      <c r="B573">
        <v>2.5592000000000001</v>
      </c>
      <c r="C573">
        <v>2.7042000000000002</v>
      </c>
      <c r="D573">
        <v>2.5398000000000001</v>
      </c>
      <c r="E573">
        <v>2.6798999999999999</v>
      </c>
      <c r="F573">
        <v>12305221.060000001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0.70437956204379326</v>
      </c>
      <c r="Q573">
        <f t="shared" si="985"/>
        <v>8667546.2210948616</v>
      </c>
      <c r="R573">
        <f t="shared" si="986"/>
        <v>382723990.26423442</v>
      </c>
      <c r="S573">
        <f t="shared" si="987"/>
        <v>3827.2399026423441</v>
      </c>
      <c r="T573">
        <f t="shared" si="988"/>
        <v>3.827239902642344</v>
      </c>
    </row>
    <row r="574" spans="1:104" x14ac:dyDescent="0.25">
      <c r="A574" s="5">
        <v>44019</v>
      </c>
      <c r="B574">
        <v>2.6101999999999999</v>
      </c>
      <c r="C574">
        <v>2.6274000000000002</v>
      </c>
      <c r="D574">
        <v>2.5217000000000001</v>
      </c>
      <c r="E574">
        <v>2.5589</v>
      </c>
      <c r="F574">
        <v>7191106.1600000001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-0.2961210974456035</v>
      </c>
      <c r="Q574">
        <f t="shared" si="985"/>
        <v>-2129438.2479470395</v>
      </c>
      <c r="R574">
        <f t="shared" si="986"/>
        <v>374056444.04313958</v>
      </c>
      <c r="S574">
        <f t="shared" si="987"/>
        <v>3740.5644404313957</v>
      </c>
      <c r="T574">
        <f t="shared" si="988"/>
        <v>3.7405644404313958</v>
      </c>
    </row>
    <row r="575" spans="1:104" x14ac:dyDescent="0.25">
      <c r="A575" s="5">
        <v>44018</v>
      </c>
      <c r="B575">
        <v>2.4073000000000002</v>
      </c>
      <c r="C575">
        <v>2.6408</v>
      </c>
      <c r="D575">
        <v>2.4001999999999999</v>
      </c>
      <c r="E575">
        <v>2.6105999999999998</v>
      </c>
      <c r="F575">
        <v>10564718.470000001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0.74896093100581707</v>
      </c>
      <c r="Q575">
        <f t="shared" si="985"/>
        <v>7912561.3811055515</v>
      </c>
      <c r="R575">
        <f t="shared" si="986"/>
        <v>376185882.29108661</v>
      </c>
      <c r="S575">
        <f t="shared" si="987"/>
        <v>3761.8588229108664</v>
      </c>
      <c r="T575">
        <f t="shared" si="988"/>
        <v>3.7618588229108663</v>
      </c>
    </row>
    <row r="576" spans="1:104" x14ac:dyDescent="0.25">
      <c r="A576" s="5">
        <v>44017</v>
      </c>
      <c r="B576">
        <v>2.4594999999999998</v>
      </c>
      <c r="C576">
        <v>2.4710000000000001</v>
      </c>
      <c r="D576">
        <v>2.3209</v>
      </c>
      <c r="E576">
        <v>2.4072</v>
      </c>
      <c r="F576">
        <v>7043578.9100000001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0.14990006662225147</v>
      </c>
      <c r="Q576">
        <f t="shared" si="985"/>
        <v>1055832.9478680855</v>
      </c>
      <c r="R576">
        <f t="shared" si="986"/>
        <v>368273320.90998107</v>
      </c>
      <c r="S576">
        <f t="shared" si="987"/>
        <v>3682.7332090998107</v>
      </c>
      <c r="T576">
        <f t="shared" si="988"/>
        <v>3.6827332090998106</v>
      </c>
    </row>
    <row r="577" spans="1:20" x14ac:dyDescent="0.25">
      <c r="A577" s="5">
        <v>44016</v>
      </c>
      <c r="B577">
        <v>2.4152</v>
      </c>
      <c r="C577">
        <v>2.4975000000000001</v>
      </c>
      <c r="D577">
        <v>2.4104000000000001</v>
      </c>
      <c r="E577">
        <v>2.4599000000000002</v>
      </c>
      <c r="F577">
        <v>6960525.3600000003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0.13662456946039322</v>
      </c>
      <c r="Q577">
        <f t="shared" si="985"/>
        <v>950978.78052814864</v>
      </c>
      <c r="R577">
        <f t="shared" si="986"/>
        <v>367217487.96211296</v>
      </c>
      <c r="S577">
        <f t="shared" si="987"/>
        <v>3672.1748796211295</v>
      </c>
      <c r="T577">
        <f t="shared" si="988"/>
        <v>3.6721748796211298</v>
      </c>
    </row>
    <row r="578" spans="1:20" x14ac:dyDescent="0.25">
      <c r="A578" s="5">
        <v>44015</v>
      </c>
      <c r="B578">
        <v>2.3580000000000001</v>
      </c>
      <c r="C578">
        <v>2.4535</v>
      </c>
      <c r="D578">
        <v>2.3494999999999999</v>
      </c>
      <c r="E578">
        <v>2.4156</v>
      </c>
      <c r="F578">
        <v>7833952.1299999999</v>
      </c>
      <c r="G578">
        <v>0</v>
      </c>
      <c r="L578" t="s">
        <v>8</v>
      </c>
      <c r="M578" t="s">
        <v>7</v>
      </c>
      <c r="N578" t="s">
        <v>8</v>
      </c>
      <c r="P578">
        <f t="shared" si="984"/>
        <v>0.27115384615384597</v>
      </c>
      <c r="Q578">
        <f t="shared" si="985"/>
        <v>2124206.2506346139</v>
      </c>
      <c r="R578">
        <f t="shared" si="986"/>
        <v>366266509.18158484</v>
      </c>
      <c r="S578">
        <f t="shared" si="987"/>
        <v>3662.6650918158484</v>
      </c>
      <c r="T578">
        <f t="shared" si="988"/>
        <v>3.6626650918158483</v>
      </c>
    </row>
    <row r="579" spans="1:20" x14ac:dyDescent="0.25">
      <c r="A579" s="5">
        <v>44014</v>
      </c>
      <c r="B579">
        <v>2.3780000000000001</v>
      </c>
      <c r="C579">
        <v>2.387</v>
      </c>
      <c r="D579">
        <v>2.3029999999999999</v>
      </c>
      <c r="E579">
        <v>2.3576000000000001</v>
      </c>
      <c r="F579">
        <v>6918758.29</v>
      </c>
      <c r="G579">
        <v>0</v>
      </c>
      <c r="L579" t="s">
        <v>8</v>
      </c>
      <c r="M579" t="s">
        <v>7</v>
      </c>
      <c r="N579" t="s">
        <v>8</v>
      </c>
      <c r="P579">
        <f t="shared" si="984"/>
        <v>0.30000000000000371</v>
      </c>
      <c r="Q579">
        <f t="shared" si="985"/>
        <v>2075627.4870000256</v>
      </c>
      <c r="R579">
        <f t="shared" si="986"/>
        <v>364142302.93095022</v>
      </c>
      <c r="S579">
        <f t="shared" si="987"/>
        <v>3641.4230293095025</v>
      </c>
      <c r="T579">
        <f t="shared" si="988"/>
        <v>3.6414230293095025</v>
      </c>
    </row>
    <row r="580" spans="1:20" x14ac:dyDescent="0.25">
      <c r="A580" s="5">
        <v>44013</v>
      </c>
      <c r="B580">
        <v>2.3679999999999999</v>
      </c>
      <c r="C580">
        <v>2.4026000000000001</v>
      </c>
      <c r="D580">
        <v>2.355</v>
      </c>
      <c r="E580">
        <v>2.3773</v>
      </c>
      <c r="F580">
        <v>5457636.8099999996</v>
      </c>
      <c r="G580">
        <v>0</v>
      </c>
      <c r="L580" t="s">
        <v>8</v>
      </c>
      <c r="M580" t="s">
        <v>7</v>
      </c>
      <c r="N580" t="s">
        <v>8</v>
      </c>
      <c r="P580">
        <f t="shared" si="984"/>
        <v>-6.3025210084035888E-2</v>
      </c>
      <c r="Q580">
        <f t="shared" si="985"/>
        <v>-343968.70651261741</v>
      </c>
      <c r="R580">
        <f t="shared" si="986"/>
        <v>362066675.44395018</v>
      </c>
      <c r="S580">
        <f t="shared" si="987"/>
        <v>3620.6667544395018</v>
      </c>
      <c r="T580">
        <f t="shared" si="988"/>
        <v>3.6206667544395019</v>
      </c>
    </row>
    <row r="581" spans="1:20" x14ac:dyDescent="0.25">
      <c r="A581" s="5">
        <v>44012</v>
      </c>
      <c r="B581">
        <v>2.38</v>
      </c>
      <c r="C581">
        <v>2.3889999999999998</v>
      </c>
      <c r="D581">
        <v>2.3420000000000001</v>
      </c>
      <c r="E581">
        <v>2.3679999999999999</v>
      </c>
      <c r="F581">
        <v>3473008.49</v>
      </c>
      <c r="G581">
        <v>0</v>
      </c>
      <c r="L581" t="s">
        <v>8</v>
      </c>
      <c r="M581" t="s">
        <v>7</v>
      </c>
      <c r="N581" t="s">
        <v>8</v>
      </c>
      <c r="P581">
        <f t="shared" si="984"/>
        <v>0.10638297872340265</v>
      </c>
      <c r="Q581">
        <f t="shared" si="985"/>
        <v>369468.98829786677</v>
      </c>
      <c r="R581">
        <f t="shared" si="986"/>
        <v>362410644.15046281</v>
      </c>
      <c r="S581">
        <f t="shared" si="987"/>
        <v>3624.106441504628</v>
      </c>
      <c r="T581">
        <f t="shared" si="988"/>
        <v>3.6241064415046282</v>
      </c>
    </row>
    <row r="582" spans="1:20" x14ac:dyDescent="0.25">
      <c r="A582" s="5">
        <v>44011</v>
      </c>
      <c r="B582">
        <v>2.3664999999999998</v>
      </c>
      <c r="C582">
        <v>2.4178999999999999</v>
      </c>
      <c r="D582">
        <v>2.3250000000000002</v>
      </c>
      <c r="E582">
        <v>2.38</v>
      </c>
      <c r="F582">
        <v>6438745.8799999999</v>
      </c>
      <c r="G582">
        <v>0</v>
      </c>
      <c r="L582" t="s">
        <v>8</v>
      </c>
      <c r="M582" t="s">
        <v>7</v>
      </c>
      <c r="N582" t="s">
        <v>8</v>
      </c>
      <c r="P582">
        <f t="shared" ref="P582:P645" si="989">IF(C582=D582,0,((E582-D582)-(C582-E582))/(C582-D582))</f>
        <v>0.1840688912809442</v>
      </c>
      <c r="Q582">
        <f t="shared" ref="Q582:Q645" si="990">F582*P582</f>
        <v>1185172.8153713474</v>
      </c>
      <c r="R582">
        <f t="shared" ref="R582:R645" si="991">R583+Q582</f>
        <v>362041175.16216493</v>
      </c>
      <c r="S582">
        <f t="shared" ref="S582:S645" si="992">R582/100000</f>
        <v>3620.4117516216493</v>
      </c>
      <c r="T582">
        <f t="shared" ref="T582:T645" si="993">S582/1000</f>
        <v>3.6204117516216492</v>
      </c>
    </row>
    <row r="583" spans="1:20" x14ac:dyDescent="0.25">
      <c r="A583" s="5">
        <v>44010</v>
      </c>
      <c r="B583">
        <v>2.3317999999999999</v>
      </c>
      <c r="C583">
        <v>2.4018999999999999</v>
      </c>
      <c r="D583">
        <v>2.3033000000000001</v>
      </c>
      <c r="E583">
        <v>2.3668</v>
      </c>
      <c r="F583">
        <v>4730178.8099999996</v>
      </c>
      <c r="G583">
        <v>0</v>
      </c>
      <c r="L583" t="s">
        <v>8</v>
      </c>
      <c r="M583" t="s">
        <v>7</v>
      </c>
      <c r="N583" t="s">
        <v>8</v>
      </c>
      <c r="P583">
        <f t="shared" si="989"/>
        <v>0.28803245436105518</v>
      </c>
      <c r="Q583">
        <f t="shared" si="990"/>
        <v>1362445.0122109551</v>
      </c>
      <c r="R583">
        <f t="shared" si="991"/>
        <v>360856002.34679359</v>
      </c>
      <c r="S583">
        <f t="shared" si="992"/>
        <v>3608.5600234679359</v>
      </c>
      <c r="T583">
        <f t="shared" si="993"/>
        <v>3.6085600234679358</v>
      </c>
    </row>
    <row r="584" spans="1:20" x14ac:dyDescent="0.25">
      <c r="A584" s="5">
        <v>44009</v>
      </c>
      <c r="B584">
        <v>2.4809999999999999</v>
      </c>
      <c r="C584">
        <v>2.4847999999999999</v>
      </c>
      <c r="D584">
        <v>2.1945000000000001</v>
      </c>
      <c r="E584">
        <v>2.3317999999999999</v>
      </c>
      <c r="F584">
        <v>8648158.3599999994</v>
      </c>
      <c r="G584">
        <v>0</v>
      </c>
      <c r="L584" t="s">
        <v>7</v>
      </c>
      <c r="M584" t="s">
        <v>7</v>
      </c>
      <c r="N584" t="s">
        <v>8</v>
      </c>
      <c r="P584">
        <f t="shared" si="989"/>
        <v>-5.4081984154324081E-2</v>
      </c>
      <c r="Q584">
        <f t="shared" si="990"/>
        <v>-467709.56338960532</v>
      </c>
      <c r="R584">
        <f t="shared" si="991"/>
        <v>359493557.33458263</v>
      </c>
      <c r="S584">
        <f t="shared" si="992"/>
        <v>3594.9355733458265</v>
      </c>
      <c r="T584">
        <f t="shared" si="993"/>
        <v>3.5949355733458264</v>
      </c>
    </row>
    <row r="585" spans="1:20" x14ac:dyDescent="0.25">
      <c r="A585" s="5">
        <v>44008</v>
      </c>
      <c r="B585">
        <v>2.4798</v>
      </c>
      <c r="C585">
        <v>2.5156000000000001</v>
      </c>
      <c r="D585">
        <v>2.3902000000000001</v>
      </c>
      <c r="E585">
        <v>2.4809999999999999</v>
      </c>
      <c r="F585">
        <v>6754320.8300000001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0.44816586921849766</v>
      </c>
      <c r="Q585">
        <f t="shared" si="990"/>
        <v>3027056.0657575545</v>
      </c>
      <c r="R585">
        <f t="shared" si="991"/>
        <v>359961266.89797223</v>
      </c>
      <c r="S585">
        <f t="shared" si="992"/>
        <v>3599.6126689797225</v>
      </c>
      <c r="T585">
        <f t="shared" si="993"/>
        <v>3.5996126689797223</v>
      </c>
    </row>
    <row r="586" spans="1:20" x14ac:dyDescent="0.25">
      <c r="A586" s="5">
        <v>44007</v>
      </c>
      <c r="B586">
        <v>2.5015999999999998</v>
      </c>
      <c r="C586">
        <v>2.5339</v>
      </c>
      <c r="D586">
        <v>2.4325000000000001</v>
      </c>
      <c r="E586">
        <v>2.4799000000000002</v>
      </c>
      <c r="F586">
        <v>4596650.78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-6.5088757396446956E-2</v>
      </c>
      <c r="Q586">
        <f t="shared" si="990"/>
        <v>-299190.28745560866</v>
      </c>
      <c r="R586">
        <f t="shared" si="991"/>
        <v>356934210.83221465</v>
      </c>
      <c r="S586">
        <f t="shared" si="992"/>
        <v>3569.3421083221465</v>
      </c>
      <c r="T586">
        <f t="shared" si="993"/>
        <v>3.5693421083221466</v>
      </c>
    </row>
    <row r="587" spans="1:20" x14ac:dyDescent="0.25">
      <c r="A587" s="5">
        <v>44006</v>
      </c>
      <c r="B587">
        <v>2.5712999999999999</v>
      </c>
      <c r="C587">
        <v>2.5975999999999999</v>
      </c>
      <c r="D587">
        <v>2.4563999999999999</v>
      </c>
      <c r="E587">
        <v>2.5019999999999998</v>
      </c>
      <c r="F587">
        <v>7256521.5800000001</v>
      </c>
      <c r="G587">
        <v>0</v>
      </c>
      <c r="L587" t="s">
        <v>8</v>
      </c>
      <c r="M587" t="s">
        <v>8</v>
      </c>
      <c r="N587" t="s">
        <v>8</v>
      </c>
      <c r="P587">
        <f t="shared" si="989"/>
        <v>-0.35410764872521439</v>
      </c>
      <c r="Q587">
        <f t="shared" si="990"/>
        <v>-2569589.7946175779</v>
      </c>
      <c r="R587">
        <f t="shared" si="991"/>
        <v>357233401.11967027</v>
      </c>
      <c r="S587">
        <f t="shared" si="992"/>
        <v>3572.3340111967027</v>
      </c>
      <c r="T587">
        <f t="shared" si="993"/>
        <v>3.5723340111967028</v>
      </c>
    </row>
    <row r="588" spans="1:20" x14ac:dyDescent="0.25">
      <c r="A588" s="5">
        <v>44005</v>
      </c>
      <c r="B588">
        <v>2.5853000000000002</v>
      </c>
      <c r="C588">
        <v>2.5966999999999998</v>
      </c>
      <c r="D588">
        <v>2.556</v>
      </c>
      <c r="E588">
        <v>2.5714000000000001</v>
      </c>
      <c r="F588">
        <v>4782427.3499999996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-0.2432432432432344</v>
      </c>
      <c r="Q588">
        <f t="shared" si="990"/>
        <v>-1163293.1391891469</v>
      </c>
      <c r="R588">
        <f t="shared" si="991"/>
        <v>359802990.91428787</v>
      </c>
      <c r="S588">
        <f t="shared" si="992"/>
        <v>3598.0299091428788</v>
      </c>
      <c r="T588">
        <f t="shared" si="993"/>
        <v>3.5980299091428787</v>
      </c>
    </row>
    <row r="589" spans="1:20" x14ac:dyDescent="0.25">
      <c r="A589" s="5">
        <v>44004</v>
      </c>
      <c r="B589">
        <v>2.5137</v>
      </c>
      <c r="C589">
        <v>2.605</v>
      </c>
      <c r="D589">
        <v>2.5103</v>
      </c>
      <c r="E589">
        <v>2.5861999999999998</v>
      </c>
      <c r="F589">
        <v>6506047.5599999996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0.60295670538542456</v>
      </c>
      <c r="Q589">
        <f t="shared" si="990"/>
        <v>3922865.0018584803</v>
      </c>
      <c r="R589">
        <f t="shared" si="991"/>
        <v>360966284.05347699</v>
      </c>
      <c r="S589">
        <f t="shared" si="992"/>
        <v>3609.6628405347701</v>
      </c>
      <c r="T589">
        <f t="shared" si="993"/>
        <v>3.6096628405347699</v>
      </c>
    </row>
    <row r="590" spans="1:20" x14ac:dyDescent="0.25">
      <c r="A590" s="5">
        <v>44003</v>
      </c>
      <c r="B590">
        <v>2.5362</v>
      </c>
      <c r="C590">
        <v>2.5529000000000002</v>
      </c>
      <c r="D590">
        <v>2.5066000000000002</v>
      </c>
      <c r="E590">
        <v>2.5139999999999998</v>
      </c>
      <c r="F590">
        <v>3712205.79</v>
      </c>
      <c r="G590">
        <v>0</v>
      </c>
      <c r="L590" t="s">
        <v>7</v>
      </c>
      <c r="M590" t="s">
        <v>8</v>
      </c>
      <c r="N590" t="s">
        <v>8</v>
      </c>
      <c r="P590">
        <f t="shared" si="989"/>
        <v>-0.68034557235422777</v>
      </c>
      <c r="Q590">
        <f t="shared" si="990"/>
        <v>-2525582.7728942283</v>
      </c>
      <c r="R590">
        <f t="shared" si="991"/>
        <v>357043419.05161852</v>
      </c>
      <c r="S590">
        <f t="shared" si="992"/>
        <v>3570.434190516185</v>
      </c>
      <c r="T590">
        <f t="shared" si="993"/>
        <v>3.5704341905161852</v>
      </c>
    </row>
    <row r="591" spans="1:20" x14ac:dyDescent="0.25">
      <c r="A591" s="5">
        <v>44002</v>
      </c>
      <c r="B591">
        <v>2.5253000000000001</v>
      </c>
      <c r="C591">
        <v>2.58</v>
      </c>
      <c r="D591">
        <v>2.415</v>
      </c>
      <c r="E591">
        <v>2.5362</v>
      </c>
      <c r="F591">
        <v>5184300.2699999996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0.46909090909090845</v>
      </c>
      <c r="Q591">
        <f t="shared" si="990"/>
        <v>2431908.1266545421</v>
      </c>
      <c r="R591">
        <f t="shared" si="991"/>
        <v>359569001.82451272</v>
      </c>
      <c r="S591">
        <f t="shared" si="992"/>
        <v>3595.6900182451272</v>
      </c>
      <c r="T591">
        <f t="shared" si="993"/>
        <v>3.5956900182451275</v>
      </c>
    </row>
    <row r="592" spans="1:20" x14ac:dyDescent="0.25">
      <c r="A592" s="5">
        <v>44001</v>
      </c>
      <c r="B592">
        <v>2.536</v>
      </c>
      <c r="C592">
        <v>2.5539000000000001</v>
      </c>
      <c r="D592">
        <v>2.5015000000000001</v>
      </c>
      <c r="E592">
        <v>2.5253999999999999</v>
      </c>
      <c r="F592">
        <v>4672218.8499999996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-8.7786259541992012E-2</v>
      </c>
      <c r="Q592">
        <f t="shared" si="990"/>
        <v>-410156.6166030874</v>
      </c>
      <c r="R592">
        <f t="shared" si="991"/>
        <v>357137093.69785815</v>
      </c>
      <c r="S592">
        <f t="shared" si="992"/>
        <v>3571.3709369785815</v>
      </c>
      <c r="T592">
        <f t="shared" si="993"/>
        <v>3.5713709369785813</v>
      </c>
    </row>
    <row r="593" spans="1:20" x14ac:dyDescent="0.25">
      <c r="A593" s="5">
        <v>44000</v>
      </c>
      <c r="B593">
        <v>2.5684999999999998</v>
      </c>
      <c r="C593">
        <v>2.5756000000000001</v>
      </c>
      <c r="D593">
        <v>2.4956</v>
      </c>
      <c r="E593">
        <v>2.5364</v>
      </c>
      <c r="F593">
        <v>4359298.21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1.999999999999778E-2</v>
      </c>
      <c r="Q593">
        <f t="shared" si="990"/>
        <v>87185.964199990325</v>
      </c>
      <c r="R593">
        <f t="shared" si="991"/>
        <v>357547250.31446123</v>
      </c>
      <c r="S593">
        <f t="shared" si="992"/>
        <v>3575.4725031446123</v>
      </c>
      <c r="T593">
        <f t="shared" si="993"/>
        <v>3.5754725031446122</v>
      </c>
    </row>
    <row r="594" spans="1:20" x14ac:dyDescent="0.25">
      <c r="A594" s="5">
        <v>43999</v>
      </c>
      <c r="B594">
        <v>2.5539999999999998</v>
      </c>
      <c r="C594">
        <v>2.6067</v>
      </c>
      <c r="D594">
        <v>2.5173000000000001</v>
      </c>
      <c r="E594">
        <v>2.5678000000000001</v>
      </c>
      <c r="F594">
        <v>6091826.1399999997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0.12975391498881503</v>
      </c>
      <c r="Q594">
        <f t="shared" si="990"/>
        <v>790438.29109620117</v>
      </c>
      <c r="R594">
        <f t="shared" si="991"/>
        <v>357460064.35026121</v>
      </c>
      <c r="S594">
        <f t="shared" si="992"/>
        <v>3574.600643502612</v>
      </c>
      <c r="T594">
        <f t="shared" si="993"/>
        <v>3.5746006435026119</v>
      </c>
    </row>
    <row r="595" spans="1:20" x14ac:dyDescent="0.25">
      <c r="A595" s="5">
        <v>43998</v>
      </c>
      <c r="B595">
        <v>2.5316999999999998</v>
      </c>
      <c r="C595">
        <v>2.5647000000000002</v>
      </c>
      <c r="D595">
        <v>2.5213999999999999</v>
      </c>
      <c r="E595">
        <v>2.5539000000000001</v>
      </c>
      <c r="F595">
        <v>4326837.91</v>
      </c>
      <c r="G595">
        <v>0</v>
      </c>
      <c r="L595" t="s">
        <v>7</v>
      </c>
      <c r="M595" t="s">
        <v>8</v>
      </c>
      <c r="N595" t="s">
        <v>8</v>
      </c>
      <c r="P595">
        <f t="shared" si="989"/>
        <v>0.50115473441108271</v>
      </c>
      <c r="Q595">
        <f t="shared" si="990"/>
        <v>2168415.3036258542</v>
      </c>
      <c r="R595">
        <f t="shared" si="991"/>
        <v>356669626.059165</v>
      </c>
      <c r="S595">
        <f t="shared" si="992"/>
        <v>3566.6962605916501</v>
      </c>
      <c r="T595">
        <f t="shared" si="993"/>
        <v>3.5666962605916499</v>
      </c>
    </row>
    <row r="596" spans="1:20" x14ac:dyDescent="0.25">
      <c r="A596" s="5">
        <v>43997</v>
      </c>
      <c r="B596">
        <v>2.5680000000000001</v>
      </c>
      <c r="C596">
        <v>2.5703</v>
      </c>
      <c r="D596">
        <v>2.41</v>
      </c>
      <c r="E596">
        <v>2.532</v>
      </c>
      <c r="F596">
        <v>7697502.4800000004</v>
      </c>
      <c r="G596">
        <v>0</v>
      </c>
      <c r="L596" t="s">
        <v>7</v>
      </c>
      <c r="M596" t="s">
        <v>8</v>
      </c>
      <c r="N596" t="s">
        <v>8</v>
      </c>
      <c r="P596">
        <f t="shared" si="989"/>
        <v>0.52214597629444759</v>
      </c>
      <c r="Q596">
        <f t="shared" si="990"/>
        <v>4019219.9474485316</v>
      </c>
      <c r="R596">
        <f t="shared" si="991"/>
        <v>354501210.75553912</v>
      </c>
      <c r="S596">
        <f t="shared" si="992"/>
        <v>3545.0121075553911</v>
      </c>
      <c r="T596">
        <f t="shared" si="993"/>
        <v>3.5450121075553911</v>
      </c>
    </row>
    <row r="597" spans="1:20" x14ac:dyDescent="0.25">
      <c r="A597" s="5">
        <v>43996</v>
      </c>
      <c r="B597">
        <v>2.6055000000000001</v>
      </c>
      <c r="C597">
        <v>2.6071</v>
      </c>
      <c r="D597">
        <v>2.5236999999999998</v>
      </c>
      <c r="E597">
        <v>2.5680999999999998</v>
      </c>
      <c r="F597">
        <v>3725316.31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6.4748201438847006E-2</v>
      </c>
      <c r="Q597">
        <f t="shared" si="990"/>
        <v>241207.53086330221</v>
      </c>
      <c r="R597">
        <f t="shared" si="991"/>
        <v>350481990.80809057</v>
      </c>
      <c r="S597">
        <f t="shared" si="992"/>
        <v>3504.8199080809059</v>
      </c>
      <c r="T597">
        <f t="shared" si="993"/>
        <v>3.5048199080809059</v>
      </c>
    </row>
    <row r="598" spans="1:20" x14ac:dyDescent="0.25">
      <c r="A598" s="5">
        <v>43995</v>
      </c>
      <c r="B598">
        <v>2.597</v>
      </c>
      <c r="C598">
        <v>2.62</v>
      </c>
      <c r="D598">
        <v>2.5520999999999998</v>
      </c>
      <c r="E598">
        <v>2.6042000000000001</v>
      </c>
      <c r="F598">
        <v>3760241.26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0.53460972017673147</v>
      </c>
      <c r="Q598">
        <f t="shared" si="990"/>
        <v>2010261.5278056001</v>
      </c>
      <c r="R598">
        <f t="shared" si="991"/>
        <v>350240783.27722728</v>
      </c>
      <c r="S598">
        <f t="shared" si="992"/>
        <v>3502.4078327722727</v>
      </c>
      <c r="T598">
        <f t="shared" si="993"/>
        <v>3.5024078327722727</v>
      </c>
    </row>
    <row r="599" spans="1:20" x14ac:dyDescent="0.25">
      <c r="A599" s="5">
        <v>43994</v>
      </c>
      <c r="B599">
        <v>2.5146000000000002</v>
      </c>
      <c r="C599">
        <v>2.6238999999999999</v>
      </c>
      <c r="D599">
        <v>2.4876</v>
      </c>
      <c r="E599">
        <v>2.597</v>
      </c>
      <c r="F599">
        <v>6357355.3899999997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0.60528246515040429</v>
      </c>
      <c r="Q599">
        <f t="shared" si="990"/>
        <v>3847995.7422964098</v>
      </c>
      <c r="R599">
        <f t="shared" si="991"/>
        <v>348230521.74942166</v>
      </c>
      <c r="S599">
        <f t="shared" si="992"/>
        <v>3482.3052174942168</v>
      </c>
      <c r="T599">
        <f t="shared" si="993"/>
        <v>3.4823052174942166</v>
      </c>
    </row>
    <row r="600" spans="1:20" x14ac:dyDescent="0.25">
      <c r="A600" s="5">
        <v>43993</v>
      </c>
      <c r="B600">
        <v>2.7562000000000002</v>
      </c>
      <c r="C600">
        <v>2.7736999999999998</v>
      </c>
      <c r="D600">
        <v>2.4251</v>
      </c>
      <c r="E600">
        <v>2.5146000000000002</v>
      </c>
      <c r="F600">
        <v>11340411.32</v>
      </c>
      <c r="G600">
        <v>0</v>
      </c>
      <c r="L600" t="s">
        <v>7</v>
      </c>
      <c r="M600" t="s">
        <v>8</v>
      </c>
      <c r="N600" t="s">
        <v>8</v>
      </c>
      <c r="P600">
        <f t="shared" si="989"/>
        <v>-0.48651749856569027</v>
      </c>
      <c r="Q600">
        <f t="shared" si="990"/>
        <v>-5517308.5481124381</v>
      </c>
      <c r="R600">
        <f t="shared" si="991"/>
        <v>344382526.00712526</v>
      </c>
      <c r="S600">
        <f t="shared" si="992"/>
        <v>3443.8252600712526</v>
      </c>
      <c r="T600">
        <f t="shared" si="993"/>
        <v>3.4438252600712524</v>
      </c>
    </row>
    <row r="601" spans="1:20" x14ac:dyDescent="0.25">
      <c r="A601" s="5">
        <v>43992</v>
      </c>
      <c r="B601">
        <v>2.7505000000000002</v>
      </c>
      <c r="C601">
        <v>2.7898999999999998</v>
      </c>
      <c r="D601">
        <v>2.7054999999999998</v>
      </c>
      <c r="E601">
        <v>2.7568000000000001</v>
      </c>
      <c r="F601">
        <v>5910175.9400000004</v>
      </c>
      <c r="G601">
        <v>0</v>
      </c>
      <c r="L601" t="s">
        <v>7</v>
      </c>
      <c r="M601" t="s">
        <v>8</v>
      </c>
      <c r="N601" t="s">
        <v>8</v>
      </c>
      <c r="P601">
        <f t="shared" si="989"/>
        <v>0.21563981042654803</v>
      </c>
      <c r="Q601">
        <f t="shared" si="990"/>
        <v>1274469.2192891454</v>
      </c>
      <c r="R601">
        <f t="shared" si="991"/>
        <v>349899834.55523771</v>
      </c>
      <c r="S601">
        <f t="shared" si="992"/>
        <v>3498.998345552377</v>
      </c>
      <c r="T601">
        <f t="shared" si="993"/>
        <v>3.4989983455523772</v>
      </c>
    </row>
    <row r="602" spans="1:20" x14ac:dyDescent="0.25">
      <c r="A602" s="5">
        <v>43991</v>
      </c>
      <c r="B602">
        <v>2.7879999999999998</v>
      </c>
      <c r="C602">
        <v>2.8006000000000002</v>
      </c>
      <c r="D602">
        <v>2.6850000000000001</v>
      </c>
      <c r="E602">
        <v>2.7505000000000002</v>
      </c>
      <c r="F602">
        <v>6652406.8700000001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0.13321799307958529</v>
      </c>
      <c r="Q602">
        <f t="shared" si="990"/>
        <v>886220.29237024568</v>
      </c>
      <c r="R602">
        <f t="shared" si="991"/>
        <v>348625365.33594859</v>
      </c>
      <c r="S602">
        <f t="shared" si="992"/>
        <v>3486.2536533594857</v>
      </c>
      <c r="T602">
        <f t="shared" si="993"/>
        <v>3.4862536533594857</v>
      </c>
    </row>
    <row r="603" spans="1:20" x14ac:dyDescent="0.25">
      <c r="A603" s="5">
        <v>43990</v>
      </c>
      <c r="B603">
        <v>2.8100999999999998</v>
      </c>
      <c r="C603">
        <v>2.8174000000000001</v>
      </c>
      <c r="D603">
        <v>2.7521</v>
      </c>
      <c r="E603">
        <v>2.7877999999999998</v>
      </c>
      <c r="F603">
        <v>5806942.6799999997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9.3415007656960758E-2</v>
      </c>
      <c r="Q603">
        <f t="shared" si="990"/>
        <v>542455.59491573216</v>
      </c>
      <c r="R603">
        <f t="shared" si="991"/>
        <v>347739145.04357833</v>
      </c>
      <c r="S603">
        <f t="shared" si="992"/>
        <v>3477.3914504357831</v>
      </c>
      <c r="T603">
        <f t="shared" si="993"/>
        <v>3.4773914504357832</v>
      </c>
    </row>
    <row r="604" spans="1:20" x14ac:dyDescent="0.25">
      <c r="A604" s="5">
        <v>43989</v>
      </c>
      <c r="B604">
        <v>2.7986</v>
      </c>
      <c r="C604">
        <v>2.8288000000000002</v>
      </c>
      <c r="D604">
        <v>2.7313000000000001</v>
      </c>
      <c r="E604">
        <v>2.8098000000000001</v>
      </c>
      <c r="F604">
        <v>6966955.9500000002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0.6102564102564082</v>
      </c>
      <c r="Q604">
        <f t="shared" si="990"/>
        <v>4251629.5284615243</v>
      </c>
      <c r="R604">
        <f t="shared" si="991"/>
        <v>347196689.44866258</v>
      </c>
      <c r="S604">
        <f t="shared" si="992"/>
        <v>3471.9668944866257</v>
      </c>
      <c r="T604">
        <f t="shared" si="993"/>
        <v>3.4719668944866258</v>
      </c>
    </row>
    <row r="605" spans="1:20" x14ac:dyDescent="0.25">
      <c r="A605" s="5">
        <v>43988</v>
      </c>
      <c r="B605">
        <v>2.8136999999999999</v>
      </c>
      <c r="C605">
        <v>2.8460999999999999</v>
      </c>
      <c r="D605">
        <v>2.7703000000000002</v>
      </c>
      <c r="E605">
        <v>2.7982</v>
      </c>
      <c r="F605">
        <v>6954722.6900000004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-0.26385224274406477</v>
      </c>
      <c r="Q605">
        <f t="shared" si="990"/>
        <v>-1835019.1794195352</v>
      </c>
      <c r="R605">
        <f t="shared" si="991"/>
        <v>342945059.92020106</v>
      </c>
      <c r="S605">
        <f t="shared" si="992"/>
        <v>3429.4505992020108</v>
      </c>
      <c r="T605">
        <f t="shared" si="993"/>
        <v>3.4294505992020108</v>
      </c>
    </row>
    <row r="606" spans="1:20" x14ac:dyDescent="0.25">
      <c r="A606" s="5">
        <v>43987</v>
      </c>
      <c r="B606">
        <v>2.7201</v>
      </c>
      <c r="C606">
        <v>2.8702999999999999</v>
      </c>
      <c r="D606">
        <v>2.7067999999999999</v>
      </c>
      <c r="E606">
        <v>2.8142999999999998</v>
      </c>
      <c r="F606">
        <v>9928226.0399999991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0.31498470948012164</v>
      </c>
      <c r="Q606">
        <f t="shared" si="990"/>
        <v>3127239.394862378</v>
      </c>
      <c r="R606">
        <f t="shared" si="991"/>
        <v>344780079.09962058</v>
      </c>
      <c r="S606">
        <f t="shared" si="992"/>
        <v>3447.8007909962057</v>
      </c>
      <c r="T606">
        <f t="shared" si="993"/>
        <v>3.4478007909962058</v>
      </c>
    </row>
    <row r="607" spans="1:20" x14ac:dyDescent="0.25">
      <c r="A607" s="5">
        <v>43986</v>
      </c>
      <c r="B607">
        <v>2.6958000000000002</v>
      </c>
      <c r="C607">
        <v>2.7483</v>
      </c>
      <c r="D607">
        <v>2.6625000000000001</v>
      </c>
      <c r="E607">
        <v>2.7202999999999999</v>
      </c>
      <c r="F607">
        <v>6329555.25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0.34731934731934577</v>
      </c>
      <c r="Q607">
        <f t="shared" si="990"/>
        <v>2198376.9982517385</v>
      </c>
      <c r="R607">
        <f t="shared" si="991"/>
        <v>341652839.70475823</v>
      </c>
      <c r="S607">
        <f t="shared" si="992"/>
        <v>3416.5283970475821</v>
      </c>
      <c r="T607">
        <f t="shared" si="993"/>
        <v>3.4165283970475819</v>
      </c>
    </row>
    <row r="608" spans="1:20" x14ac:dyDescent="0.25">
      <c r="A608" s="5">
        <v>43985</v>
      </c>
      <c r="B608">
        <v>2.6747999999999998</v>
      </c>
      <c r="C608">
        <v>2.7098</v>
      </c>
      <c r="D608">
        <v>2.6328</v>
      </c>
      <c r="E608">
        <v>2.6958000000000002</v>
      </c>
      <c r="F608">
        <v>6620031.1699999999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0.63636363636364157</v>
      </c>
      <c r="Q608">
        <f t="shared" si="990"/>
        <v>4212747.1081818528</v>
      </c>
      <c r="R608">
        <f t="shared" si="991"/>
        <v>339454462.70650649</v>
      </c>
      <c r="S608">
        <f t="shared" si="992"/>
        <v>3394.544627065065</v>
      </c>
      <c r="T608">
        <f t="shared" si="993"/>
        <v>3.394544627065065</v>
      </c>
    </row>
    <row r="609" spans="1:20" x14ac:dyDescent="0.25">
      <c r="A609" s="5">
        <v>43984</v>
      </c>
      <c r="B609">
        <v>2.8214000000000001</v>
      </c>
      <c r="C609">
        <v>2.8938999999999999</v>
      </c>
      <c r="D609">
        <v>2.5750000000000002</v>
      </c>
      <c r="E609">
        <v>2.6756000000000002</v>
      </c>
      <c r="F609">
        <v>13945544.07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-0.36908121668234489</v>
      </c>
      <c r="Q609">
        <f t="shared" si="990"/>
        <v>-5147038.3726528604</v>
      </c>
      <c r="R609">
        <f t="shared" si="991"/>
        <v>335241715.59832466</v>
      </c>
      <c r="S609">
        <f t="shared" si="992"/>
        <v>3352.4171559832466</v>
      </c>
      <c r="T609">
        <f t="shared" si="993"/>
        <v>3.3524171559832467</v>
      </c>
    </row>
    <row r="610" spans="1:20" x14ac:dyDescent="0.25">
      <c r="A610" s="5">
        <v>43983</v>
      </c>
      <c r="B610">
        <v>2.6722000000000001</v>
      </c>
      <c r="C610">
        <v>2.83</v>
      </c>
      <c r="D610">
        <v>2.6623999999999999</v>
      </c>
      <c r="E610">
        <v>2.8214000000000001</v>
      </c>
      <c r="F610">
        <v>9842934.5600000005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0.89737470167064526</v>
      </c>
      <c r="Q610">
        <f t="shared" si="990"/>
        <v>8832800.4643436838</v>
      </c>
      <c r="R610">
        <f t="shared" si="991"/>
        <v>340388753.97097754</v>
      </c>
      <c r="S610">
        <f t="shared" si="992"/>
        <v>3403.8875397097754</v>
      </c>
      <c r="T610">
        <f t="shared" si="993"/>
        <v>3.4038875397097752</v>
      </c>
    </row>
    <row r="611" spans="1:20" x14ac:dyDescent="0.25">
      <c r="A611" s="5">
        <v>43982</v>
      </c>
      <c r="B611">
        <v>2.7717000000000001</v>
      </c>
      <c r="C611">
        <v>2.7742</v>
      </c>
      <c r="D611">
        <v>2.6476000000000002</v>
      </c>
      <c r="E611">
        <v>2.6730999999999998</v>
      </c>
      <c r="F611">
        <v>8793367.4000000004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-0.59715639810427057</v>
      </c>
      <c r="Q611">
        <f t="shared" si="990"/>
        <v>-5251015.6037915144</v>
      </c>
      <c r="R611">
        <f t="shared" si="991"/>
        <v>331555953.50663388</v>
      </c>
      <c r="S611">
        <f t="shared" si="992"/>
        <v>3315.5595350663389</v>
      </c>
      <c r="T611">
        <f t="shared" si="993"/>
        <v>3.3155595350663387</v>
      </c>
    </row>
    <row r="612" spans="1:20" x14ac:dyDescent="0.25">
      <c r="A612" s="5">
        <v>43981</v>
      </c>
      <c r="B612">
        <v>2.6147</v>
      </c>
      <c r="C612">
        <v>2.7806000000000002</v>
      </c>
      <c r="D612">
        <v>2.5969000000000002</v>
      </c>
      <c r="E612">
        <v>2.7715000000000001</v>
      </c>
      <c r="F612">
        <v>8054685.5899999999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0.90092542188350455</v>
      </c>
      <c r="Q612">
        <f t="shared" si="990"/>
        <v>7256671.0133097349</v>
      </c>
      <c r="R612">
        <f t="shared" si="991"/>
        <v>336806969.11042541</v>
      </c>
      <c r="S612">
        <f t="shared" si="992"/>
        <v>3368.0696911042542</v>
      </c>
      <c r="T612">
        <f t="shared" si="993"/>
        <v>3.368069691104254</v>
      </c>
    </row>
    <row r="613" spans="1:20" x14ac:dyDescent="0.25">
      <c r="A613" s="5">
        <v>43980</v>
      </c>
      <c r="B613">
        <v>2.6113</v>
      </c>
      <c r="C613">
        <v>2.6692</v>
      </c>
      <c r="D613">
        <v>2.5889000000000002</v>
      </c>
      <c r="E613">
        <v>2.6143999999999998</v>
      </c>
      <c r="F613">
        <v>5998494.71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-0.36488169364882461</v>
      </c>
      <c r="Q613">
        <f t="shared" si="990"/>
        <v>-2188740.9091283148</v>
      </c>
      <c r="R613">
        <f t="shared" si="991"/>
        <v>329550298.0971157</v>
      </c>
      <c r="S613">
        <f t="shared" si="992"/>
        <v>3295.5029809711568</v>
      </c>
      <c r="T613">
        <f t="shared" si="993"/>
        <v>3.2955029809711567</v>
      </c>
    </row>
    <row r="614" spans="1:20" x14ac:dyDescent="0.25">
      <c r="A614" s="5">
        <v>43979</v>
      </c>
      <c r="B614">
        <v>2.5714000000000001</v>
      </c>
      <c r="C614">
        <v>2.6194000000000002</v>
      </c>
      <c r="D614">
        <v>2.5183</v>
      </c>
      <c r="E614">
        <v>2.6120000000000001</v>
      </c>
      <c r="F614">
        <v>5577593.3499999996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0.85361028684470708</v>
      </c>
      <c r="Q614">
        <f t="shared" si="990"/>
        <v>4761091.0593966302</v>
      </c>
      <c r="R614">
        <f t="shared" si="991"/>
        <v>331739039.006244</v>
      </c>
      <c r="S614">
        <f t="shared" si="992"/>
        <v>3317.39039006244</v>
      </c>
      <c r="T614">
        <f t="shared" si="993"/>
        <v>3.3173903900624402</v>
      </c>
    </row>
    <row r="615" spans="1:20" x14ac:dyDescent="0.25">
      <c r="A615" s="5">
        <v>43978</v>
      </c>
      <c r="B615">
        <v>2.5032999999999999</v>
      </c>
      <c r="C615">
        <v>2.577</v>
      </c>
      <c r="D615">
        <v>2.4994999999999998</v>
      </c>
      <c r="E615">
        <v>2.5714999999999999</v>
      </c>
      <c r="F615">
        <v>5427168.8300000001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0.8580645161290309</v>
      </c>
      <c r="Q615">
        <f t="shared" si="990"/>
        <v>4656860.9960645093</v>
      </c>
      <c r="R615">
        <f t="shared" si="991"/>
        <v>326977947.94684738</v>
      </c>
      <c r="S615">
        <f t="shared" si="992"/>
        <v>3269.7794794684737</v>
      </c>
      <c r="T615">
        <f t="shared" si="993"/>
        <v>3.2697794794684736</v>
      </c>
    </row>
    <row r="616" spans="1:20" x14ac:dyDescent="0.25">
      <c r="A616" s="5">
        <v>43977</v>
      </c>
      <c r="B616">
        <v>2.5304000000000002</v>
      </c>
      <c r="C616">
        <v>2.5364</v>
      </c>
      <c r="D616">
        <v>2.4567999999999999</v>
      </c>
      <c r="E616">
        <v>2.5034000000000001</v>
      </c>
      <c r="F616">
        <v>4352859.12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0.17085427135678719</v>
      </c>
      <c r="Q616">
        <f t="shared" si="990"/>
        <v>743704.57326634589</v>
      </c>
      <c r="R616">
        <f t="shared" si="991"/>
        <v>322321086.9507829</v>
      </c>
      <c r="S616">
        <f t="shared" si="992"/>
        <v>3223.2108695078291</v>
      </c>
      <c r="T616">
        <f t="shared" si="993"/>
        <v>3.2232108695078292</v>
      </c>
    </row>
    <row r="617" spans="1:20" x14ac:dyDescent="0.25">
      <c r="A617" s="5">
        <v>43976</v>
      </c>
      <c r="B617">
        <v>2.4887000000000001</v>
      </c>
      <c r="C617">
        <v>2.5478999999999998</v>
      </c>
      <c r="D617">
        <v>2.4474999999999998</v>
      </c>
      <c r="E617">
        <v>2.5295999999999998</v>
      </c>
      <c r="F617">
        <v>5026473.13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0.63545816733067784</v>
      </c>
      <c r="Q617">
        <f t="shared" si="990"/>
        <v>3194113.4033266958</v>
      </c>
      <c r="R617">
        <f t="shared" si="991"/>
        <v>321577382.37751657</v>
      </c>
      <c r="S617">
        <f t="shared" si="992"/>
        <v>3215.7738237751655</v>
      </c>
      <c r="T617">
        <f t="shared" si="993"/>
        <v>3.2157738237751654</v>
      </c>
    </row>
    <row r="618" spans="1:20" x14ac:dyDescent="0.25">
      <c r="A618" s="5">
        <v>43975</v>
      </c>
      <c r="B618">
        <v>2.5626000000000002</v>
      </c>
      <c r="C618">
        <v>2.6118000000000001</v>
      </c>
      <c r="D618">
        <v>2.4855</v>
      </c>
      <c r="E618">
        <v>2.4878999999999998</v>
      </c>
      <c r="F618">
        <v>8109723.79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-0.96199524940617998</v>
      </c>
      <c r="Q618">
        <f t="shared" si="990"/>
        <v>-7801515.7599762809</v>
      </c>
      <c r="R618">
        <f t="shared" si="991"/>
        <v>318383268.97418988</v>
      </c>
      <c r="S618">
        <f t="shared" si="992"/>
        <v>3183.8326897418988</v>
      </c>
      <c r="T618">
        <f t="shared" si="993"/>
        <v>3.1838326897418989</v>
      </c>
    </row>
    <row r="619" spans="1:20" x14ac:dyDescent="0.25">
      <c r="A619" s="5">
        <v>43974</v>
      </c>
      <c r="B619">
        <v>2.5945999999999998</v>
      </c>
      <c r="C619">
        <v>2.6221999999999999</v>
      </c>
      <c r="D619">
        <v>2.5436000000000001</v>
      </c>
      <c r="E619">
        <v>2.5630999999999999</v>
      </c>
      <c r="F619">
        <v>6936985.4500000002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-0.50381679389313216</v>
      </c>
      <c r="Q619">
        <f t="shared" si="990"/>
        <v>-3494969.7687023068</v>
      </c>
      <c r="R619">
        <f t="shared" si="991"/>
        <v>326184784.73416615</v>
      </c>
      <c r="S619">
        <f t="shared" si="992"/>
        <v>3261.8478473416612</v>
      </c>
      <c r="T619">
        <f t="shared" si="993"/>
        <v>3.2618478473416612</v>
      </c>
    </row>
    <row r="620" spans="1:20" x14ac:dyDescent="0.25">
      <c r="A620" s="5">
        <v>43973</v>
      </c>
      <c r="B620">
        <v>2.4622000000000002</v>
      </c>
      <c r="C620">
        <v>2.6465999999999998</v>
      </c>
      <c r="D620">
        <v>2.4407999999999999</v>
      </c>
      <c r="E620">
        <v>2.5948000000000002</v>
      </c>
      <c r="F620">
        <v>9743621.9499999993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0.49659863945578592</v>
      </c>
      <c r="Q620">
        <f t="shared" si="990"/>
        <v>4838669.4037415311</v>
      </c>
      <c r="R620">
        <f t="shared" si="991"/>
        <v>329679754.50286847</v>
      </c>
      <c r="S620">
        <f t="shared" si="992"/>
        <v>3296.7975450286849</v>
      </c>
      <c r="T620">
        <f t="shared" si="993"/>
        <v>3.2967975450286851</v>
      </c>
    </row>
    <row r="621" spans="1:20" x14ac:dyDescent="0.25">
      <c r="A621" s="5">
        <v>43972</v>
      </c>
      <c r="B621">
        <v>2.5975000000000001</v>
      </c>
      <c r="C621">
        <v>2.6166</v>
      </c>
      <c r="D621">
        <v>2.4058999999999999</v>
      </c>
      <c r="E621">
        <v>2.4621</v>
      </c>
      <c r="F621">
        <v>8360653.1600000001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-0.46654010441385857</v>
      </c>
      <c r="Q621">
        <f t="shared" si="990"/>
        <v>-3900579.9982344569</v>
      </c>
      <c r="R621">
        <f t="shared" si="991"/>
        <v>324841085.09912694</v>
      </c>
      <c r="S621">
        <f t="shared" si="992"/>
        <v>3248.4108509912694</v>
      </c>
      <c r="T621">
        <f t="shared" si="993"/>
        <v>3.2484108509912692</v>
      </c>
    </row>
    <row r="622" spans="1:20" x14ac:dyDescent="0.25">
      <c r="A622" s="5">
        <v>43971</v>
      </c>
      <c r="B622">
        <v>2.653</v>
      </c>
      <c r="C622">
        <v>2.6772</v>
      </c>
      <c r="D622">
        <v>2.5055000000000001</v>
      </c>
      <c r="E622">
        <v>2.597</v>
      </c>
      <c r="F622">
        <v>10300961.15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6.5812463599300333E-2</v>
      </c>
      <c r="Q622">
        <f t="shared" si="990"/>
        <v>677931.63072218187</v>
      </c>
      <c r="R622">
        <f t="shared" si="991"/>
        <v>328741665.09736139</v>
      </c>
      <c r="S622">
        <f t="shared" si="992"/>
        <v>3287.4166509736137</v>
      </c>
      <c r="T622">
        <f t="shared" si="993"/>
        <v>3.2874166509736136</v>
      </c>
    </row>
    <row r="623" spans="1:20" x14ac:dyDescent="0.25">
      <c r="A623" s="5">
        <v>43970</v>
      </c>
      <c r="B623">
        <v>2.6652</v>
      </c>
      <c r="C623">
        <v>2.6682999999999999</v>
      </c>
      <c r="D623">
        <v>2.5606</v>
      </c>
      <c r="E623">
        <v>2.6543000000000001</v>
      </c>
      <c r="F623">
        <v>7462912.25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0.74001857010213923</v>
      </c>
      <c r="Q623">
        <f t="shared" si="990"/>
        <v>5522693.6520427382</v>
      </c>
      <c r="R623">
        <f t="shared" si="991"/>
        <v>328063733.46663922</v>
      </c>
      <c r="S623">
        <f t="shared" si="992"/>
        <v>3280.6373346663922</v>
      </c>
      <c r="T623">
        <f t="shared" si="993"/>
        <v>3.2806373346663924</v>
      </c>
    </row>
    <row r="624" spans="1:20" x14ac:dyDescent="0.25">
      <c r="A624" s="5">
        <v>43969</v>
      </c>
      <c r="B624">
        <v>2.62</v>
      </c>
      <c r="C624">
        <v>2.7486000000000002</v>
      </c>
      <c r="D624">
        <v>2.6073</v>
      </c>
      <c r="E624">
        <v>2.6652999999999998</v>
      </c>
      <c r="F624">
        <v>11147526.810000001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-0.17905166312809984</v>
      </c>
      <c r="Q624">
        <f t="shared" si="990"/>
        <v>-1995983.2150955815</v>
      </c>
      <c r="R624">
        <f t="shared" si="991"/>
        <v>322541039.81459647</v>
      </c>
      <c r="S624">
        <f t="shared" si="992"/>
        <v>3225.4103981459648</v>
      </c>
      <c r="T624">
        <f t="shared" si="993"/>
        <v>3.2254103981459648</v>
      </c>
    </row>
    <row r="625" spans="1:20" x14ac:dyDescent="0.25">
      <c r="A625" s="5">
        <v>43968</v>
      </c>
      <c r="B625">
        <v>2.6362000000000001</v>
      </c>
      <c r="C625">
        <v>2.6720000000000002</v>
      </c>
      <c r="D625">
        <v>2.5931000000000002</v>
      </c>
      <c r="E625">
        <v>2.6204999999999998</v>
      </c>
      <c r="F625">
        <v>6915989.5800000001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-0.30544993662865255</v>
      </c>
      <c r="Q625">
        <f t="shared" si="990"/>
        <v>-2112488.5789354215</v>
      </c>
      <c r="R625">
        <f t="shared" si="991"/>
        <v>324537023.02969205</v>
      </c>
      <c r="S625">
        <f t="shared" si="992"/>
        <v>3245.3702302969205</v>
      </c>
      <c r="T625">
        <f t="shared" si="993"/>
        <v>3.2453702302969205</v>
      </c>
    </row>
    <row r="626" spans="1:20" x14ac:dyDescent="0.25">
      <c r="A626" s="5">
        <v>43967</v>
      </c>
      <c r="B626">
        <v>2.5853000000000002</v>
      </c>
      <c r="C626">
        <v>2.6837</v>
      </c>
      <c r="D626">
        <v>2.57</v>
      </c>
      <c r="E626">
        <v>2.6360999999999999</v>
      </c>
      <c r="F626">
        <v>9973391.3000000007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0.16270888302550518</v>
      </c>
      <c r="Q626">
        <f t="shared" si="990"/>
        <v>1622759.3583992911</v>
      </c>
      <c r="R626">
        <f t="shared" si="991"/>
        <v>326649511.6086275</v>
      </c>
      <c r="S626">
        <f t="shared" si="992"/>
        <v>3266.4951160862752</v>
      </c>
      <c r="T626">
        <f t="shared" si="993"/>
        <v>3.2664951160862752</v>
      </c>
    </row>
    <row r="627" spans="1:20" x14ac:dyDescent="0.25">
      <c r="A627" s="5">
        <v>43966</v>
      </c>
      <c r="B627">
        <v>2.6227999999999998</v>
      </c>
      <c r="C627">
        <v>2.6638999999999999</v>
      </c>
      <c r="D627">
        <v>2.5341999999999998</v>
      </c>
      <c r="E627">
        <v>2.5855000000000001</v>
      </c>
      <c r="F627">
        <v>11749481.59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-0.20894371626830707</v>
      </c>
      <c r="Q627">
        <f t="shared" si="990"/>
        <v>-2454980.3476406573</v>
      </c>
      <c r="R627">
        <f t="shared" si="991"/>
        <v>325026752.25022823</v>
      </c>
      <c r="S627">
        <f t="shared" si="992"/>
        <v>3250.2675225022822</v>
      </c>
      <c r="T627">
        <f t="shared" si="993"/>
        <v>3.2502675225022823</v>
      </c>
    </row>
    <row r="628" spans="1:20" x14ac:dyDescent="0.25">
      <c r="A628" s="5">
        <v>43965</v>
      </c>
      <c r="B628">
        <v>2.5245000000000002</v>
      </c>
      <c r="C628">
        <v>2.6515</v>
      </c>
      <c r="D628">
        <v>2.4681999999999999</v>
      </c>
      <c r="E628">
        <v>2.6227999999999998</v>
      </c>
      <c r="F628">
        <v>11035900.08</v>
      </c>
      <c r="G628">
        <v>0</v>
      </c>
      <c r="L628" t="s">
        <v>8</v>
      </c>
      <c r="M628" t="s">
        <v>7</v>
      </c>
      <c r="N628" t="s">
        <v>8</v>
      </c>
      <c r="P628">
        <f t="shared" si="989"/>
        <v>0.68685215493725948</v>
      </c>
      <c r="Q628">
        <f t="shared" si="990"/>
        <v>7580031.751620274</v>
      </c>
      <c r="R628">
        <f t="shared" si="991"/>
        <v>327481732.59786886</v>
      </c>
      <c r="S628">
        <f t="shared" si="992"/>
        <v>3274.8173259786886</v>
      </c>
      <c r="T628">
        <f t="shared" si="993"/>
        <v>3.2748173259786886</v>
      </c>
    </row>
    <row r="629" spans="1:20" x14ac:dyDescent="0.25">
      <c r="A629" s="5">
        <v>43964</v>
      </c>
      <c r="B629">
        <v>2.4409000000000001</v>
      </c>
      <c r="C629">
        <v>2.5577000000000001</v>
      </c>
      <c r="D629">
        <v>2.4226000000000001</v>
      </c>
      <c r="E629">
        <v>2.5245000000000002</v>
      </c>
      <c r="F629">
        <v>7231895.1299999999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0.50851221317542716</v>
      </c>
      <c r="Q629">
        <f t="shared" si="990"/>
        <v>3677506.9980088933</v>
      </c>
      <c r="R629">
        <f t="shared" si="991"/>
        <v>319901700.84624857</v>
      </c>
      <c r="S629">
        <f t="shared" si="992"/>
        <v>3199.0170084624856</v>
      </c>
      <c r="T629">
        <f t="shared" si="993"/>
        <v>3.1990170084624854</v>
      </c>
    </row>
    <row r="630" spans="1:20" x14ac:dyDescent="0.25">
      <c r="A630" s="5">
        <v>43963</v>
      </c>
      <c r="B630">
        <v>2.3969</v>
      </c>
      <c r="C630">
        <v>2.4687000000000001</v>
      </c>
      <c r="D630">
        <v>2.3938000000000001</v>
      </c>
      <c r="E630">
        <v>2.4409999999999998</v>
      </c>
      <c r="F630">
        <v>7380068.29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0.2603471295060002</v>
      </c>
      <c r="Q630">
        <f t="shared" si="990"/>
        <v>1921379.5948597554</v>
      </c>
      <c r="R630">
        <f t="shared" si="991"/>
        <v>316224193.84823966</v>
      </c>
      <c r="S630">
        <f t="shared" si="992"/>
        <v>3162.2419384823966</v>
      </c>
      <c r="T630">
        <f t="shared" si="993"/>
        <v>3.1622419384823965</v>
      </c>
    </row>
    <row r="631" spans="1:20" x14ac:dyDescent="0.25">
      <c r="A631" s="5">
        <v>43962</v>
      </c>
      <c r="B631">
        <v>2.4434999999999998</v>
      </c>
      <c r="C631">
        <v>2.4941</v>
      </c>
      <c r="D631">
        <v>2.2669999999999999</v>
      </c>
      <c r="E631">
        <v>2.3978000000000002</v>
      </c>
      <c r="F631">
        <v>12927072.960000001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0.15191545574636903</v>
      </c>
      <c r="Q631">
        <f t="shared" si="990"/>
        <v>1963822.1801849639</v>
      </c>
      <c r="R631">
        <f t="shared" si="991"/>
        <v>314302814.25337988</v>
      </c>
      <c r="S631">
        <f t="shared" si="992"/>
        <v>3143.0281425337989</v>
      </c>
      <c r="T631">
        <f t="shared" si="993"/>
        <v>3.1430281425337991</v>
      </c>
    </row>
    <row r="632" spans="1:20" x14ac:dyDescent="0.25">
      <c r="A632" s="5">
        <v>43961</v>
      </c>
      <c r="B632">
        <v>2.7515999999999998</v>
      </c>
      <c r="C632">
        <v>2.7553999999999998</v>
      </c>
      <c r="D632">
        <v>2.2778999999999998</v>
      </c>
      <c r="E632">
        <v>2.4434</v>
      </c>
      <c r="F632">
        <v>20142604.27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-0.30680628272251231</v>
      </c>
      <c r="Q632">
        <f t="shared" si="990"/>
        <v>-6179877.5404293034</v>
      </c>
      <c r="R632">
        <f t="shared" si="991"/>
        <v>312338992.07319492</v>
      </c>
      <c r="S632">
        <f t="shared" si="992"/>
        <v>3123.3899207319491</v>
      </c>
      <c r="T632">
        <f t="shared" si="993"/>
        <v>3.1233899207319493</v>
      </c>
    </row>
    <row r="633" spans="1:20" x14ac:dyDescent="0.25">
      <c r="A633" s="5">
        <v>43960</v>
      </c>
      <c r="B633">
        <v>2.7521</v>
      </c>
      <c r="C633">
        <v>2.8372999999999999</v>
      </c>
      <c r="D633">
        <v>2.7305999999999999</v>
      </c>
      <c r="E633">
        <v>2.7515999999999998</v>
      </c>
      <c r="F633">
        <v>9218218.1099999994</v>
      </c>
      <c r="G633">
        <v>0</v>
      </c>
      <c r="L633" t="s">
        <v>8</v>
      </c>
      <c r="M633" t="s">
        <v>7</v>
      </c>
      <c r="N633" t="s">
        <v>8</v>
      </c>
      <c r="P633">
        <f t="shared" si="989"/>
        <v>-0.60637300843486586</v>
      </c>
      <c r="Q633">
        <f t="shared" si="990"/>
        <v>-5589678.6477694632</v>
      </c>
      <c r="R633">
        <f t="shared" si="991"/>
        <v>318518869.61362422</v>
      </c>
      <c r="S633">
        <f t="shared" si="992"/>
        <v>3185.188696136242</v>
      </c>
      <c r="T633">
        <f t="shared" si="993"/>
        <v>3.1851886961362421</v>
      </c>
    </row>
    <row r="634" spans="1:20" x14ac:dyDescent="0.25">
      <c r="A634" s="5">
        <v>43959</v>
      </c>
      <c r="B634">
        <v>2.7572999999999999</v>
      </c>
      <c r="C634">
        <v>2.8245</v>
      </c>
      <c r="D634">
        <v>2.6987999999999999</v>
      </c>
      <c r="E634">
        <v>2.7517999999999998</v>
      </c>
      <c r="F634">
        <v>9488473.4000000004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-0.15672235481304891</v>
      </c>
      <c r="Q634">
        <f t="shared" si="990"/>
        <v>-1487055.8948289766</v>
      </c>
      <c r="R634">
        <f t="shared" si="991"/>
        <v>324108548.26139367</v>
      </c>
      <c r="S634">
        <f t="shared" si="992"/>
        <v>3241.0854826139366</v>
      </c>
      <c r="T634">
        <f t="shared" si="993"/>
        <v>3.2410854826139368</v>
      </c>
    </row>
    <row r="635" spans="1:20" x14ac:dyDescent="0.25">
      <c r="A635" s="5">
        <v>43958</v>
      </c>
      <c r="B635">
        <v>2.6522000000000001</v>
      </c>
      <c r="C635">
        <v>2.7955999999999999</v>
      </c>
      <c r="D635">
        <v>2.5911</v>
      </c>
      <c r="E635">
        <v>2.7572000000000001</v>
      </c>
      <c r="F635">
        <v>13462500.24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0.62444987775061334</v>
      </c>
      <c r="Q635">
        <f t="shared" si="990"/>
        <v>8406656.6290856022</v>
      </c>
      <c r="R635">
        <f t="shared" si="991"/>
        <v>325595604.15622264</v>
      </c>
      <c r="S635">
        <f t="shared" si="992"/>
        <v>3255.9560415622263</v>
      </c>
      <c r="T635">
        <f t="shared" si="993"/>
        <v>3.2559560415622264</v>
      </c>
    </row>
    <row r="636" spans="1:20" x14ac:dyDescent="0.25">
      <c r="A636" s="5">
        <v>43957</v>
      </c>
      <c r="B636">
        <v>2.7698</v>
      </c>
      <c r="C636">
        <v>2.8191000000000002</v>
      </c>
      <c r="D636">
        <v>2.6202999999999999</v>
      </c>
      <c r="E636">
        <v>2.6522000000000001</v>
      </c>
      <c r="F636">
        <v>8130545.0800000001</v>
      </c>
      <c r="G636">
        <v>0</v>
      </c>
      <c r="L636" t="s">
        <v>7</v>
      </c>
      <c r="M636" t="s">
        <v>7</v>
      </c>
      <c r="N636" t="s">
        <v>8</v>
      </c>
      <c r="P636">
        <f t="shared" si="989"/>
        <v>-0.67907444668007833</v>
      </c>
      <c r="Q636">
        <f t="shared" si="990"/>
        <v>-5521245.401408433</v>
      </c>
      <c r="R636">
        <f t="shared" si="991"/>
        <v>317188947.52713704</v>
      </c>
      <c r="S636">
        <f t="shared" si="992"/>
        <v>3171.8894752713704</v>
      </c>
      <c r="T636">
        <f t="shared" si="993"/>
        <v>3.1718894752713704</v>
      </c>
    </row>
    <row r="637" spans="1:20" x14ac:dyDescent="0.25">
      <c r="A637" s="5">
        <v>43956</v>
      </c>
      <c r="B637">
        <v>2.7692000000000001</v>
      </c>
      <c r="C637">
        <v>2.8269000000000002</v>
      </c>
      <c r="D637">
        <v>2.7128999999999999</v>
      </c>
      <c r="E637">
        <v>2.7706</v>
      </c>
      <c r="F637">
        <v>6468637.4400000004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1.2280701754384577E-2</v>
      </c>
      <c r="Q637">
        <f t="shared" si="990"/>
        <v>79439.407157885769</v>
      </c>
      <c r="R637">
        <f t="shared" si="991"/>
        <v>322710192.92854548</v>
      </c>
      <c r="S637">
        <f t="shared" si="992"/>
        <v>3227.1019292854548</v>
      </c>
      <c r="T637">
        <f t="shared" si="993"/>
        <v>3.227101929285455</v>
      </c>
    </row>
    <row r="638" spans="1:20" x14ac:dyDescent="0.25">
      <c r="A638" s="5">
        <v>43955</v>
      </c>
      <c r="B638">
        <v>2.8384</v>
      </c>
      <c r="C638">
        <v>2.8456000000000001</v>
      </c>
      <c r="D638">
        <v>2.6267999999999998</v>
      </c>
      <c r="E638">
        <v>2.7686999999999999</v>
      </c>
      <c r="F638">
        <v>11585090.529999999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0.29707495429616021</v>
      </c>
      <c r="Q638">
        <f t="shared" si="990"/>
        <v>3441640.2397166281</v>
      </c>
      <c r="R638">
        <f t="shared" si="991"/>
        <v>322630753.52138758</v>
      </c>
      <c r="S638">
        <f t="shared" si="992"/>
        <v>3226.3075352138758</v>
      </c>
      <c r="T638">
        <f t="shared" si="993"/>
        <v>3.2263075352138757</v>
      </c>
    </row>
    <row r="639" spans="1:20" x14ac:dyDescent="0.25">
      <c r="A639" s="5">
        <v>43954</v>
      </c>
      <c r="B639">
        <v>2.9397000000000002</v>
      </c>
      <c r="C639">
        <v>3.01</v>
      </c>
      <c r="D639">
        <v>2.7665999999999999</v>
      </c>
      <c r="E639">
        <v>2.8386999999999998</v>
      </c>
      <c r="F639">
        <v>10310737.039999999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-0.40755957271980381</v>
      </c>
      <c r="Q639">
        <f t="shared" si="990"/>
        <v>-4202239.5824486539</v>
      </c>
      <c r="R639">
        <f t="shared" si="991"/>
        <v>319189113.28167093</v>
      </c>
      <c r="S639">
        <f t="shared" si="992"/>
        <v>3191.8911328167092</v>
      </c>
      <c r="T639">
        <f t="shared" si="993"/>
        <v>3.1918911328167092</v>
      </c>
    </row>
    <row r="640" spans="1:20" x14ac:dyDescent="0.25">
      <c r="A640" s="5">
        <v>43953</v>
      </c>
      <c r="B640">
        <v>2.8733</v>
      </c>
      <c r="C640">
        <v>2.9485000000000001</v>
      </c>
      <c r="D640">
        <v>2.8517999999999999</v>
      </c>
      <c r="E640">
        <v>2.9396</v>
      </c>
      <c r="F640">
        <v>6565534.0999999996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0.81592554291623354</v>
      </c>
      <c r="Q640">
        <f t="shared" si="990"/>
        <v>5356986.9750775443</v>
      </c>
      <c r="R640">
        <f t="shared" si="991"/>
        <v>323391352.86411959</v>
      </c>
      <c r="S640">
        <f t="shared" si="992"/>
        <v>3233.9135286411961</v>
      </c>
      <c r="T640">
        <f t="shared" si="993"/>
        <v>3.233913528641196</v>
      </c>
    </row>
    <row r="641" spans="1:20" x14ac:dyDescent="0.25">
      <c r="A641" s="5">
        <v>43952</v>
      </c>
      <c r="B641">
        <v>2.8208000000000002</v>
      </c>
      <c r="C641">
        <v>2.9296000000000002</v>
      </c>
      <c r="D641">
        <v>2.8195000000000001</v>
      </c>
      <c r="E641">
        <v>2.8731</v>
      </c>
      <c r="F641">
        <v>8743612.1199999992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-2.6339691189830559E-2</v>
      </c>
      <c r="Q641">
        <f t="shared" si="990"/>
        <v>-230304.04312445968</v>
      </c>
      <c r="R641">
        <f t="shared" si="991"/>
        <v>318034365.88904202</v>
      </c>
      <c r="S641">
        <f t="shared" si="992"/>
        <v>3180.3436588904201</v>
      </c>
      <c r="T641">
        <f t="shared" si="993"/>
        <v>3.1803436588904201</v>
      </c>
    </row>
    <row r="642" spans="1:20" x14ac:dyDescent="0.25">
      <c r="A642" s="5">
        <v>43951</v>
      </c>
      <c r="B642">
        <v>3.0057999999999998</v>
      </c>
      <c r="C642">
        <v>3.1187</v>
      </c>
      <c r="D642">
        <v>2.7477</v>
      </c>
      <c r="E642">
        <v>2.8220000000000001</v>
      </c>
      <c r="F642">
        <v>19748582.59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-0.59946091644204835</v>
      </c>
      <c r="Q642">
        <f t="shared" si="990"/>
        <v>-11838503.417832881</v>
      </c>
      <c r="R642">
        <f t="shared" si="991"/>
        <v>318264669.93216646</v>
      </c>
      <c r="S642">
        <f t="shared" si="992"/>
        <v>3182.6466993216645</v>
      </c>
      <c r="T642">
        <f t="shared" si="993"/>
        <v>3.1826466993216647</v>
      </c>
    </row>
    <row r="643" spans="1:20" x14ac:dyDescent="0.25">
      <c r="A643" s="5">
        <v>43950</v>
      </c>
      <c r="B643">
        <v>2.7608999999999999</v>
      </c>
      <c r="C643">
        <v>3.089</v>
      </c>
      <c r="D643">
        <v>2.7551000000000001</v>
      </c>
      <c r="E643">
        <v>3.0059</v>
      </c>
      <c r="F643">
        <v>21932316.850000001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0.5022461814914646</v>
      </c>
      <c r="Q643">
        <f t="shared" si="990"/>
        <v>11015422.389173407</v>
      </c>
      <c r="R643">
        <f t="shared" si="991"/>
        <v>330103173.34999937</v>
      </c>
      <c r="S643">
        <f t="shared" si="992"/>
        <v>3301.0317334999936</v>
      </c>
      <c r="T643">
        <f t="shared" si="993"/>
        <v>3.3010317334999937</v>
      </c>
    </row>
    <row r="644" spans="1:20" x14ac:dyDescent="0.25">
      <c r="A644" s="5">
        <v>43949</v>
      </c>
      <c r="B644">
        <v>2.7429999999999999</v>
      </c>
      <c r="C644">
        <v>2.7747000000000002</v>
      </c>
      <c r="D644">
        <v>2.6873999999999998</v>
      </c>
      <c r="E644">
        <v>2.7614000000000001</v>
      </c>
      <c r="F644">
        <v>8622299.0199999996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0.69530355097365337</v>
      </c>
      <c r="Q644">
        <f t="shared" si="990"/>
        <v>5995115.126162651</v>
      </c>
      <c r="R644">
        <f t="shared" si="991"/>
        <v>319087750.96082598</v>
      </c>
      <c r="S644">
        <f t="shared" si="992"/>
        <v>3190.87750960826</v>
      </c>
      <c r="T644">
        <f t="shared" si="993"/>
        <v>3.19087750960826</v>
      </c>
    </row>
    <row r="645" spans="1:20" x14ac:dyDescent="0.25">
      <c r="A645" s="5">
        <v>43948</v>
      </c>
      <c r="B645">
        <v>2.7374999999999998</v>
      </c>
      <c r="C645">
        <v>2.8172000000000001</v>
      </c>
      <c r="D645">
        <v>2.6800999999999999</v>
      </c>
      <c r="E645">
        <v>2.7429999999999999</v>
      </c>
      <c r="F645">
        <v>12013467.24</v>
      </c>
      <c r="G645">
        <v>0</v>
      </c>
      <c r="L645" t="s">
        <v>8</v>
      </c>
      <c r="M645" t="s">
        <v>8</v>
      </c>
      <c r="N645" t="s">
        <v>8</v>
      </c>
      <c r="P645">
        <f t="shared" si="989"/>
        <v>-8.2421590080235529E-2</v>
      </c>
      <c r="Q645">
        <f t="shared" si="990"/>
        <v>-990169.07229761849</v>
      </c>
      <c r="R645">
        <f t="shared" si="991"/>
        <v>313092635.83466333</v>
      </c>
      <c r="S645">
        <f t="shared" si="992"/>
        <v>3130.9263583466332</v>
      </c>
      <c r="T645">
        <f t="shared" si="993"/>
        <v>3.1309263583466334</v>
      </c>
    </row>
    <row r="646" spans="1:20" x14ac:dyDescent="0.25">
      <c r="A646" s="5">
        <v>43947</v>
      </c>
      <c r="B646">
        <v>2.7012</v>
      </c>
      <c r="C646">
        <v>2.7827000000000002</v>
      </c>
      <c r="D646">
        <v>2.6728000000000001</v>
      </c>
      <c r="E646">
        <v>2.7374999999999998</v>
      </c>
      <c r="F646">
        <v>8182933.2000000002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0.17743403093721008</v>
      </c>
      <c r="Q646">
        <f t="shared" ref="Q646:Q709" si="995">F646*P646</f>
        <v>1451930.8225659234</v>
      </c>
      <c r="R646">
        <f t="shared" ref="R646:R709" si="996">R647+Q646</f>
        <v>314082804.90696096</v>
      </c>
      <c r="S646">
        <f t="shared" ref="S646:S709" si="997">R646/100000</f>
        <v>3140.8280490696097</v>
      </c>
      <c r="T646">
        <f t="shared" ref="T646:T709" si="998">S646/1000</f>
        <v>3.1408280490696097</v>
      </c>
    </row>
    <row r="647" spans="1:20" x14ac:dyDescent="0.25">
      <c r="A647" s="5">
        <v>43946</v>
      </c>
      <c r="B647">
        <v>2.7067999999999999</v>
      </c>
      <c r="C647">
        <v>2.8088000000000002</v>
      </c>
      <c r="D647">
        <v>2.64</v>
      </c>
      <c r="E647">
        <v>2.7023999999999999</v>
      </c>
      <c r="F647">
        <v>8874935.8800000008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-0.26066350710900749</v>
      </c>
      <c r="Q647">
        <f t="shared" si="995"/>
        <v>-2313371.9118483658</v>
      </c>
      <c r="R647">
        <f t="shared" si="996"/>
        <v>312630874.08439505</v>
      </c>
      <c r="S647">
        <f t="shared" si="997"/>
        <v>3126.3087408439505</v>
      </c>
      <c r="T647">
        <f t="shared" si="998"/>
        <v>3.1263087408439505</v>
      </c>
    </row>
    <row r="648" spans="1:20" x14ac:dyDescent="0.25">
      <c r="A648" s="5">
        <v>43945</v>
      </c>
      <c r="B648">
        <v>2.6808999999999998</v>
      </c>
      <c r="C648">
        <v>2.7378999999999998</v>
      </c>
      <c r="D648">
        <v>2.66</v>
      </c>
      <c r="E648">
        <v>2.7067999999999999</v>
      </c>
      <c r="F648">
        <v>8040719.79</v>
      </c>
      <c r="G648">
        <v>0</v>
      </c>
      <c r="L648" t="s">
        <v>8</v>
      </c>
      <c r="M648" t="s">
        <v>7</v>
      </c>
      <c r="N648" t="s">
        <v>8</v>
      </c>
      <c r="P648">
        <f t="shared" si="994"/>
        <v>0.20154043645699485</v>
      </c>
      <c r="Q648">
        <f t="shared" si="995"/>
        <v>1620530.175904996</v>
      </c>
      <c r="R648">
        <f t="shared" si="996"/>
        <v>314944245.99624342</v>
      </c>
      <c r="S648">
        <f t="shared" si="997"/>
        <v>3149.442459962434</v>
      </c>
      <c r="T648">
        <f t="shared" si="998"/>
        <v>3.149442459962434</v>
      </c>
    </row>
    <row r="649" spans="1:20" x14ac:dyDescent="0.25">
      <c r="A649" s="5">
        <v>43944</v>
      </c>
      <c r="B649">
        <v>2.6234999999999999</v>
      </c>
      <c r="C649">
        <v>2.762</v>
      </c>
      <c r="D649">
        <v>2.5764999999999998</v>
      </c>
      <c r="E649">
        <v>2.6810999999999998</v>
      </c>
      <c r="F649">
        <v>9406687.7200000007</v>
      </c>
      <c r="G649">
        <v>0</v>
      </c>
      <c r="L649" t="s">
        <v>8</v>
      </c>
      <c r="M649" t="s">
        <v>7</v>
      </c>
      <c r="N649" t="s">
        <v>8</v>
      </c>
      <c r="P649">
        <f t="shared" si="994"/>
        <v>0.12776280323450029</v>
      </c>
      <c r="Q649">
        <f t="shared" si="995"/>
        <v>1201824.7922587502</v>
      </c>
      <c r="R649">
        <f t="shared" si="996"/>
        <v>313323715.82033843</v>
      </c>
      <c r="S649">
        <f t="shared" si="997"/>
        <v>3133.2371582033843</v>
      </c>
      <c r="T649">
        <f t="shared" si="998"/>
        <v>3.1332371582033844</v>
      </c>
    </row>
    <row r="650" spans="1:20" x14ac:dyDescent="0.25">
      <c r="A650" s="5">
        <v>43943</v>
      </c>
      <c r="B650">
        <v>2.5211000000000001</v>
      </c>
      <c r="C650">
        <v>2.6520999999999999</v>
      </c>
      <c r="D650">
        <v>2.5055999999999998</v>
      </c>
      <c r="E650">
        <v>2.6223999999999998</v>
      </c>
      <c r="F650">
        <v>6242501.8499999996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0.59453924914675704</v>
      </c>
      <c r="Q650">
        <f t="shared" si="995"/>
        <v>3711412.3626962416</v>
      </c>
      <c r="R650">
        <f t="shared" si="996"/>
        <v>312121891.02807969</v>
      </c>
      <c r="S650">
        <f t="shared" si="997"/>
        <v>3121.218910280797</v>
      </c>
      <c r="T650">
        <f t="shared" si="998"/>
        <v>3.1212189102807968</v>
      </c>
    </row>
    <row r="651" spans="1:20" x14ac:dyDescent="0.25">
      <c r="A651" s="5">
        <v>43942</v>
      </c>
      <c r="B651">
        <v>2.5065</v>
      </c>
      <c r="C651">
        <v>2.5691999999999999</v>
      </c>
      <c r="D651">
        <v>2.4777999999999998</v>
      </c>
      <c r="E651">
        <v>2.5211000000000001</v>
      </c>
      <c r="F651">
        <v>8396116.9399999995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-5.2516411378549926E-2</v>
      </c>
      <c r="Q651">
        <f t="shared" si="995"/>
        <v>-440933.93120345176</v>
      </c>
      <c r="R651">
        <f t="shared" si="996"/>
        <v>308410478.66538346</v>
      </c>
      <c r="S651">
        <f t="shared" si="997"/>
        <v>3084.1047866538347</v>
      </c>
      <c r="T651">
        <f t="shared" si="998"/>
        <v>3.0841047866538349</v>
      </c>
    </row>
    <row r="652" spans="1:20" x14ac:dyDescent="0.25">
      <c r="A652" s="5">
        <v>43941</v>
      </c>
      <c r="B652">
        <v>2.5972</v>
      </c>
      <c r="C652">
        <v>2.7061000000000002</v>
      </c>
      <c r="D652">
        <v>2.4363000000000001</v>
      </c>
      <c r="E652">
        <v>2.5076999999999998</v>
      </c>
      <c r="F652">
        <v>16422468.970000001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-0.47071905114900164</v>
      </c>
      <c r="Q652">
        <f t="shared" si="995"/>
        <v>-7730369.0110823223</v>
      </c>
      <c r="R652">
        <f t="shared" si="996"/>
        <v>308851412.59658688</v>
      </c>
      <c r="S652">
        <f t="shared" si="997"/>
        <v>3088.514125965869</v>
      </c>
      <c r="T652">
        <f t="shared" si="998"/>
        <v>3.0885141259658688</v>
      </c>
    </row>
    <row r="653" spans="1:20" x14ac:dyDescent="0.25">
      <c r="A653" s="5">
        <v>43940</v>
      </c>
      <c r="B653">
        <v>2.7265999999999999</v>
      </c>
      <c r="C653">
        <v>2.7347000000000001</v>
      </c>
      <c r="D653">
        <v>2.5366</v>
      </c>
      <c r="E653">
        <v>2.5979999999999999</v>
      </c>
      <c r="F653">
        <v>11326662.859999999</v>
      </c>
      <c r="G653">
        <v>0</v>
      </c>
      <c r="L653" t="s">
        <v>7</v>
      </c>
      <c r="M653" t="s">
        <v>7</v>
      </c>
      <c r="N653" t="s">
        <v>8</v>
      </c>
      <c r="P653">
        <f t="shared" si="994"/>
        <v>-0.38011105502271736</v>
      </c>
      <c r="Q653">
        <f t="shared" si="995"/>
        <v>-4305389.7696012286</v>
      </c>
      <c r="R653">
        <f t="shared" si="996"/>
        <v>316581781.60766923</v>
      </c>
      <c r="S653">
        <f t="shared" si="997"/>
        <v>3165.8178160766925</v>
      </c>
      <c r="T653">
        <f t="shared" si="998"/>
        <v>3.1658178160766925</v>
      </c>
    </row>
    <row r="654" spans="1:20" x14ac:dyDescent="0.25">
      <c r="A654" s="5">
        <v>43939</v>
      </c>
      <c r="B654">
        <v>2.6124999999999998</v>
      </c>
      <c r="C654">
        <v>2.7639</v>
      </c>
      <c r="D654">
        <v>2.6112000000000002</v>
      </c>
      <c r="E654">
        <v>2.7265000000000001</v>
      </c>
      <c r="F654">
        <v>7749674.5300000003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0.51015062213490614</v>
      </c>
      <c r="Q654">
        <f t="shared" si="995"/>
        <v>3953501.2828225363</v>
      </c>
      <c r="R654">
        <f t="shared" si="996"/>
        <v>320887171.37727046</v>
      </c>
      <c r="S654">
        <f t="shared" si="997"/>
        <v>3208.8717137727044</v>
      </c>
      <c r="T654">
        <f t="shared" si="998"/>
        <v>3.2088717137727043</v>
      </c>
    </row>
    <row r="655" spans="1:20" x14ac:dyDescent="0.25">
      <c r="A655" s="5">
        <v>43938</v>
      </c>
      <c r="B655">
        <v>2.6556000000000002</v>
      </c>
      <c r="C655">
        <v>2.6722999999999999</v>
      </c>
      <c r="D655">
        <v>2.5783999999999998</v>
      </c>
      <c r="E655">
        <v>2.6128999999999998</v>
      </c>
      <c r="F655">
        <v>7847106.3399999999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-0.26517571884984154</v>
      </c>
      <c r="Q655">
        <f t="shared" si="995"/>
        <v>-2080862.0646006491</v>
      </c>
      <c r="R655">
        <f t="shared" si="996"/>
        <v>316933670.09444791</v>
      </c>
      <c r="S655">
        <f t="shared" si="997"/>
        <v>3169.3367009444792</v>
      </c>
      <c r="T655">
        <f t="shared" si="998"/>
        <v>3.1693367009444793</v>
      </c>
    </row>
    <row r="656" spans="1:20" x14ac:dyDescent="0.25">
      <c r="A656" s="5">
        <v>43937</v>
      </c>
      <c r="B656">
        <v>2.4015</v>
      </c>
      <c r="C656">
        <v>2.7174999999999998</v>
      </c>
      <c r="D656">
        <v>2.3317999999999999</v>
      </c>
      <c r="E656">
        <v>2.6568999999999998</v>
      </c>
      <c r="F656">
        <v>16562800.57</v>
      </c>
      <c r="G656">
        <v>0</v>
      </c>
      <c r="L656" t="s">
        <v>8</v>
      </c>
      <c r="M656" t="s">
        <v>7</v>
      </c>
      <c r="N656" t="s">
        <v>8</v>
      </c>
      <c r="P656">
        <f t="shared" si="994"/>
        <v>0.68576613948664766</v>
      </c>
      <c r="Q656">
        <f t="shared" si="995"/>
        <v>11358207.805976147</v>
      </c>
      <c r="R656">
        <f t="shared" si="996"/>
        <v>319014532.15904856</v>
      </c>
      <c r="S656">
        <f t="shared" si="997"/>
        <v>3190.1453215904858</v>
      </c>
      <c r="T656">
        <f t="shared" si="998"/>
        <v>3.1901453215904856</v>
      </c>
    </row>
    <row r="657" spans="1:20" x14ac:dyDescent="0.25">
      <c r="A657" s="5">
        <v>43936</v>
      </c>
      <c r="B657">
        <v>2.4651999999999998</v>
      </c>
      <c r="C657">
        <v>2.5007000000000001</v>
      </c>
      <c r="D657">
        <v>2.39</v>
      </c>
      <c r="E657">
        <v>2.4015</v>
      </c>
      <c r="F657">
        <v>6864780.21</v>
      </c>
      <c r="G657">
        <v>0</v>
      </c>
      <c r="L657" t="s">
        <v>8</v>
      </c>
      <c r="M657" t="s">
        <v>7</v>
      </c>
      <c r="N657" t="s">
        <v>8</v>
      </c>
      <c r="P657">
        <f t="shared" si="994"/>
        <v>-0.7922312556458927</v>
      </c>
      <c r="Q657">
        <f t="shared" si="995"/>
        <v>-5438493.445501375</v>
      </c>
      <c r="R657">
        <f t="shared" si="996"/>
        <v>307656324.3530724</v>
      </c>
      <c r="S657">
        <f t="shared" si="997"/>
        <v>3076.5632435307239</v>
      </c>
      <c r="T657">
        <f t="shared" si="998"/>
        <v>3.0765632435307237</v>
      </c>
    </row>
    <row r="658" spans="1:20" x14ac:dyDescent="0.25">
      <c r="A658" s="5">
        <v>43935</v>
      </c>
      <c r="B658">
        <v>2.4424999999999999</v>
      </c>
      <c r="C658">
        <v>2.5024999999999999</v>
      </c>
      <c r="D658">
        <v>2.4144999999999999</v>
      </c>
      <c r="E658">
        <v>2.4655</v>
      </c>
      <c r="F658">
        <v>5434530.5800000001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0.15909090909091161</v>
      </c>
      <c r="Q658">
        <f t="shared" si="995"/>
        <v>864584.41045455914</v>
      </c>
      <c r="R658">
        <f t="shared" si="996"/>
        <v>313094817.79857379</v>
      </c>
      <c r="S658">
        <f t="shared" si="997"/>
        <v>3130.9481779857379</v>
      </c>
      <c r="T658">
        <f t="shared" si="998"/>
        <v>3.1309481779857378</v>
      </c>
    </row>
    <row r="659" spans="1:20" x14ac:dyDescent="0.25">
      <c r="A659" s="5">
        <v>43934</v>
      </c>
      <c r="B659">
        <v>2.4971999999999999</v>
      </c>
      <c r="C659">
        <v>2.4981</v>
      </c>
      <c r="D659">
        <v>2.3412000000000002</v>
      </c>
      <c r="E659">
        <v>2.4424000000000001</v>
      </c>
      <c r="F659">
        <v>12268623.039999999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0.28999362651370392</v>
      </c>
      <c r="Q659">
        <f t="shared" si="995"/>
        <v>3557822.4876991827</v>
      </c>
      <c r="R659">
        <f t="shared" si="996"/>
        <v>312230233.38811922</v>
      </c>
      <c r="S659">
        <f t="shared" si="997"/>
        <v>3122.3023338811922</v>
      </c>
      <c r="T659">
        <f t="shared" si="998"/>
        <v>3.1223023338811924</v>
      </c>
    </row>
    <row r="660" spans="1:20" x14ac:dyDescent="0.25">
      <c r="A660" s="5">
        <v>43933</v>
      </c>
      <c r="B660">
        <v>2.508</v>
      </c>
      <c r="C660">
        <v>2.5897000000000001</v>
      </c>
      <c r="D660">
        <v>2.4546000000000001</v>
      </c>
      <c r="E660">
        <v>2.4980000000000002</v>
      </c>
      <c r="F660">
        <v>6693663.0499999998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-0.35751295336787409</v>
      </c>
      <c r="Q660">
        <f t="shared" si="995"/>
        <v>-2393071.2458549119</v>
      </c>
      <c r="R660">
        <f t="shared" si="996"/>
        <v>308672410.90042001</v>
      </c>
      <c r="S660">
        <f t="shared" si="997"/>
        <v>3086.7241090042003</v>
      </c>
      <c r="T660">
        <f t="shared" si="998"/>
        <v>3.0867241090042001</v>
      </c>
    </row>
    <row r="661" spans="1:20" x14ac:dyDescent="0.25">
      <c r="A661" s="5">
        <v>43932</v>
      </c>
      <c r="B661">
        <v>2.4918999999999998</v>
      </c>
      <c r="C661">
        <v>2.5478000000000001</v>
      </c>
      <c r="D661">
        <v>2.4213</v>
      </c>
      <c r="E661">
        <v>2.5083000000000002</v>
      </c>
      <c r="F661">
        <v>6404505.0199999996</v>
      </c>
      <c r="G661">
        <v>0</v>
      </c>
      <c r="L661" t="s">
        <v>7</v>
      </c>
      <c r="M661" t="s">
        <v>8</v>
      </c>
      <c r="N661" t="s">
        <v>8</v>
      </c>
      <c r="P661">
        <f t="shared" si="994"/>
        <v>0.37549407114624744</v>
      </c>
      <c r="Q661">
        <f t="shared" si="995"/>
        <v>2404853.6636363789</v>
      </c>
      <c r="R661">
        <f t="shared" si="996"/>
        <v>311065482.14627492</v>
      </c>
      <c r="S661">
        <f t="shared" si="997"/>
        <v>3110.6548214627492</v>
      </c>
      <c r="T661">
        <f t="shared" si="998"/>
        <v>3.1106548214627492</v>
      </c>
    </row>
    <row r="662" spans="1:20" x14ac:dyDescent="0.25">
      <c r="A662" s="5">
        <v>43931</v>
      </c>
      <c r="B662">
        <v>2.7244000000000002</v>
      </c>
      <c r="C662">
        <v>2.7463000000000002</v>
      </c>
      <c r="D662">
        <v>2.4116</v>
      </c>
      <c r="E662">
        <v>2.4916</v>
      </c>
      <c r="F662">
        <v>13460224.33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-0.52195996414699719</v>
      </c>
      <c r="Q662">
        <f t="shared" si="995"/>
        <v>-7025698.2086973395</v>
      </c>
      <c r="R662">
        <f t="shared" si="996"/>
        <v>308660628.48263854</v>
      </c>
      <c r="S662">
        <f t="shared" si="997"/>
        <v>3086.6062848263855</v>
      </c>
      <c r="T662">
        <f t="shared" si="998"/>
        <v>3.0866062848263853</v>
      </c>
    </row>
    <row r="663" spans="1:20" x14ac:dyDescent="0.25">
      <c r="A663" s="5">
        <v>43930</v>
      </c>
      <c r="B663">
        <v>2.7486000000000002</v>
      </c>
      <c r="C663">
        <v>2.7597</v>
      </c>
      <c r="D663">
        <v>2.68</v>
      </c>
      <c r="E663">
        <v>2.7239</v>
      </c>
      <c r="F663">
        <v>5851815.5099999998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0.10163111668757574</v>
      </c>
      <c r="Q663">
        <f t="shared" si="995"/>
        <v>594726.54493097553</v>
      </c>
      <c r="R663">
        <f t="shared" si="996"/>
        <v>315686326.69133586</v>
      </c>
      <c r="S663">
        <f t="shared" si="997"/>
        <v>3156.8632669133585</v>
      </c>
      <c r="T663">
        <f t="shared" si="998"/>
        <v>3.1568632669133585</v>
      </c>
    </row>
    <row r="664" spans="1:20" x14ac:dyDescent="0.25">
      <c r="A664" s="5">
        <v>43929</v>
      </c>
      <c r="B664">
        <v>2.6333000000000002</v>
      </c>
      <c r="C664">
        <v>2.7934000000000001</v>
      </c>
      <c r="D664">
        <v>2.5847000000000002</v>
      </c>
      <c r="E664">
        <v>2.7486000000000002</v>
      </c>
      <c r="F664">
        <v>12807806.68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0.57067561092477259</v>
      </c>
      <c r="Q664">
        <f t="shared" si="995"/>
        <v>7309102.9017153829</v>
      </c>
      <c r="R664">
        <f t="shared" si="996"/>
        <v>315091600.14640486</v>
      </c>
      <c r="S664">
        <f t="shared" si="997"/>
        <v>3150.9160014640488</v>
      </c>
      <c r="T664">
        <f t="shared" si="998"/>
        <v>3.1509160014640489</v>
      </c>
    </row>
    <row r="665" spans="1:20" x14ac:dyDescent="0.25">
      <c r="A665" s="5">
        <v>43928</v>
      </c>
      <c r="B665">
        <v>2.7581000000000002</v>
      </c>
      <c r="C665">
        <v>2.8252999999999999</v>
      </c>
      <c r="D665">
        <v>2.5512999999999999</v>
      </c>
      <c r="E665">
        <v>2.6332</v>
      </c>
      <c r="F665">
        <v>15227854.460000001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-0.40218978102189723</v>
      </c>
      <c r="Q665">
        <f t="shared" si="995"/>
        <v>-6124487.4507007217</v>
      </c>
      <c r="R665">
        <f t="shared" si="996"/>
        <v>307782497.24468946</v>
      </c>
      <c r="S665">
        <f t="shared" si="997"/>
        <v>3077.8249724468947</v>
      </c>
      <c r="T665">
        <f t="shared" si="998"/>
        <v>3.0778249724468947</v>
      </c>
    </row>
    <row r="666" spans="1:20" x14ac:dyDescent="0.25">
      <c r="A666" s="5">
        <v>43927</v>
      </c>
      <c r="B666">
        <v>2.3504999999999998</v>
      </c>
      <c r="C666">
        <v>2.7698</v>
      </c>
      <c r="D666">
        <v>2.35</v>
      </c>
      <c r="E666">
        <v>2.7585999999999999</v>
      </c>
      <c r="F666">
        <v>18776683.66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0.94664125774178132</v>
      </c>
      <c r="Q666">
        <f t="shared" si="995"/>
        <v>17774783.436121956</v>
      </c>
      <c r="R666">
        <f t="shared" si="996"/>
        <v>313906984.69539016</v>
      </c>
      <c r="S666">
        <f t="shared" si="997"/>
        <v>3139.0698469539016</v>
      </c>
      <c r="T666">
        <f t="shared" si="998"/>
        <v>3.1390698469539013</v>
      </c>
    </row>
    <row r="667" spans="1:20" x14ac:dyDescent="0.25">
      <c r="A667" s="5">
        <v>43926</v>
      </c>
      <c r="B667">
        <v>2.3567</v>
      </c>
      <c r="C667">
        <v>2.3932000000000002</v>
      </c>
      <c r="D667">
        <v>2.3153999999999999</v>
      </c>
      <c r="E667">
        <v>2.3504999999999998</v>
      </c>
      <c r="F667">
        <v>5086467.8899999997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-9.7686375321342736E-2</v>
      </c>
      <c r="Q667">
        <f t="shared" si="995"/>
        <v>-496878.61136249825</v>
      </c>
      <c r="R667">
        <f t="shared" si="996"/>
        <v>296132201.25926822</v>
      </c>
      <c r="S667">
        <f t="shared" si="997"/>
        <v>2961.3220125926823</v>
      </c>
      <c r="T667">
        <f t="shared" si="998"/>
        <v>2.9613220125926825</v>
      </c>
    </row>
    <row r="668" spans="1:20" x14ac:dyDescent="0.25">
      <c r="A668" s="5">
        <v>43925</v>
      </c>
      <c r="B668">
        <v>2.3332000000000002</v>
      </c>
      <c r="C668">
        <v>2.4034</v>
      </c>
      <c r="D668">
        <v>2.2835999999999999</v>
      </c>
      <c r="E668">
        <v>2.3559000000000001</v>
      </c>
      <c r="F668">
        <v>8091416.2699999996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0.20701168614357554</v>
      </c>
      <c r="Q668">
        <f t="shared" si="995"/>
        <v>1675017.7253422607</v>
      </c>
      <c r="R668">
        <f t="shared" si="996"/>
        <v>296629079.87063074</v>
      </c>
      <c r="S668">
        <f t="shared" si="997"/>
        <v>2966.2907987063072</v>
      </c>
      <c r="T668">
        <f t="shared" si="998"/>
        <v>2.9662907987063072</v>
      </c>
    </row>
    <row r="669" spans="1:20" x14ac:dyDescent="0.25">
      <c r="A669" s="5">
        <v>43924</v>
      </c>
      <c r="B669">
        <v>2.29</v>
      </c>
      <c r="C669">
        <v>2.3841999999999999</v>
      </c>
      <c r="D669">
        <v>2.2671999999999999</v>
      </c>
      <c r="E669">
        <v>2.3325</v>
      </c>
      <c r="F669">
        <v>9487365.9700000007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0.11623931623931863</v>
      </c>
      <c r="Q669">
        <f t="shared" si="995"/>
        <v>1102804.9332649801</v>
      </c>
      <c r="R669">
        <f t="shared" si="996"/>
        <v>294954062.14528847</v>
      </c>
      <c r="S669">
        <f t="shared" si="997"/>
        <v>2949.5406214528848</v>
      </c>
      <c r="T669">
        <f t="shared" si="998"/>
        <v>2.949540621452885</v>
      </c>
    </row>
    <row r="670" spans="1:20" x14ac:dyDescent="0.25">
      <c r="A670" s="5">
        <v>43923</v>
      </c>
      <c r="B670">
        <v>2.2549999999999999</v>
      </c>
      <c r="C670">
        <v>2.4967999999999999</v>
      </c>
      <c r="D670">
        <v>2.2475000000000001</v>
      </c>
      <c r="E670">
        <v>2.2894999999999999</v>
      </c>
      <c r="F670">
        <v>14720028.779999999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-0.66305655836341881</v>
      </c>
      <c r="Q670">
        <f t="shared" si="995"/>
        <v>-9760211.6218772735</v>
      </c>
      <c r="R670">
        <f t="shared" si="996"/>
        <v>293851257.2120235</v>
      </c>
      <c r="S670">
        <f t="shared" si="997"/>
        <v>2938.5125721202348</v>
      </c>
      <c r="T670">
        <f t="shared" si="998"/>
        <v>2.938512572120235</v>
      </c>
    </row>
    <row r="671" spans="1:20" x14ac:dyDescent="0.25">
      <c r="A671" s="5">
        <v>43922</v>
      </c>
      <c r="B671">
        <v>2.2090000000000001</v>
      </c>
      <c r="C671">
        <v>2.2995999999999999</v>
      </c>
      <c r="D671">
        <v>2.1324000000000001</v>
      </c>
      <c r="E671">
        <v>2.2549000000000001</v>
      </c>
      <c r="F671">
        <v>10421324.16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0.46531100478469145</v>
      </c>
      <c r="Q671">
        <f t="shared" si="995"/>
        <v>4849156.8160765804</v>
      </c>
      <c r="R671">
        <f t="shared" si="996"/>
        <v>303611468.83390075</v>
      </c>
      <c r="S671">
        <f t="shared" si="997"/>
        <v>3036.1146883390074</v>
      </c>
      <c r="T671">
        <f t="shared" si="998"/>
        <v>3.0361146883390076</v>
      </c>
    </row>
    <row r="672" spans="1:20" x14ac:dyDescent="0.25">
      <c r="A672" s="5">
        <v>43921</v>
      </c>
      <c r="B672">
        <v>2.2269000000000001</v>
      </c>
      <c r="C672">
        <v>2.2549000000000001</v>
      </c>
      <c r="D672">
        <v>2.1842000000000001</v>
      </c>
      <c r="E672">
        <v>2.2086000000000001</v>
      </c>
      <c r="F672">
        <v>6840046.3799999999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-0.30975954738331024</v>
      </c>
      <c r="Q672">
        <f t="shared" si="995"/>
        <v>-2118769.6707496499</v>
      </c>
      <c r="R672">
        <f t="shared" si="996"/>
        <v>298762312.01782417</v>
      </c>
      <c r="S672">
        <f t="shared" si="997"/>
        <v>2987.6231201782416</v>
      </c>
      <c r="T672">
        <f t="shared" si="998"/>
        <v>2.9876231201782417</v>
      </c>
    </row>
    <row r="673" spans="1:20" x14ac:dyDescent="0.25">
      <c r="A673" s="5">
        <v>43920</v>
      </c>
      <c r="B673">
        <v>2.1145</v>
      </c>
      <c r="C673">
        <v>2.2776000000000001</v>
      </c>
      <c r="D673">
        <v>2.1082999999999998</v>
      </c>
      <c r="E673">
        <v>2.2269000000000001</v>
      </c>
      <c r="F673">
        <v>9213390.2699999996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0.4010632014176031</v>
      </c>
      <c r="Q673">
        <f t="shared" si="995"/>
        <v>3695151.7975959945</v>
      </c>
      <c r="R673">
        <f t="shared" si="996"/>
        <v>300881081.68857384</v>
      </c>
      <c r="S673">
        <f t="shared" si="997"/>
        <v>3008.8108168857384</v>
      </c>
      <c r="T673">
        <f t="shared" si="998"/>
        <v>3.0088108168857386</v>
      </c>
    </row>
    <row r="674" spans="1:20" x14ac:dyDescent="0.25">
      <c r="A674" s="5">
        <v>43919</v>
      </c>
      <c r="B674">
        <v>2.1995</v>
      </c>
      <c r="C674">
        <v>2.2153</v>
      </c>
      <c r="D674">
        <v>2.0994999999999999</v>
      </c>
      <c r="E674">
        <v>2.1133000000000002</v>
      </c>
      <c r="F674">
        <v>6945675.0199999996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-0.76165803108807872</v>
      </c>
      <c r="Q674">
        <f t="shared" si="995"/>
        <v>-5290229.1603108514</v>
      </c>
      <c r="R674">
        <f t="shared" si="996"/>
        <v>297185929.89097786</v>
      </c>
      <c r="S674">
        <f t="shared" si="997"/>
        <v>2971.8592989097788</v>
      </c>
      <c r="T674">
        <f t="shared" si="998"/>
        <v>2.971859298909779</v>
      </c>
    </row>
    <row r="675" spans="1:20" x14ac:dyDescent="0.25">
      <c r="A675" s="5">
        <v>43918</v>
      </c>
      <c r="B675">
        <v>2.1926999999999999</v>
      </c>
      <c r="C675">
        <v>2.2383000000000002</v>
      </c>
      <c r="D675">
        <v>2.0882999999999998</v>
      </c>
      <c r="E675">
        <v>2.1996000000000002</v>
      </c>
      <c r="F675">
        <v>12971266.800000001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0.48400000000000182</v>
      </c>
      <c r="Q675">
        <f t="shared" si="995"/>
        <v>6278093.1312000239</v>
      </c>
      <c r="R675">
        <f t="shared" si="996"/>
        <v>302476159.05128872</v>
      </c>
      <c r="S675">
        <f t="shared" si="997"/>
        <v>3024.7615905128873</v>
      </c>
      <c r="T675">
        <f t="shared" si="998"/>
        <v>3.0247615905128873</v>
      </c>
    </row>
    <row r="676" spans="1:20" x14ac:dyDescent="0.25">
      <c r="A676" s="5">
        <v>43917</v>
      </c>
      <c r="B676">
        <v>2.3235999999999999</v>
      </c>
      <c r="C676">
        <v>2.3683000000000001</v>
      </c>
      <c r="D676">
        <v>2.1560000000000001</v>
      </c>
      <c r="E676">
        <v>2.1928000000000001</v>
      </c>
      <c r="F676">
        <v>11898230.17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-0.65332077249175735</v>
      </c>
      <c r="Q676">
        <f t="shared" si="995"/>
        <v>-7773360.925949133</v>
      </c>
      <c r="R676">
        <f t="shared" si="996"/>
        <v>296198065.92008871</v>
      </c>
      <c r="S676">
        <f t="shared" si="997"/>
        <v>2961.9806592008872</v>
      </c>
      <c r="T676">
        <f t="shared" si="998"/>
        <v>2.9619806592008873</v>
      </c>
    </row>
    <row r="677" spans="1:20" x14ac:dyDescent="0.25">
      <c r="A677" s="5">
        <v>43916</v>
      </c>
      <c r="B677">
        <v>2.2961999999999998</v>
      </c>
      <c r="C677">
        <v>2.343</v>
      </c>
      <c r="D677">
        <v>2.2608000000000001</v>
      </c>
      <c r="E677">
        <v>2.3235999999999999</v>
      </c>
      <c r="F677">
        <v>8826424.4299999997</v>
      </c>
      <c r="G677">
        <v>0</v>
      </c>
      <c r="L677" t="s">
        <v>8</v>
      </c>
      <c r="M677" t="s">
        <v>7</v>
      </c>
      <c r="N677" t="s">
        <v>8</v>
      </c>
      <c r="P677">
        <f t="shared" si="994"/>
        <v>0.52798053527980238</v>
      </c>
      <c r="Q677">
        <f t="shared" si="995"/>
        <v>4660180.2951581245</v>
      </c>
      <c r="R677">
        <f t="shared" si="996"/>
        <v>303971426.84603786</v>
      </c>
      <c r="S677">
        <f t="shared" si="997"/>
        <v>3039.7142684603787</v>
      </c>
      <c r="T677">
        <f t="shared" si="998"/>
        <v>3.0397142684603788</v>
      </c>
    </row>
    <row r="678" spans="1:20" x14ac:dyDescent="0.25">
      <c r="A678" s="5">
        <v>43915</v>
      </c>
      <c r="B678">
        <v>2.3441999999999998</v>
      </c>
      <c r="C678">
        <v>2.37</v>
      </c>
      <c r="D678">
        <v>2.23</v>
      </c>
      <c r="E678">
        <v>2.2965</v>
      </c>
      <c r="F678">
        <v>10901104.58</v>
      </c>
      <c r="G678">
        <v>0</v>
      </c>
      <c r="L678" t="s">
        <v>8</v>
      </c>
      <c r="M678" t="s">
        <v>7</v>
      </c>
      <c r="N678" t="s">
        <v>8</v>
      </c>
      <c r="P678">
        <f t="shared" si="994"/>
        <v>-5.0000000000000794E-2</v>
      </c>
      <c r="Q678">
        <f t="shared" si="995"/>
        <v>-545055.22900000867</v>
      </c>
      <c r="R678">
        <f t="shared" si="996"/>
        <v>299311246.55087972</v>
      </c>
      <c r="S678">
        <f t="shared" si="997"/>
        <v>2993.112465508797</v>
      </c>
      <c r="T678">
        <f t="shared" si="998"/>
        <v>2.9931124655087968</v>
      </c>
    </row>
    <row r="679" spans="1:20" x14ac:dyDescent="0.25">
      <c r="A679" s="5">
        <v>43914</v>
      </c>
      <c r="B679">
        <v>2.2858999999999998</v>
      </c>
      <c r="C679">
        <v>2.3757999999999999</v>
      </c>
      <c r="D679">
        <v>2.2700999999999998</v>
      </c>
      <c r="E679">
        <v>2.3439000000000001</v>
      </c>
      <c r="F679">
        <v>13129386.449999999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0.3964049195837317</v>
      </c>
      <c r="Q679">
        <f t="shared" si="995"/>
        <v>5204553.3798959861</v>
      </c>
      <c r="R679">
        <f t="shared" si="996"/>
        <v>299856301.77987975</v>
      </c>
      <c r="S679">
        <f t="shared" si="997"/>
        <v>2998.5630177987973</v>
      </c>
      <c r="T679">
        <f t="shared" si="998"/>
        <v>2.9985630177987974</v>
      </c>
    </row>
    <row r="680" spans="1:20" x14ac:dyDescent="0.25">
      <c r="A680" s="5">
        <v>43913</v>
      </c>
      <c r="B680">
        <v>2.1343000000000001</v>
      </c>
      <c r="C680">
        <v>2.3380000000000001</v>
      </c>
      <c r="D680">
        <v>2.0630000000000002</v>
      </c>
      <c r="E680">
        <v>2.2856000000000001</v>
      </c>
      <c r="F680">
        <v>18154476.800000001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0.61890909090909074</v>
      </c>
      <c r="Q680">
        <f t="shared" si="995"/>
        <v>11235970.73221818</v>
      </c>
      <c r="R680">
        <f t="shared" si="996"/>
        <v>294651748.39998376</v>
      </c>
      <c r="S680">
        <f t="shared" si="997"/>
        <v>2946.5174839998376</v>
      </c>
      <c r="T680">
        <f t="shared" si="998"/>
        <v>2.9465174839998376</v>
      </c>
    </row>
    <row r="681" spans="1:20" x14ac:dyDescent="0.25">
      <c r="A681" s="5">
        <v>43912</v>
      </c>
      <c r="B681">
        <v>2.2736000000000001</v>
      </c>
      <c r="C681">
        <v>2.3906999999999998</v>
      </c>
      <c r="D681">
        <v>2.1101000000000001</v>
      </c>
      <c r="E681">
        <v>2.1343999999999999</v>
      </c>
      <c r="F681">
        <v>19793538.850000001</v>
      </c>
      <c r="G681">
        <v>0</v>
      </c>
      <c r="L681" t="s">
        <v>8</v>
      </c>
      <c r="M681" t="s">
        <v>8</v>
      </c>
      <c r="N681" t="s">
        <v>8</v>
      </c>
      <c r="P681">
        <f t="shared" si="994"/>
        <v>-0.82679971489665149</v>
      </c>
      <c r="Q681">
        <f t="shared" si="995"/>
        <v>-16365292.277975796</v>
      </c>
      <c r="R681">
        <f t="shared" si="996"/>
        <v>283415777.66776556</v>
      </c>
      <c r="S681">
        <f t="shared" si="997"/>
        <v>2834.1577766776554</v>
      </c>
      <c r="T681">
        <f t="shared" si="998"/>
        <v>2.8341577766776553</v>
      </c>
    </row>
    <row r="682" spans="1:20" x14ac:dyDescent="0.25">
      <c r="A682" s="5">
        <v>43911</v>
      </c>
      <c r="B682">
        <v>2.2033</v>
      </c>
      <c r="C682">
        <v>2.3567</v>
      </c>
      <c r="D682">
        <v>2.1065</v>
      </c>
      <c r="E682">
        <v>2.2734999999999999</v>
      </c>
      <c r="F682">
        <v>21086684.760000002</v>
      </c>
      <c r="G682">
        <v>0</v>
      </c>
      <c r="L682" t="s">
        <v>7</v>
      </c>
      <c r="M682" t="s">
        <v>8</v>
      </c>
      <c r="N682" t="s">
        <v>8</v>
      </c>
      <c r="P682">
        <f t="shared" si="994"/>
        <v>0.33493205435651341</v>
      </c>
      <c r="Q682">
        <f t="shared" si="995"/>
        <v>7062606.6462349836</v>
      </c>
      <c r="R682">
        <f t="shared" si="996"/>
        <v>299781069.94574136</v>
      </c>
      <c r="S682">
        <f t="shared" si="997"/>
        <v>2997.8106994574136</v>
      </c>
      <c r="T682">
        <f t="shared" si="998"/>
        <v>2.9978106994574136</v>
      </c>
    </row>
    <row r="683" spans="1:20" x14ac:dyDescent="0.25">
      <c r="A683" s="5">
        <v>43910</v>
      </c>
      <c r="B683">
        <v>2.2753000000000001</v>
      </c>
      <c r="C683">
        <v>2.5198</v>
      </c>
      <c r="D683">
        <v>1.9119999999999999</v>
      </c>
      <c r="E683">
        <v>2.2029000000000001</v>
      </c>
      <c r="F683">
        <v>35332072.259999998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-4.2777229351760114E-2</v>
      </c>
      <c r="Q683">
        <f t="shared" si="995"/>
        <v>-1511408.1585389811</v>
      </c>
      <c r="R683">
        <f t="shared" si="996"/>
        <v>292718463.29950637</v>
      </c>
      <c r="S683">
        <f t="shared" si="997"/>
        <v>2927.1846329950636</v>
      </c>
      <c r="T683">
        <f t="shared" si="998"/>
        <v>2.9271846329950635</v>
      </c>
    </row>
    <row r="684" spans="1:20" x14ac:dyDescent="0.25">
      <c r="A684" s="5">
        <v>43909</v>
      </c>
      <c r="B684">
        <v>1.9985999999999999</v>
      </c>
      <c r="C684">
        <v>2.3975</v>
      </c>
      <c r="D684">
        <v>1.9686999999999999</v>
      </c>
      <c r="E684">
        <v>2.2766999999999999</v>
      </c>
      <c r="F684">
        <v>20836190.120000001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0.43656716417910446</v>
      </c>
      <c r="Q684">
        <f t="shared" si="995"/>
        <v>9096396.4329850748</v>
      </c>
      <c r="R684">
        <f t="shared" si="996"/>
        <v>294229871.45804536</v>
      </c>
      <c r="S684">
        <f t="shared" si="997"/>
        <v>2942.2987145804536</v>
      </c>
      <c r="T684">
        <f t="shared" si="998"/>
        <v>2.9422987145804536</v>
      </c>
    </row>
    <row r="685" spans="1:20" x14ac:dyDescent="0.25">
      <c r="A685" s="5">
        <v>43908</v>
      </c>
      <c r="B685">
        <v>1.9671000000000001</v>
      </c>
      <c r="C685">
        <v>2.0076000000000001</v>
      </c>
      <c r="D685">
        <v>1.8709</v>
      </c>
      <c r="E685">
        <v>1.9988999999999999</v>
      </c>
      <c r="F685">
        <v>17198139.699999999</v>
      </c>
      <c r="G685">
        <v>0</v>
      </c>
      <c r="L685" t="s">
        <v>7</v>
      </c>
      <c r="M685" t="s">
        <v>7</v>
      </c>
      <c r="N685" t="s">
        <v>8</v>
      </c>
      <c r="P685">
        <f t="shared" si="994"/>
        <v>0.87271397220189983</v>
      </c>
      <c r="Q685">
        <f t="shared" si="995"/>
        <v>15009056.812070189</v>
      </c>
      <c r="R685">
        <f t="shared" si="996"/>
        <v>285133475.0250603</v>
      </c>
      <c r="S685">
        <f t="shared" si="997"/>
        <v>2851.3347502506031</v>
      </c>
      <c r="T685">
        <f t="shared" si="998"/>
        <v>2.851334750250603</v>
      </c>
    </row>
    <row r="686" spans="1:20" x14ac:dyDescent="0.25">
      <c r="A686" s="5">
        <v>43907</v>
      </c>
      <c r="B686">
        <v>1.8956</v>
      </c>
      <c r="C686">
        <v>2.0306999999999999</v>
      </c>
      <c r="D686">
        <v>1.8673999999999999</v>
      </c>
      <c r="E686">
        <v>1.9683999999999999</v>
      </c>
      <c r="F686">
        <v>20259585.489999998</v>
      </c>
      <c r="G686">
        <v>0</v>
      </c>
      <c r="L686" t="s">
        <v>8</v>
      </c>
      <c r="M686" t="s">
        <v>7</v>
      </c>
      <c r="N686" t="s">
        <v>8</v>
      </c>
      <c r="P686">
        <f t="shared" si="994"/>
        <v>0.23698714023270029</v>
      </c>
      <c r="Q686">
        <f t="shared" si="995"/>
        <v>4801261.2275750097</v>
      </c>
      <c r="R686">
        <f t="shared" si="996"/>
        <v>270124418.21299011</v>
      </c>
      <c r="S686">
        <f t="shared" si="997"/>
        <v>2701.2441821299012</v>
      </c>
      <c r="T686">
        <f t="shared" si="998"/>
        <v>2.7012441821299014</v>
      </c>
    </row>
    <row r="687" spans="1:20" x14ac:dyDescent="0.25">
      <c r="A687" s="5">
        <v>43906</v>
      </c>
      <c r="B687">
        <v>2.0432999999999999</v>
      </c>
      <c r="C687">
        <v>2.0489999999999999</v>
      </c>
      <c r="D687">
        <v>1.7174</v>
      </c>
      <c r="E687">
        <v>1.8936999999999999</v>
      </c>
      <c r="F687">
        <v>38934931.939999998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6.3329312424607709E-2</v>
      </c>
      <c r="Q687">
        <f t="shared" si="995"/>
        <v>2465722.4690590976</v>
      </c>
      <c r="R687">
        <f t="shared" si="996"/>
        <v>265323156.98541507</v>
      </c>
      <c r="S687">
        <f t="shared" si="997"/>
        <v>2653.2315698541506</v>
      </c>
      <c r="T687">
        <f t="shared" si="998"/>
        <v>2.6532315698541504</v>
      </c>
    </row>
    <row r="688" spans="1:20" x14ac:dyDescent="0.25">
      <c r="A688" s="5">
        <v>43905</v>
      </c>
      <c r="B688">
        <v>1.9576</v>
      </c>
      <c r="C688">
        <v>2.1501000000000001</v>
      </c>
      <c r="D688">
        <v>1.9383999999999999</v>
      </c>
      <c r="E688">
        <v>2.0447000000000002</v>
      </c>
      <c r="F688">
        <v>19776385.649999999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4.2512990080318565E-3</v>
      </c>
      <c r="Q688">
        <f t="shared" si="995"/>
        <v>84075.328696300436</v>
      </c>
      <c r="R688">
        <f t="shared" si="996"/>
        <v>262857434.51635596</v>
      </c>
      <c r="S688">
        <f t="shared" si="997"/>
        <v>2628.5743451635594</v>
      </c>
      <c r="T688">
        <f t="shared" si="998"/>
        <v>2.6285743451635595</v>
      </c>
    </row>
    <row r="689" spans="1:20" x14ac:dyDescent="0.25">
      <c r="A689" s="5">
        <v>43904</v>
      </c>
      <c r="B689">
        <v>2.11</v>
      </c>
      <c r="C689">
        <v>2.1272000000000002</v>
      </c>
      <c r="D689">
        <v>1.9292</v>
      </c>
      <c r="E689">
        <v>1.958</v>
      </c>
      <c r="F689">
        <v>23799686.690000001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-0.70909090909090999</v>
      </c>
      <c r="Q689">
        <f t="shared" si="995"/>
        <v>-16876141.471090931</v>
      </c>
      <c r="R689">
        <f t="shared" si="996"/>
        <v>262773359.18765965</v>
      </c>
      <c r="S689">
        <f t="shared" si="997"/>
        <v>2627.7335918765966</v>
      </c>
      <c r="T689">
        <f t="shared" si="998"/>
        <v>2.6277335918765967</v>
      </c>
    </row>
    <row r="690" spans="1:20" x14ac:dyDescent="0.25">
      <c r="A690" s="5">
        <v>43903</v>
      </c>
      <c r="B690">
        <v>1.7659</v>
      </c>
      <c r="C690">
        <v>2.2328000000000001</v>
      </c>
      <c r="D690">
        <v>1.3586</v>
      </c>
      <c r="E690">
        <v>2.11</v>
      </c>
      <c r="F690">
        <v>97392643.329999998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0.71905742393045013</v>
      </c>
      <c r="Q690">
        <f t="shared" si="995"/>
        <v>70030903.222646937</v>
      </c>
      <c r="R690">
        <f t="shared" si="996"/>
        <v>279649500.65875059</v>
      </c>
      <c r="S690">
        <f t="shared" si="997"/>
        <v>2796.4950065875059</v>
      </c>
      <c r="T690">
        <f t="shared" si="998"/>
        <v>2.7964950065875058</v>
      </c>
    </row>
    <row r="691" spans="1:20" x14ac:dyDescent="0.25">
      <c r="A691" s="5">
        <v>43902</v>
      </c>
      <c r="B691">
        <v>3.0663</v>
      </c>
      <c r="C691">
        <v>3.0815999999999999</v>
      </c>
      <c r="D691">
        <v>1.6998</v>
      </c>
      <c r="E691">
        <v>1.7656000000000001</v>
      </c>
      <c r="F691">
        <v>53123027.039999999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-0.90476190476190466</v>
      </c>
      <c r="Q691">
        <f t="shared" si="995"/>
        <v>-48063691.131428562</v>
      </c>
      <c r="R691">
        <f t="shared" si="996"/>
        <v>209618597.43610364</v>
      </c>
      <c r="S691">
        <f t="shared" si="997"/>
        <v>2096.1859743610366</v>
      </c>
      <c r="T691">
        <f t="shared" si="998"/>
        <v>2.0961859743610365</v>
      </c>
    </row>
    <row r="692" spans="1:20" x14ac:dyDescent="0.25">
      <c r="A692" s="5">
        <v>43901</v>
      </c>
      <c r="B692">
        <v>3.0720999999999998</v>
      </c>
      <c r="C692">
        <v>3.1168</v>
      </c>
      <c r="D692">
        <v>2.8447</v>
      </c>
      <c r="E692">
        <v>3.0661</v>
      </c>
      <c r="F692">
        <v>11158701.970000001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0.62734288864388121</v>
      </c>
      <c r="Q692">
        <f t="shared" si="995"/>
        <v>7000332.327375968</v>
      </c>
      <c r="R692">
        <f t="shared" si="996"/>
        <v>257682288.56753221</v>
      </c>
      <c r="S692">
        <f t="shared" si="997"/>
        <v>2576.8228856753221</v>
      </c>
      <c r="T692">
        <f t="shared" si="998"/>
        <v>2.5768228856753224</v>
      </c>
    </row>
    <row r="693" spans="1:20" x14ac:dyDescent="0.25">
      <c r="A693" s="5">
        <v>43900</v>
      </c>
      <c r="B693">
        <v>3.06</v>
      </c>
      <c r="C693">
        <v>3.1515</v>
      </c>
      <c r="D693">
        <v>2.9935</v>
      </c>
      <c r="E693">
        <v>3.0729000000000002</v>
      </c>
      <c r="F693">
        <v>11642622.34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5.0632911392427624E-3</v>
      </c>
      <c r="Q693">
        <f t="shared" si="995"/>
        <v>58949.986531671835</v>
      </c>
      <c r="R693">
        <f t="shared" si="996"/>
        <v>250681956.24015623</v>
      </c>
      <c r="S693">
        <f t="shared" si="997"/>
        <v>2506.8195624015625</v>
      </c>
      <c r="T693">
        <f t="shared" si="998"/>
        <v>2.5068195624015623</v>
      </c>
    </row>
    <row r="694" spans="1:20" x14ac:dyDescent="0.25">
      <c r="A694" s="5">
        <v>43899</v>
      </c>
      <c r="B694">
        <v>3.0442999999999998</v>
      </c>
      <c r="C694">
        <v>3.1646999999999998</v>
      </c>
      <c r="D694">
        <v>2.8481999999999998</v>
      </c>
      <c r="E694">
        <v>3.0611999999999999</v>
      </c>
      <c r="F694">
        <v>21487400.079999998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0.34597156398104312</v>
      </c>
      <c r="Q694">
        <f t="shared" si="995"/>
        <v>7434029.4115639906</v>
      </c>
      <c r="R694">
        <f t="shared" si="996"/>
        <v>250623006.25362456</v>
      </c>
      <c r="S694">
        <f t="shared" si="997"/>
        <v>2506.2300625362454</v>
      </c>
      <c r="T694">
        <f t="shared" si="998"/>
        <v>2.5062300625362455</v>
      </c>
    </row>
    <row r="695" spans="1:20" x14ac:dyDescent="0.25">
      <c r="A695" s="5">
        <v>43898</v>
      </c>
      <c r="B695">
        <v>3.6410999999999998</v>
      </c>
      <c r="C695">
        <v>3.6410999999999998</v>
      </c>
      <c r="D695">
        <v>2.9872000000000001</v>
      </c>
      <c r="E695">
        <v>3.0434999999999999</v>
      </c>
      <c r="F695">
        <v>17852278.09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-0.82780241627160167</v>
      </c>
      <c r="Q695">
        <f t="shared" si="995"/>
        <v>-14778158.938854573</v>
      </c>
      <c r="R695">
        <f t="shared" si="996"/>
        <v>243188976.84206057</v>
      </c>
      <c r="S695">
        <f t="shared" si="997"/>
        <v>2431.8897684206058</v>
      </c>
      <c r="T695">
        <f t="shared" si="998"/>
        <v>2.4318897684206058</v>
      </c>
    </row>
    <row r="696" spans="1:20" x14ac:dyDescent="0.25">
      <c r="A696" s="5">
        <v>43897</v>
      </c>
      <c r="B696">
        <v>3.8342999999999998</v>
      </c>
      <c r="C696">
        <v>3.8435999999999999</v>
      </c>
      <c r="D696">
        <v>3.6154000000000002</v>
      </c>
      <c r="E696">
        <v>3.6408999999999998</v>
      </c>
      <c r="F696">
        <v>4905628.24</v>
      </c>
      <c r="G696">
        <v>0</v>
      </c>
      <c r="L696" t="s">
        <v>7</v>
      </c>
      <c r="M696" t="s">
        <v>7</v>
      </c>
      <c r="N696" t="s">
        <v>7</v>
      </c>
      <c r="P696">
        <f t="shared" si="994"/>
        <v>-0.77651183172655858</v>
      </c>
      <c r="Q696">
        <f t="shared" si="995"/>
        <v>-3809278.3704119339</v>
      </c>
      <c r="R696">
        <f t="shared" si="996"/>
        <v>257967135.78091514</v>
      </c>
      <c r="S696">
        <f t="shared" si="997"/>
        <v>2579.6713578091512</v>
      </c>
      <c r="T696">
        <f t="shared" si="998"/>
        <v>2.579671357809151</v>
      </c>
    </row>
    <row r="697" spans="1:20" x14ac:dyDescent="0.25">
      <c r="A697" s="5">
        <v>43896</v>
      </c>
      <c r="B697">
        <v>3.7625000000000002</v>
      </c>
      <c r="C697">
        <v>3.86</v>
      </c>
      <c r="D697">
        <v>3.71</v>
      </c>
      <c r="E697">
        <v>3.8344999999999998</v>
      </c>
      <c r="F697">
        <v>5886072.5800000001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0.65999999999999881</v>
      </c>
      <c r="Q697">
        <f t="shared" si="995"/>
        <v>3884807.9027999928</v>
      </c>
      <c r="R697">
        <f t="shared" si="996"/>
        <v>261776414.15132707</v>
      </c>
      <c r="S697">
        <f t="shared" si="997"/>
        <v>2617.7641415132707</v>
      </c>
      <c r="T697">
        <f t="shared" si="998"/>
        <v>2.6177641415132706</v>
      </c>
    </row>
    <row r="698" spans="1:20" x14ac:dyDescent="0.25">
      <c r="A698" s="5">
        <v>43895</v>
      </c>
      <c r="B698">
        <v>3.5914000000000001</v>
      </c>
      <c r="C698">
        <v>3.839</v>
      </c>
      <c r="D698">
        <v>3.5905999999999998</v>
      </c>
      <c r="E698">
        <v>3.7625999999999999</v>
      </c>
      <c r="F698">
        <v>7663167.4500000002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0.38486312399355904</v>
      </c>
      <c r="Q698">
        <f t="shared" si="995"/>
        <v>2949270.5644927556</v>
      </c>
      <c r="R698">
        <f t="shared" si="996"/>
        <v>257891606.24852708</v>
      </c>
      <c r="S698">
        <f t="shared" si="997"/>
        <v>2578.9160624852707</v>
      </c>
      <c r="T698">
        <f t="shared" si="998"/>
        <v>2.5789160624852707</v>
      </c>
    </row>
    <row r="699" spans="1:20" x14ac:dyDescent="0.25">
      <c r="A699" s="5">
        <v>43894</v>
      </c>
      <c r="B699">
        <v>3.6236999999999999</v>
      </c>
      <c r="C699">
        <v>3.6707000000000001</v>
      </c>
      <c r="D699">
        <v>3.5186999999999999</v>
      </c>
      <c r="E699">
        <v>3.5908000000000002</v>
      </c>
      <c r="F699">
        <v>5970676.8799999999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-5.1315789473681435E-2</v>
      </c>
      <c r="Q699">
        <f t="shared" si="995"/>
        <v>-306389.99778945709</v>
      </c>
      <c r="R699">
        <f t="shared" si="996"/>
        <v>254942335.68403432</v>
      </c>
      <c r="S699">
        <f t="shared" si="997"/>
        <v>2549.4233568403433</v>
      </c>
      <c r="T699">
        <f t="shared" si="998"/>
        <v>2.5494233568403435</v>
      </c>
    </row>
    <row r="700" spans="1:20" x14ac:dyDescent="0.25">
      <c r="A700" s="5">
        <v>43893</v>
      </c>
      <c r="B700">
        <v>3.7134</v>
      </c>
      <c r="C700">
        <v>3.7141999999999999</v>
      </c>
      <c r="D700">
        <v>3.5529999999999999</v>
      </c>
      <c r="E700">
        <v>3.6233</v>
      </c>
      <c r="F700">
        <v>8166660.46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-0.12779156327543392</v>
      </c>
      <c r="Q700">
        <f t="shared" si="995"/>
        <v>-1043630.3069230743</v>
      </c>
      <c r="R700">
        <f t="shared" si="996"/>
        <v>255248725.68182376</v>
      </c>
      <c r="S700">
        <f t="shared" si="997"/>
        <v>2552.4872568182377</v>
      </c>
      <c r="T700">
        <f t="shared" si="998"/>
        <v>2.5524872568182375</v>
      </c>
    </row>
    <row r="701" spans="1:20" x14ac:dyDescent="0.25">
      <c r="A701" s="5">
        <v>43892</v>
      </c>
      <c r="B701">
        <v>3.5070000000000001</v>
      </c>
      <c r="C701">
        <v>3.7595999999999998</v>
      </c>
      <c r="D701">
        <v>3.4874999999999998</v>
      </c>
      <c r="E701">
        <v>3.7132999999999998</v>
      </c>
      <c r="F701">
        <v>9913563.6799999997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0.65968393972804107</v>
      </c>
      <c r="Q701">
        <f t="shared" si="995"/>
        <v>6539818.7451672172</v>
      </c>
      <c r="R701">
        <f t="shared" si="996"/>
        <v>256292355.98874682</v>
      </c>
      <c r="S701">
        <f t="shared" si="997"/>
        <v>2562.9235598874684</v>
      </c>
      <c r="T701">
        <f t="shared" si="998"/>
        <v>2.5629235598874684</v>
      </c>
    </row>
    <row r="702" spans="1:20" x14ac:dyDescent="0.25">
      <c r="A702" s="5">
        <v>43891</v>
      </c>
      <c r="B702">
        <v>3.5105</v>
      </c>
      <c r="C702">
        <v>3.6528</v>
      </c>
      <c r="D702">
        <v>3.4177</v>
      </c>
      <c r="E702">
        <v>3.5074999999999998</v>
      </c>
      <c r="F702">
        <v>9440171.5299999993</v>
      </c>
      <c r="G702">
        <v>0</v>
      </c>
      <c r="L702" t="s">
        <v>8</v>
      </c>
      <c r="M702" t="s">
        <v>7</v>
      </c>
      <c r="N702" t="s">
        <v>7</v>
      </c>
      <c r="P702">
        <f t="shared" si="994"/>
        <v>-0.23606975754998002</v>
      </c>
      <c r="Q702">
        <f t="shared" si="995"/>
        <v>-2228539.0043173237</v>
      </c>
      <c r="R702">
        <f t="shared" si="996"/>
        <v>249752537.2435796</v>
      </c>
      <c r="S702">
        <f t="shared" si="997"/>
        <v>2497.5253724357958</v>
      </c>
      <c r="T702">
        <f t="shared" si="998"/>
        <v>2.497525372435796</v>
      </c>
    </row>
    <row r="703" spans="1:20" x14ac:dyDescent="0.25">
      <c r="A703" s="5">
        <v>43890</v>
      </c>
      <c r="B703">
        <v>3.5131999999999999</v>
      </c>
      <c r="C703">
        <v>3.6574</v>
      </c>
      <c r="D703">
        <v>3.4961000000000002</v>
      </c>
      <c r="E703">
        <v>3.5105</v>
      </c>
      <c r="F703">
        <v>8261752.5099999998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-0.82145071295722549</v>
      </c>
      <c r="Q703">
        <f t="shared" si="995"/>
        <v>-6786622.4896156471</v>
      </c>
      <c r="R703">
        <f t="shared" si="996"/>
        <v>251981076.24789691</v>
      </c>
      <c r="S703">
        <f t="shared" si="997"/>
        <v>2519.8107624789691</v>
      </c>
      <c r="T703">
        <f t="shared" si="998"/>
        <v>2.519810762478969</v>
      </c>
    </row>
    <row r="704" spans="1:20" x14ac:dyDescent="0.25">
      <c r="A704" s="5">
        <v>43889</v>
      </c>
      <c r="B704">
        <v>3.617</v>
      </c>
      <c r="C704">
        <v>3.6827999999999999</v>
      </c>
      <c r="D704">
        <v>3.35</v>
      </c>
      <c r="E704">
        <v>3.5135999999999998</v>
      </c>
      <c r="F704">
        <v>14911636.49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-1.6826923076923905E-2</v>
      </c>
      <c r="Q704">
        <f t="shared" si="995"/>
        <v>-250916.9601682816</v>
      </c>
      <c r="R704">
        <f t="shared" si="996"/>
        <v>258767698.73751256</v>
      </c>
      <c r="S704">
        <f t="shared" si="997"/>
        <v>2587.6769873751255</v>
      </c>
      <c r="T704">
        <f t="shared" si="998"/>
        <v>2.5876769873751253</v>
      </c>
    </row>
    <row r="705" spans="1:20" x14ac:dyDescent="0.25">
      <c r="A705" s="5">
        <v>43888</v>
      </c>
      <c r="B705">
        <v>3.5365000000000002</v>
      </c>
      <c r="C705">
        <v>3.7334000000000001</v>
      </c>
      <c r="D705">
        <v>3.3866999999999998</v>
      </c>
      <c r="E705">
        <v>3.6183000000000001</v>
      </c>
      <c r="F705">
        <v>17337189.859999999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0.33602538217479144</v>
      </c>
      <c r="Q705">
        <f t="shared" si="995"/>
        <v>5825735.8485434186</v>
      </c>
      <c r="R705">
        <f t="shared" si="996"/>
        <v>259018615.69768083</v>
      </c>
      <c r="S705">
        <f t="shared" si="997"/>
        <v>2590.1861569768084</v>
      </c>
      <c r="T705">
        <f t="shared" si="998"/>
        <v>2.5901861569768085</v>
      </c>
    </row>
    <row r="706" spans="1:20" x14ac:dyDescent="0.25">
      <c r="A706" s="5">
        <v>43887</v>
      </c>
      <c r="B706">
        <v>4.0774999999999997</v>
      </c>
      <c r="C706">
        <v>4.1104000000000003</v>
      </c>
      <c r="D706">
        <v>3.2801</v>
      </c>
      <c r="E706">
        <v>3.5344000000000002</v>
      </c>
      <c r="F706">
        <v>29870705.379999999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-0.38745031916174849</v>
      </c>
      <c r="Q706">
        <f t="shared" si="995"/>
        <v>-11573414.333067557</v>
      </c>
      <c r="R706">
        <f t="shared" si="996"/>
        <v>253192879.84913743</v>
      </c>
      <c r="S706">
        <f t="shared" si="997"/>
        <v>2531.9287984913744</v>
      </c>
      <c r="T706">
        <f t="shared" si="998"/>
        <v>2.5319287984913745</v>
      </c>
    </row>
    <row r="707" spans="1:20" x14ac:dyDescent="0.25">
      <c r="A707" s="5">
        <v>43886</v>
      </c>
      <c r="B707">
        <v>4.1220999999999997</v>
      </c>
      <c r="C707">
        <v>4.2366000000000001</v>
      </c>
      <c r="D707">
        <v>3.8996</v>
      </c>
      <c r="E707">
        <v>4.0777999999999999</v>
      </c>
      <c r="F707">
        <v>18727166.32</v>
      </c>
      <c r="G707">
        <v>0</v>
      </c>
      <c r="L707" t="s">
        <v>8</v>
      </c>
      <c r="M707" t="s">
        <v>8</v>
      </c>
      <c r="N707" t="s">
        <v>7</v>
      </c>
      <c r="P707">
        <f t="shared" si="994"/>
        <v>5.7566765578633911E-2</v>
      </c>
      <c r="Q707">
        <f t="shared" si="995"/>
        <v>1078062.3934955283</v>
      </c>
      <c r="R707">
        <f t="shared" si="996"/>
        <v>264766294.18220499</v>
      </c>
      <c r="S707">
        <f t="shared" si="997"/>
        <v>2647.66294182205</v>
      </c>
      <c r="T707">
        <f t="shared" si="998"/>
        <v>2.6476629418220501</v>
      </c>
    </row>
    <row r="708" spans="1:20" x14ac:dyDescent="0.25">
      <c r="A708" s="5">
        <v>43885</v>
      </c>
      <c r="B708">
        <v>4.3775000000000004</v>
      </c>
      <c r="C708">
        <v>4.4009999999999998</v>
      </c>
      <c r="D708">
        <v>3.907</v>
      </c>
      <c r="E708">
        <v>4.1220999999999997</v>
      </c>
      <c r="F708">
        <v>15582623.289999999</v>
      </c>
      <c r="G708">
        <v>0</v>
      </c>
      <c r="L708" t="s">
        <v>7</v>
      </c>
      <c r="M708" t="s">
        <v>8</v>
      </c>
      <c r="N708" t="s">
        <v>7</v>
      </c>
      <c r="P708">
        <f t="shared" si="994"/>
        <v>-0.12914979757085132</v>
      </c>
      <c r="Q708">
        <f t="shared" si="995"/>
        <v>-2012492.6435263332</v>
      </c>
      <c r="R708">
        <f t="shared" si="996"/>
        <v>263688231.78870946</v>
      </c>
      <c r="S708">
        <f t="shared" si="997"/>
        <v>2636.8823178870948</v>
      </c>
      <c r="T708">
        <f t="shared" si="998"/>
        <v>2.6368823178870948</v>
      </c>
    </row>
    <row r="709" spans="1:20" x14ac:dyDescent="0.25">
      <c r="A709" s="5">
        <v>43884</v>
      </c>
      <c r="B709">
        <v>4.1002000000000001</v>
      </c>
      <c r="C709">
        <v>4.4043000000000001</v>
      </c>
      <c r="D709">
        <v>4.0845000000000002</v>
      </c>
      <c r="E709">
        <v>4.3777999999999997</v>
      </c>
      <c r="F709">
        <v>9517629.7699999996</v>
      </c>
      <c r="G709">
        <v>0</v>
      </c>
      <c r="L709" t="s">
        <v>8</v>
      </c>
      <c r="M709" t="s">
        <v>8</v>
      </c>
      <c r="N709" t="s">
        <v>7</v>
      </c>
      <c r="P709">
        <f t="shared" si="994"/>
        <v>0.83427141963727069</v>
      </c>
      <c r="Q709">
        <f t="shared" si="995"/>
        <v>7940286.4997998495</v>
      </c>
      <c r="R709">
        <f t="shared" si="996"/>
        <v>265700724.43223581</v>
      </c>
      <c r="S709">
        <f t="shared" si="997"/>
        <v>2657.007244322358</v>
      </c>
      <c r="T709">
        <f t="shared" si="998"/>
        <v>2.657007244322358</v>
      </c>
    </row>
    <row r="710" spans="1:20" x14ac:dyDescent="0.25">
      <c r="A710" s="5">
        <v>43883</v>
      </c>
      <c r="B710">
        <v>4.0517000000000003</v>
      </c>
      <c r="C710">
        <v>4.1589</v>
      </c>
      <c r="D710">
        <v>3.9718</v>
      </c>
      <c r="E710">
        <v>4.1003999999999996</v>
      </c>
      <c r="F710">
        <v>7856751.8799999999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0.3746659540352707</v>
      </c>
      <c r="Q710">
        <f t="shared" ref="Q710:Q766" si="1000">F710*P710</f>
        <v>2943657.4387386064</v>
      </c>
      <c r="R710">
        <f t="shared" ref="R710:R766" si="1001">R711+Q710</f>
        <v>257760437.93243596</v>
      </c>
      <c r="S710">
        <f t="shared" ref="S710:S766" si="1002">R710/100000</f>
        <v>2577.6043793243598</v>
      </c>
      <c r="T710">
        <f t="shared" ref="T710:T766" si="1003">S710/1000</f>
        <v>2.5776043793243599</v>
      </c>
    </row>
    <row r="711" spans="1:20" x14ac:dyDescent="0.25">
      <c r="A711" s="5">
        <v>43882</v>
      </c>
      <c r="B711">
        <v>3.9952999999999999</v>
      </c>
      <c r="C711">
        <v>4.1943999999999999</v>
      </c>
      <c r="D711">
        <v>3.9483000000000001</v>
      </c>
      <c r="E711">
        <v>4.0509000000000004</v>
      </c>
      <c r="F711">
        <v>12343738.220000001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-0.16619260463226052</v>
      </c>
      <c r="Q711">
        <f t="shared" si="1000"/>
        <v>-2051438.0056805832</v>
      </c>
      <c r="R711">
        <f t="shared" si="1001"/>
        <v>254816780.49369735</v>
      </c>
      <c r="S711">
        <f t="shared" si="1002"/>
        <v>2548.1678049369734</v>
      </c>
      <c r="T711">
        <f t="shared" si="1003"/>
        <v>2.5481678049369734</v>
      </c>
    </row>
    <row r="712" spans="1:20" x14ac:dyDescent="0.25">
      <c r="A712" s="5">
        <v>43881</v>
      </c>
      <c r="B712">
        <v>3.9752999999999998</v>
      </c>
      <c r="C712">
        <v>4.0624000000000002</v>
      </c>
      <c r="D712">
        <v>3.7955000000000001</v>
      </c>
      <c r="E712">
        <v>3.9963000000000002</v>
      </c>
      <c r="F712">
        <v>18312077.010000002</v>
      </c>
      <c r="G712">
        <v>0</v>
      </c>
      <c r="L712" t="s">
        <v>8</v>
      </c>
      <c r="M712" t="s">
        <v>7</v>
      </c>
      <c r="N712" t="s">
        <v>7</v>
      </c>
      <c r="P712">
        <f t="shared" si="999"/>
        <v>0.50468340202322959</v>
      </c>
      <c r="Q712">
        <f t="shared" si="1000"/>
        <v>9241801.32351817</v>
      </c>
      <c r="R712">
        <f t="shared" si="1001"/>
        <v>256868218.49937794</v>
      </c>
      <c r="S712">
        <f t="shared" si="1002"/>
        <v>2568.6821849937792</v>
      </c>
      <c r="T712">
        <f t="shared" si="1003"/>
        <v>2.5686821849937793</v>
      </c>
    </row>
    <row r="713" spans="1:20" x14ac:dyDescent="0.25">
      <c r="A713" s="5">
        <v>43880</v>
      </c>
      <c r="B713">
        <v>4.5816999999999997</v>
      </c>
      <c r="C713">
        <v>4.6079999999999997</v>
      </c>
      <c r="D713">
        <v>3.5991</v>
      </c>
      <c r="E713">
        <v>3.9752000000000001</v>
      </c>
      <c r="F713">
        <v>14361795.23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-0.25443552383784274</v>
      </c>
      <c r="Q713">
        <f t="shared" si="1000"/>
        <v>-3654150.8925968814</v>
      </c>
      <c r="R713">
        <f t="shared" si="1001"/>
        <v>247626417.17585978</v>
      </c>
      <c r="S713">
        <f t="shared" si="1002"/>
        <v>2476.264171758598</v>
      </c>
      <c r="T713">
        <f t="shared" si="1003"/>
        <v>2.476264171758598</v>
      </c>
    </row>
    <row r="714" spans="1:20" x14ac:dyDescent="0.25">
      <c r="A714" s="5">
        <v>43879</v>
      </c>
      <c r="B714">
        <v>4.3525999999999998</v>
      </c>
      <c r="C714">
        <v>4.6500000000000004</v>
      </c>
      <c r="D714">
        <v>4.2504</v>
      </c>
      <c r="E714">
        <v>4.5792999999999999</v>
      </c>
      <c r="F714">
        <v>13137220.630000001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0.64614614614614441</v>
      </c>
      <c r="Q714">
        <f t="shared" si="1000"/>
        <v>8488564.4811461233</v>
      </c>
      <c r="R714">
        <f t="shared" si="1001"/>
        <v>251280568.06845665</v>
      </c>
      <c r="S714">
        <f t="shared" si="1002"/>
        <v>2512.8056806845666</v>
      </c>
      <c r="T714">
        <f t="shared" si="1003"/>
        <v>2.5128056806845667</v>
      </c>
    </row>
    <row r="715" spans="1:20" x14ac:dyDescent="0.25">
      <c r="A715" s="5">
        <v>43878</v>
      </c>
      <c r="B715">
        <v>4.3780999999999999</v>
      </c>
      <c r="C715">
        <v>4.4138999999999999</v>
      </c>
      <c r="D715">
        <v>4.0285000000000002</v>
      </c>
      <c r="E715">
        <v>4.3521000000000001</v>
      </c>
      <c r="F715">
        <v>21497163.670000002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0.67929423975090863</v>
      </c>
      <c r="Q715">
        <f t="shared" si="1000"/>
        <v>14602899.452013504</v>
      </c>
      <c r="R715">
        <f t="shared" si="1001"/>
        <v>242792003.58731052</v>
      </c>
      <c r="S715">
        <f t="shared" si="1002"/>
        <v>2427.920035873105</v>
      </c>
      <c r="T715">
        <f t="shared" si="1003"/>
        <v>2.4279200358731048</v>
      </c>
    </row>
    <row r="716" spans="1:20" x14ac:dyDescent="0.25">
      <c r="A716" s="5">
        <v>43877</v>
      </c>
      <c r="B716">
        <v>4.7413999999999996</v>
      </c>
      <c r="C716">
        <v>4.8611000000000004</v>
      </c>
      <c r="D716">
        <v>4.0357000000000003</v>
      </c>
      <c r="E716">
        <v>4.3811999999999998</v>
      </c>
      <c r="F716">
        <v>22428937.940000001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-0.16283014296099002</v>
      </c>
      <c r="Q716">
        <f t="shared" si="1000"/>
        <v>-3652107.1712333732</v>
      </c>
      <c r="R716">
        <f t="shared" si="1001"/>
        <v>228189104.13529703</v>
      </c>
      <c r="S716">
        <f t="shared" si="1002"/>
        <v>2281.8910413529702</v>
      </c>
      <c r="T716">
        <f t="shared" si="1003"/>
        <v>2.2818910413529703</v>
      </c>
    </row>
    <row r="717" spans="1:20" x14ac:dyDescent="0.25">
      <c r="A717" s="5">
        <v>43876</v>
      </c>
      <c r="B717">
        <v>5.3760000000000003</v>
      </c>
      <c r="C717">
        <v>5.3928000000000003</v>
      </c>
      <c r="D717">
        <v>4.5065999999999997</v>
      </c>
      <c r="E717">
        <v>4.7428999999999997</v>
      </c>
      <c r="F717">
        <v>17939929.800000001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-0.46671180320469463</v>
      </c>
      <c r="Q717">
        <f t="shared" si="1000"/>
        <v>-8372776.986323637</v>
      </c>
      <c r="R717">
        <f t="shared" si="1001"/>
        <v>231841211.30653042</v>
      </c>
      <c r="S717">
        <f t="shared" si="1002"/>
        <v>2318.4121130653043</v>
      </c>
      <c r="T717">
        <f t="shared" si="1003"/>
        <v>2.3184121130653041</v>
      </c>
    </row>
    <row r="718" spans="1:20" x14ac:dyDescent="0.25">
      <c r="A718" s="5">
        <v>43875</v>
      </c>
      <c r="B718">
        <v>5.3634000000000004</v>
      </c>
      <c r="C718">
        <v>5.4473000000000003</v>
      </c>
      <c r="D718">
        <v>5.2339000000000002</v>
      </c>
      <c r="E718">
        <v>5.3746999999999998</v>
      </c>
      <c r="F718">
        <v>7266083.3700000001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0.31958762886597536</v>
      </c>
      <c r="Q718">
        <f t="shared" si="1000"/>
        <v>2322150.3553607957</v>
      </c>
      <c r="R718">
        <f t="shared" si="1001"/>
        <v>240213988.29285404</v>
      </c>
      <c r="S718">
        <f t="shared" si="1002"/>
        <v>2402.1398829285404</v>
      </c>
      <c r="T718">
        <f t="shared" si="1003"/>
        <v>2.4021398829285405</v>
      </c>
    </row>
    <row r="719" spans="1:20" x14ac:dyDescent="0.25">
      <c r="A719" s="5">
        <v>43874</v>
      </c>
      <c r="B719">
        <v>5.3339999999999996</v>
      </c>
      <c r="C719">
        <v>5.4996</v>
      </c>
      <c r="D719">
        <v>5.18</v>
      </c>
      <c r="E719">
        <v>5.3606999999999996</v>
      </c>
      <c r="F719">
        <v>11442756.380000001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0.13078848560700673</v>
      </c>
      <c r="Q719">
        <f t="shared" si="1000"/>
        <v>1496580.7781101146</v>
      </c>
      <c r="R719">
        <f t="shared" si="1001"/>
        <v>237891837.93749323</v>
      </c>
      <c r="S719">
        <f t="shared" si="1002"/>
        <v>2378.9183793749326</v>
      </c>
      <c r="T719">
        <f t="shared" si="1003"/>
        <v>2.3789183793749324</v>
      </c>
    </row>
    <row r="720" spans="1:20" x14ac:dyDescent="0.25">
      <c r="A720" s="5">
        <v>43873</v>
      </c>
      <c r="B720">
        <v>5.2447999999999997</v>
      </c>
      <c r="C720">
        <v>5.4622000000000002</v>
      </c>
      <c r="D720">
        <v>5.24</v>
      </c>
      <c r="E720">
        <v>5.3307000000000002</v>
      </c>
      <c r="F720">
        <v>10153814.34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-0.18361836183618341</v>
      </c>
      <c r="Q720">
        <f t="shared" si="1000"/>
        <v>-1864426.7554995478</v>
      </c>
      <c r="R720">
        <f t="shared" si="1001"/>
        <v>236395257.15938312</v>
      </c>
      <c r="S720">
        <f t="shared" si="1002"/>
        <v>2363.9525715938312</v>
      </c>
      <c r="T720">
        <f t="shared" si="1003"/>
        <v>2.3639525715938312</v>
      </c>
    </row>
    <row r="721" spans="1:20" x14ac:dyDescent="0.25">
      <c r="A721" s="5">
        <v>43872</v>
      </c>
      <c r="B721">
        <v>4.8959000000000001</v>
      </c>
      <c r="C721">
        <v>5.3025000000000002</v>
      </c>
      <c r="D721">
        <v>4.7925000000000004</v>
      </c>
      <c r="E721">
        <v>5.2449000000000003</v>
      </c>
      <c r="F721">
        <v>9187999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0.77411764705882391</v>
      </c>
      <c r="Q721">
        <f t="shared" si="1000"/>
        <v>7112592.1670588274</v>
      </c>
      <c r="R721">
        <f t="shared" si="1001"/>
        <v>238259683.91488266</v>
      </c>
      <c r="S721">
        <f t="shared" si="1002"/>
        <v>2382.5968391488268</v>
      </c>
      <c r="T721">
        <f t="shared" si="1003"/>
        <v>2.3825968391488268</v>
      </c>
    </row>
    <row r="722" spans="1:20" x14ac:dyDescent="0.25">
      <c r="A722" s="5">
        <v>43871</v>
      </c>
      <c r="B722">
        <v>5.0068000000000001</v>
      </c>
      <c r="C722">
        <v>5.0449999999999999</v>
      </c>
      <c r="D722">
        <v>4.7373000000000003</v>
      </c>
      <c r="E722">
        <v>4.8986000000000001</v>
      </c>
      <c r="F722">
        <v>9467467.4600000009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4.8423789405264643E-2</v>
      </c>
      <c r="Q722">
        <f t="shared" si="1000"/>
        <v>458450.65048423578</v>
      </c>
      <c r="R722">
        <f t="shared" si="1001"/>
        <v>231147091.74782383</v>
      </c>
      <c r="S722">
        <f t="shared" si="1002"/>
        <v>2311.4709174782383</v>
      </c>
      <c r="T722">
        <f t="shared" si="1003"/>
        <v>2.3114709174782382</v>
      </c>
    </row>
    <row r="723" spans="1:20" x14ac:dyDescent="0.25">
      <c r="A723" s="5">
        <v>43870</v>
      </c>
      <c r="B723">
        <v>4.7634999999999996</v>
      </c>
      <c r="C723">
        <v>5.0462999999999996</v>
      </c>
      <c r="D723">
        <v>4.7606000000000002</v>
      </c>
      <c r="E723">
        <v>5.0110999999999999</v>
      </c>
      <c r="F723">
        <v>8260536.4500000002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0.75358767938397098</v>
      </c>
      <c r="Q723">
        <f t="shared" si="1000"/>
        <v>6225038.4938222058</v>
      </c>
      <c r="R723">
        <f t="shared" si="1001"/>
        <v>230688641.0973396</v>
      </c>
      <c r="S723">
        <f t="shared" si="1002"/>
        <v>2306.8864109733959</v>
      </c>
      <c r="T723">
        <f t="shared" si="1003"/>
        <v>2.3068864109733958</v>
      </c>
    </row>
    <row r="724" spans="1:20" x14ac:dyDescent="0.25">
      <c r="A724" s="5">
        <v>43869</v>
      </c>
      <c r="B724">
        <v>4.5898000000000003</v>
      </c>
      <c r="C724">
        <v>4.8499999999999996</v>
      </c>
      <c r="D724">
        <v>4.43</v>
      </c>
      <c r="E724">
        <v>4.7619999999999996</v>
      </c>
      <c r="F724">
        <v>8079917.0800000001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0.58095238095238055</v>
      </c>
      <c r="Q724">
        <f t="shared" si="1000"/>
        <v>4694047.065523806</v>
      </c>
      <c r="R724">
        <f t="shared" si="1001"/>
        <v>224463602.60351738</v>
      </c>
      <c r="S724">
        <f t="shared" si="1002"/>
        <v>2244.6360260351739</v>
      </c>
      <c r="T724">
        <f t="shared" si="1003"/>
        <v>2.2446360260351739</v>
      </c>
    </row>
    <row r="725" spans="1:20" x14ac:dyDescent="0.25">
      <c r="A725" s="5">
        <v>43868</v>
      </c>
      <c r="B725">
        <v>4.6001000000000003</v>
      </c>
      <c r="C725">
        <v>4.7046000000000001</v>
      </c>
      <c r="D725">
        <v>4.5148000000000001</v>
      </c>
      <c r="E725">
        <v>4.5898000000000003</v>
      </c>
      <c r="F725">
        <v>6853685.4299999997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-0.20969441517386522</v>
      </c>
      <c r="Q725">
        <f t="shared" si="1000"/>
        <v>-1437179.558029491</v>
      </c>
      <c r="R725">
        <f t="shared" si="1001"/>
        <v>219769555.53799358</v>
      </c>
      <c r="S725">
        <f t="shared" si="1002"/>
        <v>2197.6955553799357</v>
      </c>
      <c r="T725">
        <f t="shared" si="1003"/>
        <v>2.1976955553799358</v>
      </c>
    </row>
    <row r="726" spans="1:20" x14ac:dyDescent="0.25">
      <c r="A726" s="5">
        <v>43867</v>
      </c>
      <c r="B726">
        <v>4.5282</v>
      </c>
      <c r="C726">
        <v>4.6755000000000004</v>
      </c>
      <c r="D726">
        <v>4.4348999999999998</v>
      </c>
      <c r="E726">
        <v>4.6037999999999997</v>
      </c>
      <c r="F726">
        <v>9275897.4499999993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0.40399002493765096</v>
      </c>
      <c r="Q726">
        <f t="shared" si="1000"/>
        <v>3747370.0421445929</v>
      </c>
      <c r="R726">
        <f t="shared" si="1001"/>
        <v>221206735.09602308</v>
      </c>
      <c r="S726">
        <f t="shared" si="1002"/>
        <v>2212.0673509602307</v>
      </c>
      <c r="T726">
        <f t="shared" si="1003"/>
        <v>2.2120673509602309</v>
      </c>
    </row>
    <row r="727" spans="1:20" x14ac:dyDescent="0.25">
      <c r="A727" s="5">
        <v>43866</v>
      </c>
      <c r="B727">
        <v>4.2306999999999997</v>
      </c>
      <c r="C727">
        <v>4.5899000000000001</v>
      </c>
      <c r="D727">
        <v>4.1757999999999997</v>
      </c>
      <c r="E727">
        <v>4.5284000000000004</v>
      </c>
      <c r="F727">
        <v>9824719.8599999994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0.70297029702970482</v>
      </c>
      <c r="Q727">
        <f t="shared" si="1000"/>
        <v>6906486.238217839</v>
      </c>
      <c r="R727">
        <f t="shared" si="1001"/>
        <v>217459365.05387849</v>
      </c>
      <c r="S727">
        <f t="shared" si="1002"/>
        <v>2174.5936505387849</v>
      </c>
      <c r="T727">
        <f t="shared" si="1003"/>
        <v>2.1745936505387848</v>
      </c>
    </row>
    <row r="728" spans="1:20" x14ac:dyDescent="0.25">
      <c r="A728" s="5">
        <v>43865</v>
      </c>
      <c r="B728">
        <v>4.202</v>
      </c>
      <c r="C728">
        <v>4.2708000000000004</v>
      </c>
      <c r="D728">
        <v>4.0618999999999996</v>
      </c>
      <c r="E728">
        <v>4.2305999999999999</v>
      </c>
      <c r="F728">
        <v>6737639.29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0.61512685495452069</v>
      </c>
      <c r="Q728">
        <f t="shared" si="1000"/>
        <v>4144502.8662757096</v>
      </c>
      <c r="R728">
        <f t="shared" si="1001"/>
        <v>210552878.81566066</v>
      </c>
      <c r="S728">
        <f t="shared" si="1002"/>
        <v>2105.5287881566064</v>
      </c>
      <c r="T728">
        <f t="shared" si="1003"/>
        <v>2.1055287881566063</v>
      </c>
    </row>
    <row r="729" spans="1:20" x14ac:dyDescent="0.25">
      <c r="A729" s="5">
        <v>43864</v>
      </c>
      <c r="B729">
        <v>4.2145999999999999</v>
      </c>
      <c r="C729">
        <v>4.3756000000000004</v>
      </c>
      <c r="D729">
        <v>4.1376999999999997</v>
      </c>
      <c r="E729">
        <v>4.2027000000000001</v>
      </c>
      <c r="F729">
        <v>8039733.6799999997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-0.45355191256830424</v>
      </c>
      <c r="Q729">
        <f t="shared" si="1000"/>
        <v>-3646436.5871038106</v>
      </c>
      <c r="R729">
        <f t="shared" si="1001"/>
        <v>206408375.94938496</v>
      </c>
      <c r="S729">
        <f t="shared" si="1002"/>
        <v>2064.0837594938494</v>
      </c>
      <c r="T729">
        <f t="shared" si="1003"/>
        <v>2.0640837594938493</v>
      </c>
    </row>
    <row r="730" spans="1:20" x14ac:dyDescent="0.25">
      <c r="A730" s="5">
        <v>43863</v>
      </c>
      <c r="B730">
        <v>4.1546000000000003</v>
      </c>
      <c r="C730">
        <v>4.3358999999999996</v>
      </c>
      <c r="D730">
        <v>4.0434999999999999</v>
      </c>
      <c r="E730">
        <v>4.2145000000000001</v>
      </c>
      <c r="F730">
        <v>8252622.2800000003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0.16963064295485908</v>
      </c>
      <c r="Q730">
        <f t="shared" si="1000"/>
        <v>1399897.6234199952</v>
      </c>
      <c r="R730">
        <f t="shared" si="1001"/>
        <v>210054812.53648877</v>
      </c>
      <c r="S730">
        <f t="shared" si="1002"/>
        <v>2100.5481253648877</v>
      </c>
      <c r="T730">
        <f t="shared" si="1003"/>
        <v>2.1005481253648877</v>
      </c>
    </row>
    <row r="731" spans="1:20" x14ac:dyDescent="0.25">
      <c r="A731" s="5">
        <v>43862</v>
      </c>
      <c r="B731">
        <v>4.1462000000000003</v>
      </c>
      <c r="C731">
        <v>4.2648999999999999</v>
      </c>
      <c r="D731">
        <v>4.0662000000000003</v>
      </c>
      <c r="E731">
        <v>4.1531000000000002</v>
      </c>
      <c r="F731">
        <v>7180598.1399999997</v>
      </c>
      <c r="G731">
        <v>0</v>
      </c>
      <c r="L731" t="s">
        <v>7</v>
      </c>
      <c r="M731" t="s">
        <v>8</v>
      </c>
      <c r="N731" t="s">
        <v>8</v>
      </c>
      <c r="P731">
        <f t="shared" si="999"/>
        <v>-0.1253145445395055</v>
      </c>
      <c r="Q731">
        <f t="shared" si="1000"/>
        <v>-899833.38543532032</v>
      </c>
      <c r="R731">
        <f t="shared" si="1001"/>
        <v>208654914.91306877</v>
      </c>
      <c r="S731">
        <f t="shared" si="1002"/>
        <v>2086.5491491306875</v>
      </c>
      <c r="T731">
        <f t="shared" si="1003"/>
        <v>2.0865491491306876</v>
      </c>
    </row>
    <row r="732" spans="1:20" x14ac:dyDescent="0.25">
      <c r="A732" s="5">
        <v>43861</v>
      </c>
      <c r="B732">
        <v>4.3258000000000001</v>
      </c>
      <c r="C732">
        <v>4.3719999999999999</v>
      </c>
      <c r="D732">
        <v>4.0221999999999998</v>
      </c>
      <c r="E732">
        <v>4.1444000000000001</v>
      </c>
      <c r="F732">
        <v>11211276.99</v>
      </c>
      <c r="G732">
        <v>0</v>
      </c>
      <c r="L732" t="s">
        <v>7</v>
      </c>
      <c r="M732" t="s">
        <v>8</v>
      </c>
      <c r="N732" t="s">
        <v>8</v>
      </c>
      <c r="P732">
        <f t="shared" si="999"/>
        <v>-0.30131503716409225</v>
      </c>
      <c r="Q732">
        <f t="shared" si="1000"/>
        <v>-3378126.3428987823</v>
      </c>
      <c r="R732">
        <f t="shared" si="1001"/>
        <v>209554748.29850408</v>
      </c>
      <c r="S732">
        <f t="shared" si="1002"/>
        <v>2095.5474829850409</v>
      </c>
      <c r="T732">
        <f t="shared" si="1003"/>
        <v>2.0955474829850411</v>
      </c>
    </row>
    <row r="733" spans="1:20" x14ac:dyDescent="0.25">
      <c r="A733" s="5">
        <v>43860</v>
      </c>
      <c r="B733">
        <v>3.9666000000000001</v>
      </c>
      <c r="C733">
        <v>4.4000000000000004</v>
      </c>
      <c r="D733">
        <v>3.8906999999999998</v>
      </c>
      <c r="E733">
        <v>4.3235999999999999</v>
      </c>
      <c r="F733">
        <v>13114919.09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0.69998036520714557</v>
      </c>
      <c r="Q733">
        <f t="shared" si="1000"/>
        <v>9180185.8542803656</v>
      </c>
      <c r="R733">
        <f t="shared" si="1001"/>
        <v>212932874.64140287</v>
      </c>
      <c r="S733">
        <f t="shared" si="1002"/>
        <v>2129.3287464140285</v>
      </c>
      <c r="T733">
        <f t="shared" si="1003"/>
        <v>2.1293287464140285</v>
      </c>
    </row>
    <row r="734" spans="1:20" x14ac:dyDescent="0.25">
      <c r="A734" s="5">
        <v>43859</v>
      </c>
      <c r="B734">
        <v>4.0407999999999999</v>
      </c>
      <c r="C734">
        <v>4.1196000000000002</v>
      </c>
      <c r="D734">
        <v>3.9556</v>
      </c>
      <c r="E734">
        <v>3.9674</v>
      </c>
      <c r="F734">
        <v>9832312.0600000005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-0.85609756097560952</v>
      </c>
      <c r="Q734">
        <f t="shared" si="1000"/>
        <v>-8417418.3733170722</v>
      </c>
      <c r="R734">
        <f t="shared" si="1001"/>
        <v>203752688.78712252</v>
      </c>
      <c r="S734">
        <f t="shared" si="1002"/>
        <v>2037.5268878712252</v>
      </c>
      <c r="T734">
        <f t="shared" si="1003"/>
        <v>2.0375268878712252</v>
      </c>
    </row>
    <row r="735" spans="1:20" x14ac:dyDescent="0.25">
      <c r="A735" s="5">
        <v>43858</v>
      </c>
      <c r="B735">
        <v>3.9618000000000002</v>
      </c>
      <c r="C735">
        <v>4.1325000000000003</v>
      </c>
      <c r="D735">
        <v>3.871</v>
      </c>
      <c r="E735">
        <v>4.0411999999999999</v>
      </c>
      <c r="F735">
        <v>12083323.83</v>
      </c>
      <c r="G735">
        <v>0</v>
      </c>
      <c r="L735" t="s">
        <v>8</v>
      </c>
      <c r="M735" t="s">
        <v>8</v>
      </c>
      <c r="N735" t="s">
        <v>8</v>
      </c>
      <c r="P735">
        <f t="shared" si="999"/>
        <v>0.30172084130018906</v>
      </c>
      <c r="Q735">
        <f t="shared" si="1000"/>
        <v>3645790.6316902228</v>
      </c>
      <c r="R735">
        <f t="shared" si="1001"/>
        <v>212170107.16043958</v>
      </c>
      <c r="S735">
        <f t="shared" si="1002"/>
        <v>2121.701071604396</v>
      </c>
      <c r="T735">
        <f t="shared" si="1003"/>
        <v>2.121701071604396</v>
      </c>
    </row>
    <row r="736" spans="1:20" x14ac:dyDescent="0.25">
      <c r="A736" s="5">
        <v>43857</v>
      </c>
      <c r="B736">
        <v>3.65</v>
      </c>
      <c r="C736">
        <v>4.0595999999999997</v>
      </c>
      <c r="D736">
        <v>3.6450999999999998</v>
      </c>
      <c r="E736">
        <v>3.9647000000000001</v>
      </c>
      <c r="F736">
        <v>11268425.52</v>
      </c>
      <c r="G736">
        <v>0</v>
      </c>
      <c r="L736" t="s">
        <v>8</v>
      </c>
      <c r="M736" t="s">
        <v>8</v>
      </c>
      <c r="N736" t="s">
        <v>8</v>
      </c>
      <c r="P736">
        <f t="shared" si="999"/>
        <v>0.54209891435464619</v>
      </c>
      <c r="Q736">
        <f t="shared" si="1000"/>
        <v>6108601.240878189</v>
      </c>
      <c r="R736">
        <f t="shared" si="1001"/>
        <v>208524316.52874935</v>
      </c>
      <c r="S736">
        <f t="shared" si="1002"/>
        <v>2085.2431652874934</v>
      </c>
      <c r="T736">
        <f t="shared" si="1003"/>
        <v>2.0852431652874932</v>
      </c>
    </row>
    <row r="737" spans="1:20" x14ac:dyDescent="0.25">
      <c r="A737" s="5">
        <v>43856</v>
      </c>
      <c r="B737">
        <v>3.4967000000000001</v>
      </c>
      <c r="C737">
        <v>3.6665999999999999</v>
      </c>
      <c r="D737">
        <v>3.4308000000000001</v>
      </c>
      <c r="E737">
        <v>3.6486000000000001</v>
      </c>
      <c r="F737">
        <v>6009232.4100000001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0.84732824427481079</v>
      </c>
      <c r="Q737">
        <f t="shared" si="1000"/>
        <v>5091792.3474045899</v>
      </c>
      <c r="R737">
        <f t="shared" si="1001"/>
        <v>202415715.28787115</v>
      </c>
      <c r="S737">
        <f t="shared" si="1002"/>
        <v>2024.1571528787115</v>
      </c>
      <c r="T737">
        <f t="shared" si="1003"/>
        <v>2.0241571528787117</v>
      </c>
    </row>
    <row r="738" spans="1:20" x14ac:dyDescent="0.25">
      <c r="A738" s="5">
        <v>43855</v>
      </c>
      <c r="B738">
        <v>3.6343999999999999</v>
      </c>
      <c r="C738">
        <v>3.637</v>
      </c>
      <c r="D738">
        <v>3.4921000000000002</v>
      </c>
      <c r="E738">
        <v>3.4980000000000002</v>
      </c>
      <c r="F738">
        <v>5119668.04</v>
      </c>
      <c r="G738">
        <v>0</v>
      </c>
      <c r="L738" t="s">
        <v>8</v>
      </c>
      <c r="M738" t="s">
        <v>7</v>
      </c>
      <c r="N738" t="s">
        <v>8</v>
      </c>
      <c r="P738">
        <f t="shared" si="999"/>
        <v>-0.91856452726017912</v>
      </c>
      <c r="Q738">
        <f t="shared" si="1000"/>
        <v>-4702745.4528916478</v>
      </c>
      <c r="R738">
        <f t="shared" si="1001"/>
        <v>197323922.94046655</v>
      </c>
      <c r="S738">
        <f t="shared" si="1002"/>
        <v>1973.2392294046656</v>
      </c>
      <c r="T738">
        <f t="shared" si="1003"/>
        <v>1.9732392294046657</v>
      </c>
    </row>
    <row r="739" spans="1:20" x14ac:dyDescent="0.25">
      <c r="A739" s="5">
        <v>43854</v>
      </c>
      <c r="B739">
        <v>3.5731000000000002</v>
      </c>
      <c r="C739">
        <v>3.7039</v>
      </c>
      <c r="D739">
        <v>3.3523999999999998</v>
      </c>
      <c r="E739">
        <v>3.6345000000000001</v>
      </c>
      <c r="F739">
        <v>8757294.5899999999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0.60512091038406901</v>
      </c>
      <c r="Q739">
        <f t="shared" si="1000"/>
        <v>5299222.0748022823</v>
      </c>
      <c r="R739">
        <f t="shared" si="1001"/>
        <v>202026668.3933582</v>
      </c>
      <c r="S739">
        <f t="shared" si="1002"/>
        <v>2020.266683933582</v>
      </c>
      <c r="T739">
        <f t="shared" si="1003"/>
        <v>2.0202666839335821</v>
      </c>
    </row>
    <row r="740" spans="1:20" x14ac:dyDescent="0.25">
      <c r="A740" s="5">
        <v>43853</v>
      </c>
      <c r="B740">
        <v>3.6533000000000002</v>
      </c>
      <c r="C740">
        <v>3.6558000000000002</v>
      </c>
      <c r="D740">
        <v>3.4935999999999998</v>
      </c>
      <c r="E740">
        <v>3.5706000000000002</v>
      </c>
      <c r="F740">
        <v>7019679.2400000002</v>
      </c>
      <c r="G740">
        <v>0</v>
      </c>
      <c r="L740" t="s">
        <v>8</v>
      </c>
      <c r="M740" t="s">
        <v>8</v>
      </c>
      <c r="N740" t="s">
        <v>8</v>
      </c>
      <c r="P740">
        <f t="shared" si="999"/>
        <v>-5.0554870530206679E-2</v>
      </c>
      <c r="Q740">
        <f t="shared" si="1000"/>
        <v>-354878.97514177964</v>
      </c>
      <c r="R740">
        <f t="shared" si="1001"/>
        <v>196727446.31855592</v>
      </c>
      <c r="S740">
        <f t="shared" si="1002"/>
        <v>1967.2744631855592</v>
      </c>
      <c r="T740">
        <f t="shared" si="1003"/>
        <v>1.9672744631855592</v>
      </c>
    </row>
    <row r="741" spans="1:20" x14ac:dyDescent="0.25">
      <c r="A741" s="5">
        <v>43852</v>
      </c>
      <c r="B741">
        <v>3.6543999999999999</v>
      </c>
      <c r="C741">
        <v>3.7471000000000001</v>
      </c>
      <c r="D741">
        <v>3.5861000000000001</v>
      </c>
      <c r="E741">
        <v>3.6539999999999999</v>
      </c>
      <c r="F741">
        <v>5798540.2400000002</v>
      </c>
      <c r="G741">
        <v>0</v>
      </c>
      <c r="L741" t="s">
        <v>8</v>
      </c>
      <c r="M741" t="s">
        <v>8</v>
      </c>
      <c r="N741" t="s">
        <v>8</v>
      </c>
      <c r="P741">
        <f t="shared" si="999"/>
        <v>-0.15652173913043682</v>
      </c>
      <c r="Q741">
        <f t="shared" si="1000"/>
        <v>-907597.60278262058</v>
      </c>
      <c r="R741">
        <f t="shared" si="1001"/>
        <v>197082325.29369771</v>
      </c>
      <c r="S741">
        <f t="shared" si="1002"/>
        <v>1970.823252936977</v>
      </c>
      <c r="T741">
        <f t="shared" si="1003"/>
        <v>1.9708232529369771</v>
      </c>
    </row>
    <row r="742" spans="1:20" x14ac:dyDescent="0.25">
      <c r="A742" s="5">
        <v>43851</v>
      </c>
      <c r="B742">
        <v>3.6177000000000001</v>
      </c>
      <c r="C742">
        <v>3.6916000000000002</v>
      </c>
      <c r="D742">
        <v>3.5526</v>
      </c>
      <c r="E742">
        <v>3.6526999999999998</v>
      </c>
      <c r="F742">
        <v>6046161.6100000003</v>
      </c>
      <c r="G742">
        <v>0</v>
      </c>
      <c r="L742" t="s">
        <v>8</v>
      </c>
      <c r="M742" t="s">
        <v>8</v>
      </c>
      <c r="N742" t="s">
        <v>8</v>
      </c>
      <c r="P742">
        <f t="shared" si="999"/>
        <v>0.44028776978416817</v>
      </c>
      <c r="Q742">
        <f t="shared" si="1000"/>
        <v>2662051.0110215559</v>
      </c>
      <c r="R742">
        <f t="shared" si="1001"/>
        <v>197989922.89648032</v>
      </c>
      <c r="S742">
        <f t="shared" si="1002"/>
        <v>1979.8992289648031</v>
      </c>
      <c r="T742">
        <f t="shared" si="1003"/>
        <v>1.9798992289648032</v>
      </c>
    </row>
    <row r="743" spans="1:20" x14ac:dyDescent="0.25">
      <c r="A743" s="5">
        <v>43850</v>
      </c>
      <c r="B743">
        <v>3.6133000000000002</v>
      </c>
      <c r="C743">
        <v>3.7046000000000001</v>
      </c>
      <c r="D743">
        <v>3.4860000000000002</v>
      </c>
      <c r="E743">
        <v>3.62</v>
      </c>
      <c r="F743">
        <v>8084930.1299999999</v>
      </c>
      <c r="G743">
        <v>0</v>
      </c>
      <c r="L743" t="s">
        <v>8</v>
      </c>
      <c r="M743" t="s">
        <v>8</v>
      </c>
      <c r="N743" t="s">
        <v>8</v>
      </c>
      <c r="P743">
        <f t="shared" si="999"/>
        <v>0.22598353156450096</v>
      </c>
      <c r="Q743">
        <f t="shared" si="1000"/>
        <v>1827061.0632296398</v>
      </c>
      <c r="R743">
        <f t="shared" si="1001"/>
        <v>195327871.88545877</v>
      </c>
      <c r="S743">
        <f t="shared" si="1002"/>
        <v>1953.2787188545876</v>
      </c>
      <c r="T743">
        <f t="shared" si="1003"/>
        <v>1.9532787188545877</v>
      </c>
    </row>
    <row r="744" spans="1:20" x14ac:dyDescent="0.25">
      <c r="A744" s="5">
        <v>43849</v>
      </c>
      <c r="B744">
        <v>3.8062</v>
      </c>
      <c r="C744">
        <v>3.9413999999999998</v>
      </c>
      <c r="D744">
        <v>3.4218999999999999</v>
      </c>
      <c r="E744">
        <v>3.6114999999999999</v>
      </c>
      <c r="F744">
        <v>12239661.439999999</v>
      </c>
      <c r="G744">
        <v>0</v>
      </c>
      <c r="L744" t="s">
        <v>7</v>
      </c>
      <c r="M744" t="s">
        <v>8</v>
      </c>
      <c r="N744" t="s">
        <v>8</v>
      </c>
      <c r="P744">
        <f t="shared" si="999"/>
        <v>-0.27006737247353207</v>
      </c>
      <c r="Q744">
        <f t="shared" si="1000"/>
        <v>-3305533.205066408</v>
      </c>
      <c r="R744">
        <f t="shared" si="1001"/>
        <v>193500810.82222912</v>
      </c>
      <c r="S744">
        <f t="shared" si="1002"/>
        <v>1935.0081082222912</v>
      </c>
      <c r="T744">
        <f t="shared" si="1003"/>
        <v>1.9350081082222912</v>
      </c>
    </row>
    <row r="745" spans="1:20" x14ac:dyDescent="0.25">
      <c r="A745" s="5">
        <v>43848</v>
      </c>
      <c r="B745">
        <v>3.9041999999999999</v>
      </c>
      <c r="C745">
        <v>4.0086000000000004</v>
      </c>
      <c r="D745">
        <v>3.7037</v>
      </c>
      <c r="E745">
        <v>3.8048999999999999</v>
      </c>
      <c r="F745">
        <v>12576001.050000001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-0.33617579534273645</v>
      </c>
      <c r="Q745">
        <f t="shared" si="1000"/>
        <v>-4227747.1552148387</v>
      </c>
      <c r="R745">
        <f t="shared" si="1001"/>
        <v>196806344.02729553</v>
      </c>
      <c r="S745">
        <f t="shared" si="1002"/>
        <v>1968.0634402729554</v>
      </c>
      <c r="T745">
        <f t="shared" si="1003"/>
        <v>1.9680634402729553</v>
      </c>
    </row>
    <row r="746" spans="1:20" x14ac:dyDescent="0.25">
      <c r="A746" s="5">
        <v>43847</v>
      </c>
      <c r="B746">
        <v>3.8374000000000001</v>
      </c>
      <c r="C746">
        <v>4.0785999999999998</v>
      </c>
      <c r="D746">
        <v>3.7402000000000002</v>
      </c>
      <c r="E746">
        <v>3.9037999999999999</v>
      </c>
      <c r="F746">
        <v>19702658.829999998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-3.3096926713948323E-2</v>
      </c>
      <c r="Q746">
        <f t="shared" si="1000"/>
        <v>-652097.45536643674</v>
      </c>
      <c r="R746">
        <f t="shared" si="1001"/>
        <v>201034091.18251038</v>
      </c>
      <c r="S746">
        <f t="shared" si="1002"/>
        <v>2010.3409118251038</v>
      </c>
      <c r="T746">
        <f t="shared" si="1003"/>
        <v>2.0103409118251037</v>
      </c>
    </row>
    <row r="747" spans="1:20" x14ac:dyDescent="0.25">
      <c r="A747" s="5">
        <v>43846</v>
      </c>
      <c r="B747">
        <v>3.7694999999999999</v>
      </c>
      <c r="C747">
        <v>3.9527000000000001</v>
      </c>
      <c r="D747">
        <v>3.5243000000000002</v>
      </c>
      <c r="E747">
        <v>3.8376000000000001</v>
      </c>
      <c r="F747">
        <v>14724773.27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0.46265172735760968</v>
      </c>
      <c r="Q747">
        <f t="shared" si="1000"/>
        <v>6812441.7883146582</v>
      </c>
      <c r="R747">
        <f t="shared" si="1001"/>
        <v>201686188.63787681</v>
      </c>
      <c r="S747">
        <f t="shared" si="1002"/>
        <v>2016.8618863787681</v>
      </c>
      <c r="T747">
        <f t="shared" si="1003"/>
        <v>2.0168618863787682</v>
      </c>
    </row>
    <row r="748" spans="1:20" x14ac:dyDescent="0.25">
      <c r="A748" s="5">
        <v>43845</v>
      </c>
      <c r="B748">
        <v>3.81</v>
      </c>
      <c r="C748">
        <v>3.9499</v>
      </c>
      <c r="D748">
        <v>3.57</v>
      </c>
      <c r="E748">
        <v>3.7675000000000001</v>
      </c>
      <c r="F748">
        <v>18024689.399999999</v>
      </c>
      <c r="G748">
        <v>0</v>
      </c>
      <c r="L748" t="s">
        <v>7</v>
      </c>
      <c r="M748" t="s">
        <v>8</v>
      </c>
      <c r="N748" t="s">
        <v>8</v>
      </c>
      <c r="P748">
        <f t="shared" si="999"/>
        <v>3.9747301921559175E-2</v>
      </c>
      <c r="Q748">
        <f t="shared" si="1000"/>
        <v>716432.77162412729</v>
      </c>
      <c r="R748">
        <f t="shared" si="1001"/>
        <v>194873746.84956214</v>
      </c>
      <c r="S748">
        <f t="shared" si="1002"/>
        <v>1948.7374684956214</v>
      </c>
      <c r="T748">
        <f t="shared" si="1003"/>
        <v>1.9487374684956213</v>
      </c>
    </row>
    <row r="749" spans="1:20" x14ac:dyDescent="0.25">
      <c r="A749" s="5">
        <v>43844</v>
      </c>
      <c r="B749">
        <v>3.1048</v>
      </c>
      <c r="C749">
        <v>4.08</v>
      </c>
      <c r="D749">
        <v>3.1036000000000001</v>
      </c>
      <c r="E749">
        <v>3.81</v>
      </c>
      <c r="F749">
        <v>24830202.41</v>
      </c>
      <c r="G749">
        <v>0</v>
      </c>
      <c r="L749" t="s">
        <v>8</v>
      </c>
      <c r="M749" t="s">
        <v>8</v>
      </c>
      <c r="N749" t="s">
        <v>8</v>
      </c>
      <c r="P749">
        <f t="shared" si="999"/>
        <v>0.44694797214256443</v>
      </c>
      <c r="Q749">
        <f t="shared" si="1000"/>
        <v>11097808.615038916</v>
      </c>
      <c r="R749">
        <f t="shared" si="1001"/>
        <v>194157314.07793802</v>
      </c>
      <c r="S749">
        <f t="shared" si="1002"/>
        <v>1941.5731407793803</v>
      </c>
      <c r="T749">
        <f t="shared" si="1003"/>
        <v>1.9415731407793804</v>
      </c>
    </row>
    <row r="750" spans="1:20" x14ac:dyDescent="0.25">
      <c r="A750" s="5">
        <v>43843</v>
      </c>
      <c r="B750">
        <v>3.2086000000000001</v>
      </c>
      <c r="C750">
        <v>3.2105999999999999</v>
      </c>
      <c r="D750">
        <v>3.0663999999999998</v>
      </c>
      <c r="E750">
        <v>3.1049000000000002</v>
      </c>
      <c r="F750">
        <v>5829335.1299999999</v>
      </c>
      <c r="G750">
        <v>0</v>
      </c>
      <c r="L750" t="s">
        <v>8</v>
      </c>
      <c r="M750" t="s">
        <v>8</v>
      </c>
      <c r="N750" t="s">
        <v>8</v>
      </c>
      <c r="P750">
        <f t="shared" si="999"/>
        <v>-0.46601941747572267</v>
      </c>
      <c r="Q750">
        <f t="shared" si="1000"/>
        <v>-2716583.3615533658</v>
      </c>
      <c r="R750">
        <f t="shared" si="1001"/>
        <v>183059505.46289912</v>
      </c>
      <c r="S750">
        <f t="shared" si="1002"/>
        <v>1830.5950546289912</v>
      </c>
      <c r="T750">
        <f t="shared" si="1003"/>
        <v>1.8305950546289913</v>
      </c>
    </row>
    <row r="751" spans="1:20" x14ac:dyDescent="0.25">
      <c r="A751" s="5">
        <v>43842</v>
      </c>
      <c r="B751">
        <v>2.9893000000000001</v>
      </c>
      <c r="C751">
        <v>3.2160000000000002</v>
      </c>
      <c r="D751">
        <v>2.9335</v>
      </c>
      <c r="E751">
        <v>3.2107000000000001</v>
      </c>
      <c r="F751">
        <v>7411556.7999999998</v>
      </c>
      <c r="G751">
        <v>0</v>
      </c>
      <c r="L751" t="s">
        <v>8</v>
      </c>
      <c r="M751" t="s">
        <v>8</v>
      </c>
      <c r="N751" t="s">
        <v>8</v>
      </c>
      <c r="P751">
        <f t="shared" si="999"/>
        <v>0.96247787610619417</v>
      </c>
      <c r="Q751">
        <f t="shared" si="1000"/>
        <v>7133459.4475044208</v>
      </c>
      <c r="R751">
        <f t="shared" si="1001"/>
        <v>185776088.82445249</v>
      </c>
      <c r="S751">
        <f t="shared" si="1002"/>
        <v>1857.7608882445249</v>
      </c>
      <c r="T751">
        <f t="shared" si="1003"/>
        <v>1.8577608882445249</v>
      </c>
    </row>
    <row r="752" spans="1:20" x14ac:dyDescent="0.25">
      <c r="A752" s="5">
        <v>43841</v>
      </c>
      <c r="B752">
        <v>2.9872999999999998</v>
      </c>
      <c r="C752">
        <v>3.13</v>
      </c>
      <c r="D752">
        <v>2.9350999999999998</v>
      </c>
      <c r="E752">
        <v>2.9901</v>
      </c>
      <c r="F752">
        <v>7763134.2699999996</v>
      </c>
      <c r="G752">
        <v>0</v>
      </c>
      <c r="L752" t="s">
        <v>8</v>
      </c>
      <c r="M752" t="s">
        <v>8</v>
      </c>
      <c r="N752" t="s">
        <v>8</v>
      </c>
      <c r="P752">
        <f t="shared" si="999"/>
        <v>-0.43560800410466766</v>
      </c>
      <c r="Q752">
        <f t="shared" si="1000"/>
        <v>-3381683.424951246</v>
      </c>
      <c r="R752">
        <f t="shared" si="1001"/>
        <v>178642629.37694806</v>
      </c>
      <c r="S752">
        <f t="shared" si="1002"/>
        <v>1786.4262937694805</v>
      </c>
      <c r="T752">
        <f t="shared" si="1003"/>
        <v>1.7864262937694806</v>
      </c>
    </row>
    <row r="753" spans="1:20" x14ac:dyDescent="0.25">
      <c r="A753" s="5">
        <v>43840</v>
      </c>
      <c r="B753">
        <v>2.7433000000000001</v>
      </c>
      <c r="C753">
        <v>3.0053999999999998</v>
      </c>
      <c r="D753">
        <v>2.65</v>
      </c>
      <c r="E753">
        <v>2.9866000000000001</v>
      </c>
      <c r="F753">
        <v>10802467.810000001</v>
      </c>
      <c r="G753">
        <v>0</v>
      </c>
      <c r="L753" t="s">
        <v>7</v>
      </c>
      <c r="M753" t="s">
        <v>8</v>
      </c>
      <c r="N753" t="s">
        <v>8</v>
      </c>
      <c r="P753">
        <f t="shared" si="999"/>
        <v>0.89420371412493127</v>
      </c>
      <c r="Q753">
        <f t="shared" si="1000"/>
        <v>9659606.8374170121</v>
      </c>
      <c r="R753">
        <f t="shared" si="1001"/>
        <v>182024312.80189931</v>
      </c>
      <c r="S753">
        <f t="shared" si="1002"/>
        <v>1820.243128018993</v>
      </c>
      <c r="T753">
        <f t="shared" si="1003"/>
        <v>1.820243128018993</v>
      </c>
    </row>
    <row r="754" spans="1:20" x14ac:dyDescent="0.25">
      <c r="A754" s="5">
        <v>43839</v>
      </c>
      <c r="B754">
        <v>2.7759</v>
      </c>
      <c r="C754">
        <v>2.7991999999999999</v>
      </c>
      <c r="D754">
        <v>2.6924999999999999</v>
      </c>
      <c r="E754">
        <v>2.7431999999999999</v>
      </c>
      <c r="F754">
        <v>5052407.9800000004</v>
      </c>
      <c r="G754">
        <v>0</v>
      </c>
      <c r="L754" t="s">
        <v>7</v>
      </c>
      <c r="M754" t="s">
        <v>8</v>
      </c>
      <c r="N754" t="s">
        <v>8</v>
      </c>
      <c r="P754">
        <f t="shared" si="999"/>
        <v>-4.967197750702982E-2</v>
      </c>
      <c r="Q754">
        <f t="shared" si="1000"/>
        <v>-250963.09553889799</v>
      </c>
      <c r="R754">
        <f t="shared" si="1001"/>
        <v>172364705.96448231</v>
      </c>
      <c r="S754">
        <f t="shared" si="1002"/>
        <v>1723.647059644823</v>
      </c>
      <c r="T754">
        <f t="shared" si="1003"/>
        <v>1.723647059644823</v>
      </c>
    </row>
    <row r="755" spans="1:20" x14ac:dyDescent="0.25">
      <c r="A755" s="5">
        <v>43838</v>
      </c>
      <c r="B755">
        <v>2.8460000000000001</v>
      </c>
      <c r="C755">
        <v>2.9691999999999998</v>
      </c>
      <c r="D755">
        <v>2.7092999999999998</v>
      </c>
      <c r="E755">
        <v>2.7751000000000001</v>
      </c>
      <c r="F755">
        <v>12411099.369999999</v>
      </c>
      <c r="G755">
        <v>0</v>
      </c>
      <c r="L755" t="s">
        <v>8</v>
      </c>
      <c r="M755" t="s">
        <v>8</v>
      </c>
      <c r="N755" t="s">
        <v>8</v>
      </c>
      <c r="P755">
        <f t="shared" si="999"/>
        <v>-0.49365140438630012</v>
      </c>
      <c r="Q755">
        <f t="shared" si="1000"/>
        <v>-6126756.6339784246</v>
      </c>
      <c r="R755">
        <f t="shared" si="1001"/>
        <v>172615669.06002119</v>
      </c>
      <c r="S755">
        <f t="shared" si="1002"/>
        <v>1726.156690600212</v>
      </c>
      <c r="T755">
        <f t="shared" si="1003"/>
        <v>1.7261566906002119</v>
      </c>
    </row>
    <row r="756" spans="1:20" x14ac:dyDescent="0.25">
      <c r="A756" s="5">
        <v>43837</v>
      </c>
      <c r="B756">
        <v>2.8506</v>
      </c>
      <c r="C756">
        <v>2.8889999999999998</v>
      </c>
      <c r="D756">
        <v>2.7536999999999998</v>
      </c>
      <c r="E756">
        <v>2.8458999999999999</v>
      </c>
      <c r="F756">
        <v>8735473.6899999995</v>
      </c>
      <c r="G756">
        <v>0</v>
      </c>
      <c r="L756" t="s">
        <v>8</v>
      </c>
      <c r="M756" t="s">
        <v>8</v>
      </c>
      <c r="N756" t="s">
        <v>8</v>
      </c>
      <c r="P756">
        <f t="shared" si="999"/>
        <v>0.36289726533629085</v>
      </c>
      <c r="Q756">
        <f t="shared" si="1000"/>
        <v>3170079.5135181174</v>
      </c>
      <c r="R756">
        <f t="shared" si="1001"/>
        <v>178742425.69399962</v>
      </c>
      <c r="S756">
        <f t="shared" si="1002"/>
        <v>1787.4242569399962</v>
      </c>
      <c r="T756">
        <f t="shared" si="1003"/>
        <v>1.7874242569399963</v>
      </c>
    </row>
    <row r="757" spans="1:20" x14ac:dyDescent="0.25">
      <c r="A757" s="5">
        <v>43836</v>
      </c>
      <c r="B757">
        <v>2.6844999999999999</v>
      </c>
      <c r="C757">
        <v>2.8601999999999999</v>
      </c>
      <c r="D757">
        <v>2.6785999999999999</v>
      </c>
      <c r="E757">
        <v>2.8506</v>
      </c>
      <c r="F757">
        <v>7959989.4400000004</v>
      </c>
      <c r="G757">
        <v>0</v>
      </c>
      <c r="L757" t="s">
        <v>8</v>
      </c>
      <c r="M757" t="s">
        <v>8</v>
      </c>
      <c r="N757" t="s">
        <v>8</v>
      </c>
      <c r="P757">
        <f t="shared" si="999"/>
        <v>0.89427312775330581</v>
      </c>
      <c r="Q757">
        <f t="shared" si="1000"/>
        <v>7118404.6533920858</v>
      </c>
      <c r="R757">
        <f t="shared" si="1001"/>
        <v>175572346.18048149</v>
      </c>
      <c r="S757">
        <f t="shared" si="1002"/>
        <v>1755.7234618048149</v>
      </c>
      <c r="T757">
        <f t="shared" si="1003"/>
        <v>1.7557234618048148</v>
      </c>
    </row>
    <row r="758" spans="1:20" x14ac:dyDescent="0.25">
      <c r="A758" s="5">
        <v>43835</v>
      </c>
      <c r="B758">
        <v>2.6480000000000001</v>
      </c>
      <c r="C758">
        <v>2.7759</v>
      </c>
      <c r="D758">
        <v>2.6461000000000001</v>
      </c>
      <c r="E758">
        <v>2.6865000000000001</v>
      </c>
      <c r="F758">
        <v>5235082.22</v>
      </c>
      <c r="G758">
        <v>0</v>
      </c>
      <c r="L758" t="s">
        <v>8</v>
      </c>
      <c r="M758" t="s">
        <v>8</v>
      </c>
      <c r="N758" t="s">
        <v>7</v>
      </c>
      <c r="P758">
        <f t="shared" si="999"/>
        <v>-0.37750385208012299</v>
      </c>
      <c r="Q758">
        <f t="shared" si="1000"/>
        <v>-1976263.7040061618</v>
      </c>
      <c r="R758">
        <f t="shared" si="1001"/>
        <v>168453941.52708942</v>
      </c>
      <c r="S758">
        <f t="shared" si="1002"/>
        <v>1684.5394152708941</v>
      </c>
      <c r="T758">
        <f t="shared" si="1003"/>
        <v>1.6845394152708941</v>
      </c>
    </row>
    <row r="759" spans="1:20" x14ac:dyDescent="0.25">
      <c r="A759" s="5">
        <v>43834</v>
      </c>
      <c r="B759">
        <v>2.6425000000000001</v>
      </c>
      <c r="C759">
        <v>2.6640000000000001</v>
      </c>
      <c r="D759">
        <v>2.6168</v>
      </c>
      <c r="E759">
        <v>2.6480999999999999</v>
      </c>
      <c r="F759">
        <v>3575786.02</v>
      </c>
      <c r="G759">
        <v>0</v>
      </c>
      <c r="L759" t="s">
        <v>8</v>
      </c>
      <c r="M759" t="s">
        <v>8</v>
      </c>
      <c r="N759" t="s">
        <v>7</v>
      </c>
      <c r="P759">
        <f t="shared" si="999"/>
        <v>0.32627118644066938</v>
      </c>
      <c r="Q759">
        <f t="shared" si="1000"/>
        <v>1166675.9472033591</v>
      </c>
      <c r="R759">
        <f t="shared" si="1001"/>
        <v>170430205.23109558</v>
      </c>
      <c r="S759">
        <f t="shared" si="1002"/>
        <v>1704.3020523109558</v>
      </c>
      <c r="T759">
        <f t="shared" si="1003"/>
        <v>1.7043020523109558</v>
      </c>
    </row>
    <row r="760" spans="1:20" x14ac:dyDescent="0.25">
      <c r="A760" s="5">
        <v>43833</v>
      </c>
      <c r="B760">
        <v>2.4594</v>
      </c>
      <c r="C760">
        <v>2.6648999999999998</v>
      </c>
      <c r="D760">
        <v>2.4302999999999999</v>
      </c>
      <c r="E760">
        <v>2.6396000000000002</v>
      </c>
      <c r="F760">
        <v>8349336.6500000004</v>
      </c>
      <c r="G760">
        <v>0</v>
      </c>
      <c r="L760" t="s">
        <v>8</v>
      </c>
      <c r="M760" t="s">
        <v>8</v>
      </c>
      <c r="N760" t="s">
        <v>7</v>
      </c>
      <c r="P760">
        <f t="shared" si="999"/>
        <v>0.78431372549019895</v>
      </c>
      <c r="Q760">
        <f t="shared" si="1000"/>
        <v>6548499.3333333572</v>
      </c>
      <c r="R760">
        <f t="shared" si="1001"/>
        <v>169263529.28389221</v>
      </c>
      <c r="S760">
        <f t="shared" si="1002"/>
        <v>1692.6352928389222</v>
      </c>
      <c r="T760">
        <f t="shared" si="1003"/>
        <v>1.6926352928389221</v>
      </c>
    </row>
    <row r="761" spans="1:20" x14ac:dyDescent="0.25">
      <c r="A761" s="5">
        <v>43832</v>
      </c>
      <c r="B761">
        <v>2.6038000000000001</v>
      </c>
      <c r="C761">
        <v>2.6097999999999999</v>
      </c>
      <c r="D761">
        <v>2.4192999999999998</v>
      </c>
      <c r="E761">
        <v>2.4592999999999998</v>
      </c>
      <c r="F761">
        <v>4635138.96</v>
      </c>
      <c r="G761">
        <v>0</v>
      </c>
      <c r="L761" t="s">
        <v>7</v>
      </c>
      <c r="M761" t="s">
        <v>8</v>
      </c>
      <c r="N761" t="s">
        <v>7</v>
      </c>
      <c r="P761">
        <f t="shared" si="999"/>
        <v>-0.5800524934383201</v>
      </c>
      <c r="Q761">
        <f t="shared" si="1000"/>
        <v>-2688623.911181102</v>
      </c>
      <c r="R761">
        <f t="shared" si="1001"/>
        <v>162715029.95055887</v>
      </c>
      <c r="S761">
        <f t="shared" si="1002"/>
        <v>1627.1502995055887</v>
      </c>
      <c r="T761">
        <f t="shared" si="1003"/>
        <v>1.6271502995055886</v>
      </c>
    </row>
    <row r="762" spans="1:20" x14ac:dyDescent="0.25">
      <c r="A762" s="5">
        <v>43831</v>
      </c>
      <c r="B762">
        <v>2.5836999999999999</v>
      </c>
      <c r="C762">
        <v>2.6387</v>
      </c>
      <c r="D762">
        <v>2.5762999999999998</v>
      </c>
      <c r="E762">
        <v>2.6038999999999999</v>
      </c>
      <c r="F762">
        <v>1836547.86</v>
      </c>
      <c r="G762">
        <v>0</v>
      </c>
      <c r="L762" t="s">
        <v>8</v>
      </c>
      <c r="M762" t="s">
        <v>8</v>
      </c>
      <c r="N762" t="s">
        <v>7</v>
      </c>
      <c r="P762">
        <f t="shared" si="999"/>
        <v>-0.11538461538461647</v>
      </c>
      <c r="Q762">
        <f t="shared" si="1000"/>
        <v>-211909.36846154046</v>
      </c>
      <c r="R762">
        <f t="shared" si="1001"/>
        <v>165403653.86173996</v>
      </c>
      <c r="S762">
        <f t="shared" si="1002"/>
        <v>1654.0365386173996</v>
      </c>
      <c r="T762">
        <f t="shared" si="1003"/>
        <v>1.6540365386173996</v>
      </c>
    </row>
    <row r="763" spans="1:20" x14ac:dyDescent="0.25">
      <c r="A763" s="5">
        <v>43830</v>
      </c>
      <c r="B763">
        <v>2.6271</v>
      </c>
      <c r="C763">
        <v>2.6526000000000001</v>
      </c>
      <c r="D763">
        <v>2.5653000000000001</v>
      </c>
      <c r="E763">
        <v>2.5832999999999999</v>
      </c>
      <c r="F763">
        <v>2756881.48</v>
      </c>
      <c r="G763">
        <v>0</v>
      </c>
      <c r="L763" t="s">
        <v>8</v>
      </c>
      <c r="M763" t="s">
        <v>8</v>
      </c>
      <c r="N763" t="s">
        <v>7</v>
      </c>
      <c r="P763">
        <f t="shared" si="999"/>
        <v>-0.58762886597938579</v>
      </c>
      <c r="Q763">
        <f t="shared" si="1000"/>
        <v>-1620023.1377319708</v>
      </c>
      <c r="R763">
        <f t="shared" si="1001"/>
        <v>165615563.23020151</v>
      </c>
      <c r="S763">
        <f t="shared" si="1002"/>
        <v>1656.1556323020152</v>
      </c>
      <c r="T763">
        <f t="shared" si="1003"/>
        <v>1.6561556323020152</v>
      </c>
    </row>
    <row r="764" spans="1:20" x14ac:dyDescent="0.25">
      <c r="A764" s="5">
        <v>43829</v>
      </c>
      <c r="B764">
        <v>2.6861000000000002</v>
      </c>
      <c r="C764">
        <v>2.7214</v>
      </c>
      <c r="D764">
        <v>2.6002999999999998</v>
      </c>
      <c r="E764">
        <v>2.6263000000000001</v>
      </c>
      <c r="F764">
        <v>3684736.98</v>
      </c>
      <c r="G764">
        <v>0</v>
      </c>
      <c r="L764" t="s">
        <v>8</v>
      </c>
      <c r="M764" t="s">
        <v>8</v>
      </c>
      <c r="N764" t="s">
        <v>7</v>
      </c>
      <c r="P764">
        <f t="shared" si="999"/>
        <v>-0.57060280759702398</v>
      </c>
      <c r="Q764">
        <f t="shared" si="1000"/>
        <v>-2102521.266044579</v>
      </c>
      <c r="R764">
        <f t="shared" si="1001"/>
        <v>167235586.36793348</v>
      </c>
      <c r="S764">
        <f t="shared" si="1002"/>
        <v>1672.3558636793348</v>
      </c>
      <c r="T764">
        <f t="shared" si="1003"/>
        <v>1.6723558636793348</v>
      </c>
    </row>
    <row r="765" spans="1:20" x14ac:dyDescent="0.25">
      <c r="A765" s="5">
        <v>43828</v>
      </c>
      <c r="B765">
        <v>2.6282999999999999</v>
      </c>
      <c r="C765">
        <v>2.7178</v>
      </c>
      <c r="D765">
        <v>2.6160000000000001</v>
      </c>
      <c r="E765">
        <v>2.6859000000000002</v>
      </c>
      <c r="F765">
        <v>3118601.15</v>
      </c>
      <c r="G765">
        <v>0</v>
      </c>
      <c r="L765" t="s">
        <v>8</v>
      </c>
      <c r="M765" t="s">
        <v>8</v>
      </c>
      <c r="N765" t="s">
        <v>7</v>
      </c>
      <c r="P765">
        <f t="shared" si="999"/>
        <v>0.37328094302554321</v>
      </c>
      <c r="Q765">
        <f t="shared" si="1000"/>
        <v>1164114.3781925435</v>
      </c>
      <c r="R765">
        <f t="shared" si="1001"/>
        <v>169338107.63397807</v>
      </c>
      <c r="S765">
        <f t="shared" si="1002"/>
        <v>1693.3810763397807</v>
      </c>
      <c r="T765">
        <f t="shared" si="1003"/>
        <v>1.6933810763397807</v>
      </c>
    </row>
    <row r="766" spans="1:20" x14ac:dyDescent="0.25">
      <c r="A766" s="5">
        <v>43827</v>
      </c>
      <c r="B766">
        <v>2.5716999999999999</v>
      </c>
      <c r="C766">
        <v>2.6680999999999999</v>
      </c>
      <c r="D766">
        <v>2.5688</v>
      </c>
      <c r="E766">
        <v>2.6282999999999999</v>
      </c>
      <c r="F766">
        <v>4245780</v>
      </c>
      <c r="G766">
        <v>0</v>
      </c>
      <c r="L766" t="s">
        <v>8</v>
      </c>
      <c r="M766" t="s">
        <v>8</v>
      </c>
      <c r="N766" t="s">
        <v>7</v>
      </c>
      <c r="P766">
        <f t="shared" si="999"/>
        <v>0.19838872104732971</v>
      </c>
      <c r="Q766">
        <f t="shared" si="1000"/>
        <v>842314.86404833151</v>
      </c>
      <c r="R766">
        <f t="shared" si="1001"/>
        <v>168173993.25578552</v>
      </c>
      <c r="S766">
        <f t="shared" si="1002"/>
        <v>1681.7399325578554</v>
      </c>
      <c r="T766">
        <f t="shared" si="1003"/>
        <v>1.6817399325578553</v>
      </c>
    </row>
    <row r="767" spans="1:20" x14ac:dyDescent="0.25">
      <c r="A767" s="5">
        <v>43826</v>
      </c>
      <c r="B767">
        <v>2.5165000000000002</v>
      </c>
      <c r="C767">
        <v>2.5960999999999999</v>
      </c>
      <c r="D767">
        <v>2.5062000000000002</v>
      </c>
      <c r="E767">
        <v>2.5712000000000002</v>
      </c>
      <c r="F767">
        <v>3833782.79</v>
      </c>
      <c r="G767">
        <v>0</v>
      </c>
      <c r="L767" t="s">
        <v>8</v>
      </c>
      <c r="M767" t="s">
        <v>8</v>
      </c>
      <c r="N767" t="s">
        <v>7</v>
      </c>
      <c r="P767">
        <f t="shared" ref="P767:P830" si="1004">IF(C767=D767,0,((E767-D767)-(C767-E767))/(C767-D767))</f>
        <v>0.44605116796440941</v>
      </c>
      <c r="Q767">
        <f t="shared" ref="Q767:Q830" si="1005">F767*P767</f>
        <v>1710063.2912013521</v>
      </c>
      <c r="R767">
        <f t="shared" ref="R767:R830" si="1006">R768+Q767</f>
        <v>167331678.39173719</v>
      </c>
      <c r="S767">
        <f t="shared" ref="S767:S830" si="1007">R767/100000</f>
        <v>1673.3167839173718</v>
      </c>
      <c r="T767">
        <f t="shared" ref="T767:T830" si="1008">S767/1000</f>
        <v>1.6733167839173719</v>
      </c>
    </row>
    <row r="768" spans="1:20" x14ac:dyDescent="0.25">
      <c r="A768" s="5">
        <v>43825</v>
      </c>
      <c r="B768">
        <v>2.4803000000000002</v>
      </c>
      <c r="C768">
        <v>2.65</v>
      </c>
      <c r="D768">
        <v>2.4636</v>
      </c>
      <c r="E768">
        <v>2.5169000000000001</v>
      </c>
      <c r="F768">
        <v>5192212.05</v>
      </c>
      <c r="G768">
        <v>0</v>
      </c>
      <c r="L768" t="s">
        <v>8</v>
      </c>
      <c r="M768" t="s">
        <v>8</v>
      </c>
      <c r="N768" t="s">
        <v>7</v>
      </c>
      <c r="P768">
        <f t="shared" si="1004"/>
        <v>-0.42811158798283094</v>
      </c>
      <c r="Q768">
        <f t="shared" si="1005"/>
        <v>-2222846.1458690898</v>
      </c>
      <c r="R768">
        <f t="shared" si="1006"/>
        <v>165621615.10053584</v>
      </c>
      <c r="S768">
        <f t="shared" si="1007"/>
        <v>1656.2161510053584</v>
      </c>
      <c r="T768">
        <f t="shared" si="1008"/>
        <v>1.6562161510053584</v>
      </c>
    </row>
    <row r="769" spans="1:20" x14ac:dyDescent="0.25">
      <c r="A769" s="5">
        <v>43824</v>
      </c>
      <c r="B769">
        <v>2.5419999999999998</v>
      </c>
      <c r="C769">
        <v>2.5480999999999998</v>
      </c>
      <c r="D769">
        <v>2.4422000000000001</v>
      </c>
      <c r="E769">
        <v>2.4801000000000002</v>
      </c>
      <c r="F769">
        <v>3252232.09</v>
      </c>
      <c r="G769">
        <v>0</v>
      </c>
      <c r="L769" t="s">
        <v>8</v>
      </c>
      <c r="M769" t="s">
        <v>8</v>
      </c>
      <c r="N769" t="s">
        <v>7</v>
      </c>
      <c r="P769">
        <f t="shared" si="1004"/>
        <v>-0.28423040604343408</v>
      </c>
      <c r="Q769">
        <f t="shared" si="1005"/>
        <v>-924383.24748818623</v>
      </c>
      <c r="R769">
        <f t="shared" si="1006"/>
        <v>167844461.24640492</v>
      </c>
      <c r="S769">
        <f t="shared" si="1007"/>
        <v>1678.4446124640492</v>
      </c>
      <c r="T769">
        <f t="shared" si="1008"/>
        <v>1.6784446124640493</v>
      </c>
    </row>
    <row r="770" spans="1:20" x14ac:dyDescent="0.25">
      <c r="A770" s="5">
        <v>43823</v>
      </c>
      <c r="B770">
        <v>2.5137</v>
      </c>
      <c r="C770">
        <v>2.5724</v>
      </c>
      <c r="D770">
        <v>2.4773000000000001</v>
      </c>
      <c r="E770">
        <v>2.5419999999999998</v>
      </c>
      <c r="F770">
        <v>4725177.63</v>
      </c>
      <c r="G770">
        <v>0</v>
      </c>
      <c r="L770" t="s">
        <v>8</v>
      </c>
      <c r="M770" t="s">
        <v>8</v>
      </c>
      <c r="N770" t="s">
        <v>7</v>
      </c>
      <c r="P770">
        <f t="shared" si="1004"/>
        <v>0.36067297581492708</v>
      </c>
      <c r="Q770">
        <f t="shared" si="1005"/>
        <v>1704243.8770662243</v>
      </c>
      <c r="R770">
        <f t="shared" si="1006"/>
        <v>168768844.49389312</v>
      </c>
      <c r="S770">
        <f t="shared" si="1007"/>
        <v>1687.6884449389311</v>
      </c>
      <c r="T770">
        <f t="shared" si="1008"/>
        <v>1.6876884449389311</v>
      </c>
    </row>
    <row r="771" spans="1:20" x14ac:dyDescent="0.25">
      <c r="A771" s="5">
        <v>43822</v>
      </c>
      <c r="B771">
        <v>2.5352999999999999</v>
      </c>
      <c r="C771">
        <v>2.6040999999999999</v>
      </c>
      <c r="D771">
        <v>2.4956</v>
      </c>
      <c r="E771">
        <v>2.5135999999999998</v>
      </c>
      <c r="F771">
        <v>5384995.4400000004</v>
      </c>
      <c r="G771">
        <v>0</v>
      </c>
      <c r="L771" t="s">
        <v>8</v>
      </c>
      <c r="M771" t="s">
        <v>8</v>
      </c>
      <c r="N771" t="s">
        <v>7</v>
      </c>
      <c r="P771">
        <f t="shared" si="1004"/>
        <v>-0.66820276497696174</v>
      </c>
      <c r="Q771">
        <f t="shared" si="1005"/>
        <v>-3598268.842396331</v>
      </c>
      <c r="R771">
        <f t="shared" si="1006"/>
        <v>167064600.61682689</v>
      </c>
      <c r="S771">
        <f t="shared" si="1007"/>
        <v>1670.646006168269</v>
      </c>
      <c r="T771">
        <f t="shared" si="1008"/>
        <v>1.6706460061682689</v>
      </c>
    </row>
    <row r="772" spans="1:20" x14ac:dyDescent="0.25">
      <c r="A772" s="5">
        <v>43821</v>
      </c>
      <c r="B772">
        <v>2.4415</v>
      </c>
      <c r="C772">
        <v>2.5499999999999998</v>
      </c>
      <c r="D772">
        <v>2.4363999999999999</v>
      </c>
      <c r="E772">
        <v>2.5344000000000002</v>
      </c>
      <c r="F772">
        <v>3414918.35</v>
      </c>
      <c r="G772">
        <v>0</v>
      </c>
      <c r="L772" t="s">
        <v>8</v>
      </c>
      <c r="M772" t="s">
        <v>8</v>
      </c>
      <c r="N772" t="s">
        <v>7</v>
      </c>
      <c r="P772">
        <f t="shared" si="1004"/>
        <v>0.72535211267606292</v>
      </c>
      <c r="Q772">
        <f t="shared" si="1005"/>
        <v>2477018.2397887548</v>
      </c>
      <c r="R772">
        <f t="shared" si="1006"/>
        <v>170662869.45922321</v>
      </c>
      <c r="S772">
        <f t="shared" si="1007"/>
        <v>1706.628694592232</v>
      </c>
      <c r="T772">
        <f t="shared" si="1008"/>
        <v>1.706628694592232</v>
      </c>
    </row>
    <row r="773" spans="1:20" x14ac:dyDescent="0.25">
      <c r="A773" s="5">
        <v>43820</v>
      </c>
      <c r="B773">
        <v>2.4883999999999999</v>
      </c>
      <c r="C773">
        <v>2.4883999999999999</v>
      </c>
      <c r="D773">
        <v>2.4258000000000002</v>
      </c>
      <c r="E773">
        <v>2.4420999999999999</v>
      </c>
      <c r="F773">
        <v>2201093.63</v>
      </c>
      <c r="G773">
        <v>0</v>
      </c>
      <c r="L773" t="s">
        <v>8</v>
      </c>
      <c r="M773" t="s">
        <v>8</v>
      </c>
      <c r="N773" t="s">
        <v>7</v>
      </c>
      <c r="P773">
        <f t="shared" si="1004"/>
        <v>-0.47923322683706648</v>
      </c>
      <c r="Q773">
        <f t="shared" si="1005"/>
        <v>-1054837.2028754121</v>
      </c>
      <c r="R773">
        <f t="shared" si="1006"/>
        <v>168185851.21943447</v>
      </c>
      <c r="S773">
        <f t="shared" si="1007"/>
        <v>1681.8585121943447</v>
      </c>
      <c r="T773">
        <f t="shared" si="1008"/>
        <v>1.6818585121943448</v>
      </c>
    </row>
    <row r="774" spans="1:20" x14ac:dyDescent="0.25">
      <c r="A774" s="5">
        <v>43819</v>
      </c>
      <c r="B774">
        <v>2.4500000000000002</v>
      </c>
      <c r="C774">
        <v>2.5470000000000002</v>
      </c>
      <c r="D774">
        <v>2.4197000000000002</v>
      </c>
      <c r="E774">
        <v>2.4849000000000001</v>
      </c>
      <c r="F774">
        <v>4827023.1900000004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2.4351924587587441E-2</v>
      </c>
      <c r="Q774">
        <f t="shared" si="1005"/>
        <v>117547.30470541578</v>
      </c>
      <c r="R774">
        <f t="shared" si="1006"/>
        <v>169240688.42230988</v>
      </c>
      <c r="S774">
        <f t="shared" si="1007"/>
        <v>1692.4068842230988</v>
      </c>
      <c r="T774">
        <f t="shared" si="1008"/>
        <v>1.6924068842230988</v>
      </c>
    </row>
    <row r="775" spans="1:20" x14ac:dyDescent="0.25">
      <c r="A775" s="5">
        <v>43818</v>
      </c>
      <c r="B775">
        <v>2.4579</v>
      </c>
      <c r="C775">
        <v>2.5005999999999999</v>
      </c>
      <c r="D775">
        <v>2.3988999999999998</v>
      </c>
      <c r="E775">
        <v>2.4506999999999999</v>
      </c>
      <c r="F775">
        <v>5808065.3300000001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1.8682399213372766E-2</v>
      </c>
      <c r="Q775">
        <f t="shared" si="1005"/>
        <v>108508.59515240963</v>
      </c>
      <c r="R775">
        <f t="shared" si="1006"/>
        <v>169123141.11760446</v>
      </c>
      <c r="S775">
        <f t="shared" si="1007"/>
        <v>1691.2314111760447</v>
      </c>
      <c r="T775">
        <f t="shared" si="1008"/>
        <v>1.6912314111760447</v>
      </c>
    </row>
    <row r="776" spans="1:20" x14ac:dyDescent="0.25">
      <c r="A776" s="5">
        <v>43817</v>
      </c>
      <c r="B776">
        <v>2.1936</v>
      </c>
      <c r="C776">
        <v>2.5289000000000001</v>
      </c>
      <c r="D776">
        <v>2.1594000000000002</v>
      </c>
      <c r="E776">
        <v>2.4597000000000002</v>
      </c>
      <c r="F776">
        <v>13542945.82</v>
      </c>
      <c r="G776">
        <v>0</v>
      </c>
      <c r="L776" t="s">
        <v>8</v>
      </c>
      <c r="M776" t="s">
        <v>8</v>
      </c>
      <c r="N776" t="s">
        <v>7</v>
      </c>
      <c r="P776">
        <f t="shared" si="1004"/>
        <v>0.62543978349120466</v>
      </c>
      <c r="Q776">
        <f t="shared" si="1005"/>
        <v>8470297.1014939155</v>
      </c>
      <c r="R776">
        <f t="shared" si="1006"/>
        <v>169014632.52245206</v>
      </c>
      <c r="S776">
        <f t="shared" si="1007"/>
        <v>1690.1463252245205</v>
      </c>
      <c r="T776">
        <f t="shared" si="1008"/>
        <v>1.6901463252245206</v>
      </c>
    </row>
    <row r="777" spans="1:20" x14ac:dyDescent="0.25">
      <c r="A777" s="5">
        <v>43816</v>
      </c>
      <c r="B777">
        <v>2.3687</v>
      </c>
      <c r="C777">
        <v>2.3696999999999999</v>
      </c>
      <c r="D777">
        <v>2.1427999999999998</v>
      </c>
      <c r="E777">
        <v>2.1947999999999999</v>
      </c>
      <c r="F777">
        <v>11737833.23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-0.54164830321727608</v>
      </c>
      <c r="Q777">
        <f t="shared" si="1005"/>
        <v>-6357777.4524768591</v>
      </c>
      <c r="R777">
        <f t="shared" si="1006"/>
        <v>160544335.42095813</v>
      </c>
      <c r="S777">
        <f t="shared" si="1007"/>
        <v>1605.4433542095812</v>
      </c>
      <c r="T777">
        <f t="shared" si="1008"/>
        <v>1.6054433542095812</v>
      </c>
    </row>
    <row r="778" spans="1:20" x14ac:dyDescent="0.25">
      <c r="A778" s="5">
        <v>43815</v>
      </c>
      <c r="B778">
        <v>2.5623999999999998</v>
      </c>
      <c r="C778">
        <v>2.5659000000000001</v>
      </c>
      <c r="D778">
        <v>2.2905000000000002</v>
      </c>
      <c r="E778">
        <v>2.3687999999999998</v>
      </c>
      <c r="F778">
        <v>9489180.1899999995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-0.43137254901961053</v>
      </c>
      <c r="Q778">
        <f t="shared" si="1005"/>
        <v>-4093371.8466666918</v>
      </c>
      <c r="R778">
        <f t="shared" si="1006"/>
        <v>166902112.87343499</v>
      </c>
      <c r="S778">
        <f t="shared" si="1007"/>
        <v>1669.02112873435</v>
      </c>
      <c r="T778">
        <f t="shared" si="1008"/>
        <v>1.6690211287343499</v>
      </c>
    </row>
    <row r="779" spans="1:20" x14ac:dyDescent="0.25">
      <c r="A779" s="5">
        <v>43814</v>
      </c>
      <c r="B779">
        <v>2.5657000000000001</v>
      </c>
      <c r="C779">
        <v>2.5969000000000002</v>
      </c>
      <c r="D779">
        <v>2.5366</v>
      </c>
      <c r="E779">
        <v>2.5630999999999999</v>
      </c>
      <c r="F779">
        <v>2271841.77</v>
      </c>
      <c r="G779">
        <v>0</v>
      </c>
      <c r="L779" t="s">
        <v>7</v>
      </c>
      <c r="M779" t="s">
        <v>8</v>
      </c>
      <c r="N779" t="s">
        <v>7</v>
      </c>
      <c r="P779">
        <f t="shared" si="1004"/>
        <v>-0.12106135986733461</v>
      </c>
      <c r="Q779">
        <f t="shared" si="1005"/>
        <v>-275032.25407961244</v>
      </c>
      <c r="R779">
        <f t="shared" si="1006"/>
        <v>170995484.72010168</v>
      </c>
      <c r="S779">
        <f t="shared" si="1007"/>
        <v>1709.9548472010169</v>
      </c>
      <c r="T779">
        <f t="shared" si="1008"/>
        <v>1.7099548472010169</v>
      </c>
    </row>
    <row r="780" spans="1:20" x14ac:dyDescent="0.25">
      <c r="A780" s="5">
        <v>43813</v>
      </c>
      <c r="B780">
        <v>2.6254</v>
      </c>
      <c r="C780">
        <v>2.6303999999999998</v>
      </c>
      <c r="D780">
        <v>2.5392999999999999</v>
      </c>
      <c r="E780">
        <v>2.5644999999999998</v>
      </c>
      <c r="F780">
        <v>3422522.06</v>
      </c>
      <c r="G780">
        <v>0</v>
      </c>
      <c r="L780" t="s">
        <v>7</v>
      </c>
      <c r="M780" t="s">
        <v>8</v>
      </c>
      <c r="N780" t="s">
        <v>7</v>
      </c>
      <c r="P780">
        <f t="shared" si="1004"/>
        <v>-0.44676180021954115</v>
      </c>
      <c r="Q780">
        <f t="shared" si="1005"/>
        <v>-1529052.1168166925</v>
      </c>
      <c r="R780">
        <f t="shared" si="1006"/>
        <v>171270516.97418129</v>
      </c>
      <c r="S780">
        <f t="shared" si="1007"/>
        <v>1712.7051697418131</v>
      </c>
      <c r="T780">
        <f t="shared" si="1008"/>
        <v>1.712705169741813</v>
      </c>
    </row>
    <row r="781" spans="1:20" x14ac:dyDescent="0.25">
      <c r="A781" s="5">
        <v>43812</v>
      </c>
      <c r="B781">
        <v>2.5829</v>
      </c>
      <c r="C781">
        <v>2.6436999999999999</v>
      </c>
      <c r="D781">
        <v>2.5682</v>
      </c>
      <c r="E781">
        <v>2.6254</v>
      </c>
      <c r="F781">
        <v>3390479.45</v>
      </c>
      <c r="G781">
        <v>0</v>
      </c>
      <c r="L781" t="s">
        <v>7</v>
      </c>
      <c r="M781" t="s">
        <v>8</v>
      </c>
      <c r="N781" t="s">
        <v>7</v>
      </c>
      <c r="P781">
        <f t="shared" si="1004"/>
        <v>0.51523178807947001</v>
      </c>
      <c r="Q781">
        <f t="shared" si="1005"/>
        <v>1746882.7894701981</v>
      </c>
      <c r="R781">
        <f t="shared" si="1006"/>
        <v>172799569.09099799</v>
      </c>
      <c r="S781">
        <f t="shared" si="1007"/>
        <v>1727.9956909099799</v>
      </c>
      <c r="T781">
        <f t="shared" si="1008"/>
        <v>1.7279956909099798</v>
      </c>
    </row>
    <row r="782" spans="1:20" x14ac:dyDescent="0.25">
      <c r="A782" s="5">
        <v>43811</v>
      </c>
      <c r="B782">
        <v>2.5771999999999999</v>
      </c>
      <c r="C782">
        <v>2.6162999999999998</v>
      </c>
      <c r="D782">
        <v>2.5099</v>
      </c>
      <c r="E782">
        <v>2.5825</v>
      </c>
      <c r="F782">
        <v>4791852.58</v>
      </c>
      <c r="G782">
        <v>0</v>
      </c>
      <c r="L782" t="s">
        <v>7</v>
      </c>
      <c r="M782" t="s">
        <v>8</v>
      </c>
      <c r="N782" t="s">
        <v>7</v>
      </c>
      <c r="P782">
        <f t="shared" si="1004"/>
        <v>0.36466165413534052</v>
      </c>
      <c r="Q782">
        <f t="shared" si="1005"/>
        <v>1747404.8881954991</v>
      </c>
      <c r="R782">
        <f t="shared" si="1006"/>
        <v>171052686.3015278</v>
      </c>
      <c r="S782">
        <f t="shared" si="1007"/>
        <v>1710.526863015278</v>
      </c>
      <c r="T782">
        <f t="shared" si="1008"/>
        <v>1.7105268630152779</v>
      </c>
    </row>
    <row r="783" spans="1:20" x14ac:dyDescent="0.25">
      <c r="A783" s="5">
        <v>43810</v>
      </c>
      <c r="B783">
        <v>2.6012</v>
      </c>
      <c r="C783">
        <v>2.6213000000000002</v>
      </c>
      <c r="D783">
        <v>2.5449999999999999</v>
      </c>
      <c r="E783">
        <v>2.5767000000000002</v>
      </c>
      <c r="F783">
        <v>3213979.64</v>
      </c>
      <c r="G783">
        <v>0</v>
      </c>
      <c r="L783" t="s">
        <v>7</v>
      </c>
      <c r="M783" t="s">
        <v>8</v>
      </c>
      <c r="N783" t="s">
        <v>7</v>
      </c>
      <c r="P783">
        <f t="shared" si="1004"/>
        <v>-0.16906946264743966</v>
      </c>
      <c r="Q783">
        <f t="shared" si="1005"/>
        <v>-543385.81069461163</v>
      </c>
      <c r="R783">
        <f t="shared" si="1006"/>
        <v>169305281.41333231</v>
      </c>
      <c r="S783">
        <f t="shared" si="1007"/>
        <v>1693.0528141333232</v>
      </c>
      <c r="T783">
        <f t="shared" si="1008"/>
        <v>1.6930528141333232</v>
      </c>
    </row>
    <row r="784" spans="1:20" x14ac:dyDescent="0.25">
      <c r="A784" s="5">
        <v>43809</v>
      </c>
      <c r="B784">
        <v>2.6558999999999999</v>
      </c>
      <c r="C784">
        <v>2.6697000000000002</v>
      </c>
      <c r="D784">
        <v>2.5724999999999998</v>
      </c>
      <c r="E784">
        <v>2.6009000000000002</v>
      </c>
      <c r="F784">
        <v>3151205.56</v>
      </c>
      <c r="G784">
        <v>0</v>
      </c>
      <c r="L784" t="s">
        <v>7</v>
      </c>
      <c r="M784" t="s">
        <v>8</v>
      </c>
      <c r="N784" t="s">
        <v>7</v>
      </c>
      <c r="P784">
        <f t="shared" si="1004"/>
        <v>-0.41563786008229819</v>
      </c>
      <c r="Q784">
        <f t="shared" si="1005"/>
        <v>-1309760.3356378402</v>
      </c>
      <c r="R784">
        <f t="shared" si="1006"/>
        <v>169848667.22402692</v>
      </c>
      <c r="S784">
        <f t="shared" si="1007"/>
        <v>1698.4866722402692</v>
      </c>
      <c r="T784">
        <f t="shared" si="1008"/>
        <v>1.6984866722402692</v>
      </c>
    </row>
    <row r="785" spans="1:20" x14ac:dyDescent="0.25">
      <c r="A785" s="5">
        <v>43808</v>
      </c>
      <c r="B785">
        <v>2.7412999999999998</v>
      </c>
      <c r="C785">
        <v>2.7515999999999998</v>
      </c>
      <c r="D785">
        <v>2.6110000000000002</v>
      </c>
      <c r="E785">
        <v>2.657</v>
      </c>
      <c r="F785">
        <v>4861073.37</v>
      </c>
      <c r="G785">
        <v>0</v>
      </c>
      <c r="L785" t="s">
        <v>8</v>
      </c>
      <c r="M785" t="s">
        <v>8</v>
      </c>
      <c r="N785" t="s">
        <v>7</v>
      </c>
      <c r="P785">
        <f t="shared" si="1004"/>
        <v>-0.34566145092460959</v>
      </c>
      <c r="Q785">
        <f t="shared" si="1005"/>
        <v>-1680285.6741251815</v>
      </c>
      <c r="R785">
        <f t="shared" si="1006"/>
        <v>171158427.55966476</v>
      </c>
      <c r="S785">
        <f t="shared" si="1007"/>
        <v>1711.5842755966476</v>
      </c>
      <c r="T785">
        <f t="shared" si="1008"/>
        <v>1.7115842755966475</v>
      </c>
    </row>
    <row r="786" spans="1:20" x14ac:dyDescent="0.25">
      <c r="A786" s="5">
        <v>43807</v>
      </c>
      <c r="B786">
        <v>2.7201</v>
      </c>
      <c r="C786">
        <v>2.7848000000000002</v>
      </c>
      <c r="D786">
        <v>2.6903999999999999</v>
      </c>
      <c r="E786">
        <v>2.7401</v>
      </c>
      <c r="F786">
        <v>2340671.54</v>
      </c>
      <c r="G786">
        <v>0</v>
      </c>
      <c r="L786" t="s">
        <v>8</v>
      </c>
      <c r="M786" t="s">
        <v>8</v>
      </c>
      <c r="N786" t="s">
        <v>7</v>
      </c>
      <c r="P786">
        <f t="shared" si="1004"/>
        <v>5.2966101694913975E-2</v>
      </c>
      <c r="Q786">
        <f t="shared" si="1005"/>
        <v>123976.24682203091</v>
      </c>
      <c r="R786">
        <f t="shared" si="1006"/>
        <v>172838713.23378995</v>
      </c>
      <c r="S786">
        <f t="shared" si="1007"/>
        <v>1728.3871323378994</v>
      </c>
      <c r="T786">
        <f t="shared" si="1008"/>
        <v>1.7283871323378994</v>
      </c>
    </row>
    <row r="787" spans="1:20" x14ac:dyDescent="0.25">
      <c r="A787" s="5">
        <v>43806</v>
      </c>
      <c r="B787">
        <v>2.7241</v>
      </c>
      <c r="C787">
        <v>2.7555000000000001</v>
      </c>
      <c r="D787">
        <v>2.7058</v>
      </c>
      <c r="E787">
        <v>2.7208999999999999</v>
      </c>
      <c r="F787">
        <v>2008684.24</v>
      </c>
      <c r="G787">
        <v>0</v>
      </c>
      <c r="L787" t="s">
        <v>8</v>
      </c>
      <c r="M787" t="s">
        <v>8</v>
      </c>
      <c r="N787" t="s">
        <v>7</v>
      </c>
      <c r="P787">
        <f t="shared" si="1004"/>
        <v>-0.39235412474849629</v>
      </c>
      <c r="Q787">
        <f t="shared" si="1005"/>
        <v>-788115.54688129842</v>
      </c>
      <c r="R787">
        <f t="shared" si="1006"/>
        <v>172714736.98696792</v>
      </c>
      <c r="S787">
        <f t="shared" si="1007"/>
        <v>1727.1473698696793</v>
      </c>
      <c r="T787">
        <f t="shared" si="1008"/>
        <v>1.7271473698696793</v>
      </c>
    </row>
    <row r="788" spans="1:20" x14ac:dyDescent="0.25">
      <c r="A788" s="5">
        <v>43805</v>
      </c>
      <c r="B788">
        <v>2.6823000000000001</v>
      </c>
      <c r="C788">
        <v>2.7437</v>
      </c>
      <c r="D788">
        <v>2.6573000000000002</v>
      </c>
      <c r="E788">
        <v>2.7248999999999999</v>
      </c>
      <c r="F788">
        <v>4966177</v>
      </c>
      <c r="G788">
        <v>0</v>
      </c>
      <c r="L788" t="s">
        <v>7</v>
      </c>
      <c r="M788" t="s">
        <v>8</v>
      </c>
      <c r="N788" t="s">
        <v>7</v>
      </c>
      <c r="P788">
        <f t="shared" si="1004"/>
        <v>0.56481481481481044</v>
      </c>
      <c r="Q788">
        <f t="shared" si="1005"/>
        <v>2804970.3425925709</v>
      </c>
      <c r="R788">
        <f t="shared" si="1006"/>
        <v>173502852.53384921</v>
      </c>
      <c r="S788">
        <f t="shared" si="1007"/>
        <v>1735.028525338492</v>
      </c>
      <c r="T788">
        <f t="shared" si="1008"/>
        <v>1.7350285253384921</v>
      </c>
    </row>
    <row r="789" spans="1:20" x14ac:dyDescent="0.25">
      <c r="A789" s="5">
        <v>43804</v>
      </c>
      <c r="B789">
        <v>2.6263000000000001</v>
      </c>
      <c r="C789">
        <v>2.7046000000000001</v>
      </c>
      <c r="D789">
        <v>2.6168999999999998</v>
      </c>
      <c r="E789">
        <v>2.6829000000000001</v>
      </c>
      <c r="F789">
        <v>5983778.3899999997</v>
      </c>
      <c r="G789">
        <v>0</v>
      </c>
      <c r="L789" t="s">
        <v>7</v>
      </c>
      <c r="M789" t="s">
        <v>8</v>
      </c>
      <c r="N789" t="s">
        <v>7</v>
      </c>
      <c r="P789">
        <f t="shared" si="1004"/>
        <v>0.50513112884834732</v>
      </c>
      <c r="Q789">
        <f t="shared" si="1005"/>
        <v>3022592.7329190462</v>
      </c>
      <c r="R789">
        <f t="shared" si="1006"/>
        <v>170697882.19125664</v>
      </c>
      <c r="S789">
        <f t="shared" si="1007"/>
        <v>1706.9788219125664</v>
      </c>
      <c r="T789">
        <f t="shared" si="1008"/>
        <v>1.7069788219125663</v>
      </c>
    </row>
    <row r="790" spans="1:20" x14ac:dyDescent="0.25">
      <c r="A790" s="5">
        <v>43803</v>
      </c>
      <c r="B790">
        <v>2.6943999999999999</v>
      </c>
      <c r="C790">
        <v>2.7879999999999998</v>
      </c>
      <c r="D790">
        <v>2.5586000000000002</v>
      </c>
      <c r="E790">
        <v>2.6267999999999998</v>
      </c>
      <c r="F790">
        <v>9969311.25</v>
      </c>
      <c r="G790">
        <v>0</v>
      </c>
      <c r="L790" t="s">
        <v>7</v>
      </c>
      <c r="M790" t="s">
        <v>8</v>
      </c>
      <c r="N790" t="s">
        <v>7</v>
      </c>
      <c r="P790">
        <f t="shared" si="1004"/>
        <v>-0.40540540540540793</v>
      </c>
      <c r="Q790">
        <f t="shared" si="1005"/>
        <v>-4041612.668918944</v>
      </c>
      <c r="R790">
        <f t="shared" si="1006"/>
        <v>167675289.4583376</v>
      </c>
      <c r="S790">
        <f t="shared" si="1007"/>
        <v>1676.752894583376</v>
      </c>
      <c r="T790">
        <f t="shared" si="1008"/>
        <v>1.6767528945833761</v>
      </c>
    </row>
    <row r="791" spans="1:20" x14ac:dyDescent="0.25">
      <c r="A791" s="5">
        <v>43802</v>
      </c>
      <c r="B791">
        <v>2.6734</v>
      </c>
      <c r="C791">
        <v>2.74</v>
      </c>
      <c r="D791">
        <v>2.6469999999999998</v>
      </c>
      <c r="E791">
        <v>2.6943999999999999</v>
      </c>
      <c r="F791">
        <v>3808248.25</v>
      </c>
      <c r="G791">
        <v>0</v>
      </c>
      <c r="L791" t="s">
        <v>8</v>
      </c>
      <c r="M791" t="s">
        <v>8</v>
      </c>
      <c r="N791" t="s">
        <v>7</v>
      </c>
      <c r="P791">
        <f t="shared" si="1004"/>
        <v>1.93548387096752E-2</v>
      </c>
      <c r="Q791">
        <f t="shared" si="1005"/>
        <v>73708.03064515283</v>
      </c>
      <c r="R791">
        <f t="shared" si="1006"/>
        <v>171716902.12725654</v>
      </c>
      <c r="S791">
        <f t="shared" si="1007"/>
        <v>1717.1690212725655</v>
      </c>
      <c r="T791">
        <f t="shared" si="1008"/>
        <v>1.7171690212725654</v>
      </c>
    </row>
    <row r="792" spans="1:20" x14ac:dyDescent="0.25">
      <c r="A792" s="5">
        <v>43801</v>
      </c>
      <c r="B792">
        <v>2.7719999999999998</v>
      </c>
      <c r="C792">
        <v>2.7926000000000002</v>
      </c>
      <c r="D792">
        <v>2.64</v>
      </c>
      <c r="E792">
        <v>2.6736</v>
      </c>
      <c r="F792">
        <v>6764047.2199999997</v>
      </c>
      <c r="G792">
        <v>0</v>
      </c>
      <c r="L792" t="s">
        <v>8</v>
      </c>
      <c r="M792" t="s">
        <v>8</v>
      </c>
      <c r="N792" t="s">
        <v>7</v>
      </c>
      <c r="P792">
        <f t="shared" si="1004"/>
        <v>-0.55963302752293786</v>
      </c>
      <c r="Q792">
        <f t="shared" si="1005"/>
        <v>-3785384.2240367113</v>
      </c>
      <c r="R792">
        <f t="shared" si="1006"/>
        <v>171643194.09661138</v>
      </c>
      <c r="S792">
        <f t="shared" si="1007"/>
        <v>1716.4319409661139</v>
      </c>
      <c r="T792">
        <f t="shared" si="1008"/>
        <v>1.716431940966114</v>
      </c>
    </row>
    <row r="793" spans="1:20" x14ac:dyDescent="0.25">
      <c r="A793" s="5">
        <v>43800</v>
      </c>
      <c r="B793">
        <v>2.7471999999999999</v>
      </c>
      <c r="C793">
        <v>2.8559000000000001</v>
      </c>
      <c r="D793">
        <v>2.6572</v>
      </c>
      <c r="E793">
        <v>2.7736999999999998</v>
      </c>
      <c r="F793">
        <v>7903879.5099999998</v>
      </c>
      <c r="G793">
        <v>0</v>
      </c>
      <c r="L793" t="s">
        <v>8</v>
      </c>
      <c r="M793" t="s">
        <v>8</v>
      </c>
      <c r="N793" t="s">
        <v>7</v>
      </c>
      <c r="P793">
        <f t="shared" si="1004"/>
        <v>0.1726220432813263</v>
      </c>
      <c r="Q793">
        <f t="shared" si="1005"/>
        <v>1364383.8308656081</v>
      </c>
      <c r="R793">
        <f t="shared" si="1006"/>
        <v>175428578.3206481</v>
      </c>
      <c r="S793">
        <f t="shared" si="1007"/>
        <v>1754.285783206481</v>
      </c>
      <c r="T793">
        <f t="shared" si="1008"/>
        <v>1.7542857832064811</v>
      </c>
    </row>
    <row r="794" spans="1:20" x14ac:dyDescent="0.25">
      <c r="A794" s="5">
        <v>43799</v>
      </c>
      <c r="B794">
        <v>2.7921</v>
      </c>
      <c r="C794">
        <v>2.8182</v>
      </c>
      <c r="D794">
        <v>2.7120000000000002</v>
      </c>
      <c r="E794">
        <v>2.7479</v>
      </c>
      <c r="F794">
        <v>5427846.9800000004</v>
      </c>
      <c r="G794">
        <v>0</v>
      </c>
      <c r="L794" t="s">
        <v>8</v>
      </c>
      <c r="M794" t="s">
        <v>8</v>
      </c>
      <c r="N794" t="s">
        <v>7</v>
      </c>
      <c r="P794">
        <f t="shared" si="1004"/>
        <v>-0.32391713747646195</v>
      </c>
      <c r="Q794">
        <f t="shared" si="1005"/>
        <v>-1758172.6564218591</v>
      </c>
      <c r="R794">
        <f t="shared" si="1006"/>
        <v>174064194.48978248</v>
      </c>
      <c r="S794">
        <f t="shared" si="1007"/>
        <v>1740.6419448978247</v>
      </c>
      <c r="T794">
        <f t="shared" si="1008"/>
        <v>1.7406419448978248</v>
      </c>
    </row>
    <row r="795" spans="1:20" x14ac:dyDescent="0.25">
      <c r="A795" s="5">
        <v>43798</v>
      </c>
      <c r="B795">
        <v>2.6234999999999999</v>
      </c>
      <c r="C795">
        <v>2.8277999999999999</v>
      </c>
      <c r="D795">
        <v>2.6190000000000002</v>
      </c>
      <c r="E795">
        <v>2.7921</v>
      </c>
      <c r="F795">
        <v>7619661.1500000004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0.65804597701149514</v>
      </c>
      <c r="Q795">
        <f t="shared" si="1005"/>
        <v>5014087.3659482831</v>
      </c>
      <c r="R795">
        <f t="shared" si="1006"/>
        <v>175822367.14620435</v>
      </c>
      <c r="S795">
        <f t="shared" si="1007"/>
        <v>1758.2236714620435</v>
      </c>
      <c r="T795">
        <f t="shared" si="1008"/>
        <v>1.7582236714620436</v>
      </c>
    </row>
    <row r="796" spans="1:20" x14ac:dyDescent="0.25">
      <c r="A796" s="5">
        <v>43797</v>
      </c>
      <c r="B796">
        <v>2.6785999999999999</v>
      </c>
      <c r="C796">
        <v>2.6964999999999999</v>
      </c>
      <c r="D796">
        <v>2.5941999999999998</v>
      </c>
      <c r="E796">
        <v>2.6236999999999999</v>
      </c>
      <c r="F796">
        <v>5777457.5899999999</v>
      </c>
      <c r="G796">
        <v>0</v>
      </c>
      <c r="L796" t="s">
        <v>8</v>
      </c>
      <c r="M796" t="s">
        <v>7</v>
      </c>
      <c r="N796" t="s">
        <v>7</v>
      </c>
      <c r="P796">
        <f t="shared" si="1004"/>
        <v>-0.42326490713587361</v>
      </c>
      <c r="Q796">
        <f t="shared" si="1005"/>
        <v>-2445395.050312798</v>
      </c>
      <c r="R796">
        <f t="shared" si="1006"/>
        <v>170808279.78025606</v>
      </c>
      <c r="S796">
        <f t="shared" si="1007"/>
        <v>1708.0827978025607</v>
      </c>
      <c r="T796">
        <f t="shared" si="1008"/>
        <v>1.7080827978025606</v>
      </c>
    </row>
    <row r="797" spans="1:20" x14ac:dyDescent="0.25">
      <c r="A797" s="5">
        <v>43796</v>
      </c>
      <c r="B797">
        <v>2.61</v>
      </c>
      <c r="C797">
        <v>2.7442000000000002</v>
      </c>
      <c r="D797">
        <v>2.4864999999999999</v>
      </c>
      <c r="E797">
        <v>2.6793</v>
      </c>
      <c r="F797">
        <v>11937329.17</v>
      </c>
      <c r="G797">
        <v>0</v>
      </c>
      <c r="L797" t="s">
        <v>8</v>
      </c>
      <c r="M797" t="s">
        <v>7</v>
      </c>
      <c r="N797" t="s">
        <v>7</v>
      </c>
      <c r="P797">
        <f t="shared" si="1004"/>
        <v>0.49631354287931617</v>
      </c>
      <c r="Q797">
        <f t="shared" si="1005"/>
        <v>5924658.1328793066</v>
      </c>
      <c r="R797">
        <f t="shared" si="1006"/>
        <v>173253674.83056885</v>
      </c>
      <c r="S797">
        <f t="shared" si="1007"/>
        <v>1732.5367483056884</v>
      </c>
      <c r="T797">
        <f t="shared" si="1008"/>
        <v>1.7325367483056884</v>
      </c>
    </row>
    <row r="798" spans="1:20" x14ac:dyDescent="0.25">
      <c r="A798" s="5">
        <v>43795</v>
      </c>
      <c r="B798">
        <v>2.5182000000000002</v>
      </c>
      <c r="C798">
        <v>2.6372</v>
      </c>
      <c r="D798">
        <v>2.5156999999999998</v>
      </c>
      <c r="E798">
        <v>2.6113</v>
      </c>
      <c r="F798">
        <v>8901454.4100000001</v>
      </c>
      <c r="G798">
        <v>0</v>
      </c>
      <c r="L798" t="s">
        <v>8</v>
      </c>
      <c r="M798" t="s">
        <v>7</v>
      </c>
      <c r="N798" t="s">
        <v>7</v>
      </c>
      <c r="P798">
        <f t="shared" si="1004"/>
        <v>0.57366255144032918</v>
      </c>
      <c r="Q798">
        <f t="shared" si="1005"/>
        <v>5106431.0483703697</v>
      </c>
      <c r="R798">
        <f t="shared" si="1006"/>
        <v>167329016.69768953</v>
      </c>
      <c r="S798">
        <f t="shared" si="1007"/>
        <v>1673.2901669768953</v>
      </c>
      <c r="T798">
        <f t="shared" si="1008"/>
        <v>1.6732901669768954</v>
      </c>
    </row>
    <row r="799" spans="1:20" x14ac:dyDescent="0.25">
      <c r="A799" s="5">
        <v>43794</v>
      </c>
      <c r="B799">
        <v>2.4129</v>
      </c>
      <c r="C799">
        <v>2.6177000000000001</v>
      </c>
      <c r="D799">
        <v>2.3307000000000002</v>
      </c>
      <c r="E799">
        <v>2.5179999999999998</v>
      </c>
      <c r="F799">
        <v>16105065.42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0.30522648083623433</v>
      </c>
      <c r="Q799">
        <f t="shared" si="1005"/>
        <v>4915692.4417839302</v>
      </c>
      <c r="R799">
        <f t="shared" si="1006"/>
        <v>162222585.64931917</v>
      </c>
      <c r="S799">
        <f t="shared" si="1007"/>
        <v>1622.2258564931917</v>
      </c>
      <c r="T799">
        <f t="shared" si="1008"/>
        <v>1.6222258564931917</v>
      </c>
    </row>
    <row r="800" spans="1:20" x14ac:dyDescent="0.25">
      <c r="A800" s="5">
        <v>43793</v>
      </c>
      <c r="B800">
        <v>2.677</v>
      </c>
      <c r="C800">
        <v>2.6846999999999999</v>
      </c>
      <c r="D800">
        <v>2.355</v>
      </c>
      <c r="E800">
        <v>2.4115000000000002</v>
      </c>
      <c r="F800">
        <v>13216373.119999999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-0.65726417955717176</v>
      </c>
      <c r="Q800">
        <f t="shared" si="1005"/>
        <v>-8686648.6354382578</v>
      </c>
      <c r="R800">
        <f t="shared" si="1006"/>
        <v>157306893.20753524</v>
      </c>
      <c r="S800">
        <f t="shared" si="1007"/>
        <v>1573.0689320753524</v>
      </c>
      <c r="T800">
        <f t="shared" si="1008"/>
        <v>1.5730689320753524</v>
      </c>
    </row>
    <row r="801" spans="1:20" x14ac:dyDescent="0.25">
      <c r="A801" s="5">
        <v>43792</v>
      </c>
      <c r="B801">
        <v>2.6135999999999999</v>
      </c>
      <c r="C801">
        <v>2.7042000000000002</v>
      </c>
      <c r="D801">
        <v>2.5581</v>
      </c>
      <c r="E801">
        <v>2.6755</v>
      </c>
      <c r="F801">
        <v>9045674.2200000007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0.60711841204654149</v>
      </c>
      <c r="Q801">
        <f t="shared" si="1005"/>
        <v>5491795.3683367381</v>
      </c>
      <c r="R801">
        <f t="shared" si="1006"/>
        <v>165993541.8429735</v>
      </c>
      <c r="S801">
        <f t="shared" si="1007"/>
        <v>1659.9354184297349</v>
      </c>
      <c r="T801">
        <f t="shared" si="1008"/>
        <v>1.6599354184297348</v>
      </c>
    </row>
    <row r="802" spans="1:20" x14ac:dyDescent="0.25">
      <c r="A802" s="5">
        <v>43791</v>
      </c>
      <c r="B802">
        <v>2.8187000000000002</v>
      </c>
      <c r="C802">
        <v>2.8456999999999999</v>
      </c>
      <c r="D802">
        <v>2.4500000000000002</v>
      </c>
      <c r="E802">
        <v>2.6126999999999998</v>
      </c>
      <c r="F802">
        <v>23716364.579999998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-0.17765984331564449</v>
      </c>
      <c r="Q802">
        <f t="shared" si="1005"/>
        <v>-4213445.6152995005</v>
      </c>
      <c r="R802">
        <f t="shared" si="1006"/>
        <v>160501746.47463676</v>
      </c>
      <c r="S802">
        <f t="shared" si="1007"/>
        <v>1605.0174647463675</v>
      </c>
      <c r="T802">
        <f t="shared" si="1008"/>
        <v>1.6050174647463675</v>
      </c>
    </row>
    <row r="803" spans="1:20" x14ac:dyDescent="0.25">
      <c r="A803" s="5">
        <v>43790</v>
      </c>
      <c r="B803">
        <v>3.0804999999999998</v>
      </c>
      <c r="C803">
        <v>3.1198999999999999</v>
      </c>
      <c r="D803">
        <v>2.7378</v>
      </c>
      <c r="E803">
        <v>2.8184</v>
      </c>
      <c r="F803">
        <v>12397552.699999999</v>
      </c>
      <c r="G803">
        <v>0</v>
      </c>
      <c r="L803" t="s">
        <v>7</v>
      </c>
      <c r="M803" t="s">
        <v>7</v>
      </c>
      <c r="N803" t="s">
        <v>8</v>
      </c>
      <c r="P803">
        <f t="shared" si="1004"/>
        <v>-0.57812091075634631</v>
      </c>
      <c r="Q803">
        <f t="shared" si="1005"/>
        <v>-7167284.4580737995</v>
      </c>
      <c r="R803">
        <f t="shared" si="1006"/>
        <v>164715192.08993626</v>
      </c>
      <c r="S803">
        <f t="shared" si="1007"/>
        <v>1647.1519208993625</v>
      </c>
      <c r="T803">
        <f t="shared" si="1008"/>
        <v>1.6471519208993626</v>
      </c>
    </row>
    <row r="804" spans="1:20" x14ac:dyDescent="0.25">
      <c r="A804" s="5">
        <v>43789</v>
      </c>
      <c r="B804">
        <v>3.1211000000000002</v>
      </c>
      <c r="C804">
        <v>3.1549999999999998</v>
      </c>
      <c r="D804">
        <v>3.0489999999999999</v>
      </c>
      <c r="E804">
        <v>3.0804999999999998</v>
      </c>
      <c r="F804">
        <v>6671828.7300000004</v>
      </c>
      <c r="G804">
        <v>0</v>
      </c>
      <c r="L804" t="s">
        <v>7</v>
      </c>
      <c r="M804" t="s">
        <v>7</v>
      </c>
      <c r="N804" t="s">
        <v>8</v>
      </c>
      <c r="P804">
        <f t="shared" si="1004"/>
        <v>-0.40566037735849247</v>
      </c>
      <c r="Q804">
        <f t="shared" si="1005"/>
        <v>-2706496.5602830318</v>
      </c>
      <c r="R804">
        <f t="shared" si="1006"/>
        <v>171882476.54801005</v>
      </c>
      <c r="S804">
        <f t="shared" si="1007"/>
        <v>1718.8247654801005</v>
      </c>
      <c r="T804">
        <f t="shared" si="1008"/>
        <v>1.7188247654801005</v>
      </c>
    </row>
    <row r="805" spans="1:20" x14ac:dyDescent="0.25">
      <c r="A805" s="5">
        <v>43788</v>
      </c>
      <c r="B805">
        <v>3.1800999999999999</v>
      </c>
      <c r="C805">
        <v>3.1974</v>
      </c>
      <c r="D805">
        <v>3.02</v>
      </c>
      <c r="E805">
        <v>3.12</v>
      </c>
      <c r="F805">
        <v>9446196.2699999996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0.12739571589628057</v>
      </c>
      <c r="Q805">
        <f t="shared" si="1005"/>
        <v>1203404.9363134252</v>
      </c>
      <c r="R805">
        <f t="shared" si="1006"/>
        <v>174588973.10829309</v>
      </c>
      <c r="S805">
        <f t="shared" si="1007"/>
        <v>1745.8897310829309</v>
      </c>
      <c r="T805">
        <f t="shared" si="1008"/>
        <v>1.7458897310829309</v>
      </c>
    </row>
    <row r="806" spans="1:20" x14ac:dyDescent="0.25">
      <c r="A806" s="5">
        <v>43787</v>
      </c>
      <c r="B806">
        <v>3.3967999999999998</v>
      </c>
      <c r="C806">
        <v>3.4013</v>
      </c>
      <c r="D806">
        <v>3.0179</v>
      </c>
      <c r="E806">
        <v>3.181</v>
      </c>
      <c r="F806">
        <v>9215243.3100000005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-0.14919144496609266</v>
      </c>
      <c r="Q806">
        <f t="shared" si="1005"/>
        <v>-1374835.4651330186</v>
      </c>
      <c r="R806">
        <f t="shared" si="1006"/>
        <v>173385568.17197967</v>
      </c>
      <c r="S806">
        <f t="shared" si="1007"/>
        <v>1733.8556817197966</v>
      </c>
      <c r="T806">
        <f t="shared" si="1008"/>
        <v>1.7338556817197965</v>
      </c>
    </row>
    <row r="807" spans="1:20" x14ac:dyDescent="0.25">
      <c r="A807" s="5">
        <v>43786</v>
      </c>
      <c r="B807">
        <v>3.3733</v>
      </c>
      <c r="C807">
        <v>3.4413</v>
      </c>
      <c r="D807">
        <v>3.3159999999999998</v>
      </c>
      <c r="E807">
        <v>3.3957999999999999</v>
      </c>
      <c r="F807">
        <v>3887655.66</v>
      </c>
      <c r="G807">
        <v>0</v>
      </c>
      <c r="L807" t="s">
        <v>7</v>
      </c>
      <c r="M807" t="s">
        <v>8</v>
      </c>
      <c r="N807" t="s">
        <v>8</v>
      </c>
      <c r="P807">
        <f t="shared" si="1004"/>
        <v>0.27374301675977608</v>
      </c>
      <c r="Q807">
        <f t="shared" si="1005"/>
        <v>1064218.5884916184</v>
      </c>
      <c r="R807">
        <f t="shared" si="1006"/>
        <v>174760403.63711268</v>
      </c>
      <c r="S807">
        <f t="shared" si="1007"/>
        <v>1747.6040363711268</v>
      </c>
      <c r="T807">
        <f t="shared" si="1008"/>
        <v>1.7476040363711267</v>
      </c>
    </row>
    <row r="808" spans="1:20" x14ac:dyDescent="0.25">
      <c r="A808" s="5">
        <v>43785</v>
      </c>
      <c r="B808">
        <v>3.3334000000000001</v>
      </c>
      <c r="C808">
        <v>3.4020000000000001</v>
      </c>
      <c r="D808">
        <v>3.3163</v>
      </c>
      <c r="E808">
        <v>3.3736000000000002</v>
      </c>
      <c r="F808">
        <v>2701799.6</v>
      </c>
      <c r="G808">
        <v>0</v>
      </c>
      <c r="L808" t="s">
        <v>7</v>
      </c>
      <c r="M808" t="s">
        <v>8</v>
      </c>
      <c r="N808" t="s">
        <v>8</v>
      </c>
      <c r="P808">
        <f t="shared" si="1004"/>
        <v>0.33722287047841437</v>
      </c>
      <c r="Q808">
        <f t="shared" si="1005"/>
        <v>911108.61656943173</v>
      </c>
      <c r="R808">
        <f t="shared" si="1006"/>
        <v>173696185.04862106</v>
      </c>
      <c r="S808">
        <f t="shared" si="1007"/>
        <v>1736.9618504862106</v>
      </c>
      <c r="T808">
        <f t="shared" si="1008"/>
        <v>1.7369618504862105</v>
      </c>
    </row>
    <row r="809" spans="1:20" x14ac:dyDescent="0.25">
      <c r="A809" s="5">
        <v>43784</v>
      </c>
      <c r="B809">
        <v>3.3948</v>
      </c>
      <c r="C809">
        <v>3.5030000000000001</v>
      </c>
      <c r="D809">
        <v>3.2810999999999999</v>
      </c>
      <c r="E809">
        <v>3.3334000000000001</v>
      </c>
      <c r="F809">
        <v>7669539.7000000002</v>
      </c>
      <c r="G809">
        <v>0</v>
      </c>
      <c r="L809" t="s">
        <v>7</v>
      </c>
      <c r="M809" t="s">
        <v>8</v>
      </c>
      <c r="N809" t="s">
        <v>8</v>
      </c>
      <c r="P809">
        <f t="shared" si="1004"/>
        <v>-0.52861649391617682</v>
      </c>
      <c r="Q809">
        <f t="shared" si="1005"/>
        <v>-4054245.1861649267</v>
      </c>
      <c r="R809">
        <f t="shared" si="1006"/>
        <v>172785076.43205163</v>
      </c>
      <c r="S809">
        <f t="shared" si="1007"/>
        <v>1727.8507643205162</v>
      </c>
      <c r="T809">
        <f t="shared" si="1008"/>
        <v>1.7278507643205161</v>
      </c>
    </row>
    <row r="810" spans="1:20" x14ac:dyDescent="0.25">
      <c r="A810" s="5">
        <v>43783</v>
      </c>
      <c r="B810">
        <v>3.4693999999999998</v>
      </c>
      <c r="C810">
        <v>3.48</v>
      </c>
      <c r="D810">
        <v>3.3296000000000001</v>
      </c>
      <c r="E810">
        <v>3.3953000000000002</v>
      </c>
      <c r="F810">
        <v>4381838.3899999997</v>
      </c>
      <c r="G810">
        <v>0</v>
      </c>
      <c r="L810" t="s">
        <v>7</v>
      </c>
      <c r="M810" t="s">
        <v>8</v>
      </c>
      <c r="N810" t="s">
        <v>8</v>
      </c>
      <c r="P810">
        <f t="shared" si="1004"/>
        <v>-0.12632978723404056</v>
      </c>
      <c r="Q810">
        <f t="shared" si="1005"/>
        <v>-553556.71150265087</v>
      </c>
      <c r="R810">
        <f t="shared" si="1006"/>
        <v>176839321.61821654</v>
      </c>
      <c r="S810">
        <f t="shared" si="1007"/>
        <v>1768.3932161821654</v>
      </c>
      <c r="T810">
        <f t="shared" si="1008"/>
        <v>1.7683932161821654</v>
      </c>
    </row>
    <row r="811" spans="1:20" x14ac:dyDescent="0.25">
      <c r="A811" s="5">
        <v>43782</v>
      </c>
      <c r="B811">
        <v>3.4830000000000001</v>
      </c>
      <c r="C811">
        <v>3.4922</v>
      </c>
      <c r="D811">
        <v>3.4169999999999998</v>
      </c>
      <c r="E811">
        <v>3.4714</v>
      </c>
      <c r="F811">
        <v>4123933.86</v>
      </c>
      <c r="G811">
        <v>0</v>
      </c>
      <c r="L811" t="s">
        <v>7</v>
      </c>
      <c r="M811" t="s">
        <v>8</v>
      </c>
      <c r="N811" t="s">
        <v>8</v>
      </c>
      <c r="P811">
        <f t="shared" si="1004"/>
        <v>0.4468085106383009</v>
      </c>
      <c r="Q811">
        <f t="shared" si="1005"/>
        <v>1842608.7459574593</v>
      </c>
      <c r="R811">
        <f t="shared" si="1006"/>
        <v>177392878.32971919</v>
      </c>
      <c r="S811">
        <f t="shared" si="1007"/>
        <v>1773.9287832971918</v>
      </c>
      <c r="T811">
        <f t="shared" si="1008"/>
        <v>1.7739287832971917</v>
      </c>
    </row>
    <row r="812" spans="1:20" x14ac:dyDescent="0.25">
      <c r="A812" s="5">
        <v>43781</v>
      </c>
      <c r="B812">
        <v>3.4377</v>
      </c>
      <c r="C812">
        <v>3.5244</v>
      </c>
      <c r="D812">
        <v>3.3801999999999999</v>
      </c>
      <c r="E812">
        <v>3.4824000000000002</v>
      </c>
      <c r="F812">
        <v>6593303.1900000004</v>
      </c>
      <c r="G812">
        <v>0</v>
      </c>
      <c r="L812" t="s">
        <v>7</v>
      </c>
      <c r="M812" t="s">
        <v>8</v>
      </c>
      <c r="N812" t="s">
        <v>8</v>
      </c>
      <c r="P812">
        <f t="shared" si="1004"/>
        <v>0.41747572815534278</v>
      </c>
      <c r="Q812">
        <f t="shared" si="1005"/>
        <v>2752544.0501941945</v>
      </c>
      <c r="R812">
        <f t="shared" si="1006"/>
        <v>175550269.58376172</v>
      </c>
      <c r="S812">
        <f t="shared" si="1007"/>
        <v>1755.5026958376172</v>
      </c>
      <c r="T812">
        <f t="shared" si="1008"/>
        <v>1.7555026958376172</v>
      </c>
    </row>
    <row r="813" spans="1:20" x14ac:dyDescent="0.25">
      <c r="A813" s="5">
        <v>43780</v>
      </c>
      <c r="B813">
        <v>3.5823999999999998</v>
      </c>
      <c r="C813">
        <v>3.5983999999999998</v>
      </c>
      <c r="D813">
        <v>3.4049</v>
      </c>
      <c r="E813">
        <v>3.4371999999999998</v>
      </c>
      <c r="F813">
        <v>5105031.3600000003</v>
      </c>
      <c r="G813">
        <v>0</v>
      </c>
      <c r="L813" t="s">
        <v>7</v>
      </c>
      <c r="M813" t="s">
        <v>8</v>
      </c>
      <c r="N813" t="s">
        <v>8</v>
      </c>
      <c r="P813">
        <f t="shared" si="1004"/>
        <v>-0.6661498708010356</v>
      </c>
      <c r="Q813">
        <f t="shared" si="1005"/>
        <v>-3400715.9808992352</v>
      </c>
      <c r="R813">
        <f t="shared" si="1006"/>
        <v>172797725.53356752</v>
      </c>
      <c r="S813">
        <f t="shared" si="1007"/>
        <v>1727.9772553356752</v>
      </c>
      <c r="T813">
        <f t="shared" si="1008"/>
        <v>1.7279772553356751</v>
      </c>
    </row>
    <row r="814" spans="1:20" x14ac:dyDescent="0.25">
      <c r="A814" s="5">
        <v>43779</v>
      </c>
      <c r="B814">
        <v>3.4904999999999999</v>
      </c>
      <c r="C814">
        <v>3.67</v>
      </c>
      <c r="D814">
        <v>3.4491000000000001</v>
      </c>
      <c r="E814">
        <v>3.5828000000000002</v>
      </c>
      <c r="F814">
        <v>6479819.9800000004</v>
      </c>
      <c r="G814">
        <v>0</v>
      </c>
      <c r="L814" t="s">
        <v>8</v>
      </c>
      <c r="M814" t="s">
        <v>8</v>
      </c>
      <c r="N814" t="s">
        <v>8</v>
      </c>
      <c r="P814">
        <f t="shared" si="1004"/>
        <v>0.21050248981439773</v>
      </c>
      <c r="Q814">
        <f t="shared" si="1005"/>
        <v>1364018.2393390811</v>
      </c>
      <c r="R814">
        <f t="shared" si="1006"/>
        <v>176198441.51446676</v>
      </c>
      <c r="S814">
        <f t="shared" si="1007"/>
        <v>1761.9844151446675</v>
      </c>
      <c r="T814">
        <f t="shared" si="1008"/>
        <v>1.7619844151446675</v>
      </c>
    </row>
    <row r="815" spans="1:20" x14ac:dyDescent="0.25">
      <c r="A815" s="5">
        <v>43778</v>
      </c>
      <c r="B815">
        <v>3.41</v>
      </c>
      <c r="C815">
        <v>3.5042</v>
      </c>
      <c r="D815">
        <v>3.4047999999999998</v>
      </c>
      <c r="E815">
        <v>3.488</v>
      </c>
      <c r="F815">
        <v>3548863.29</v>
      </c>
      <c r="G815">
        <v>0</v>
      </c>
      <c r="L815" t="s">
        <v>7</v>
      </c>
      <c r="M815" t="s">
        <v>8</v>
      </c>
      <c r="N815" t="s">
        <v>8</v>
      </c>
      <c r="P815">
        <f t="shared" si="1004"/>
        <v>0.67404426559356201</v>
      </c>
      <c r="Q815">
        <f t="shared" si="1005"/>
        <v>2392090.9500000025</v>
      </c>
      <c r="R815">
        <f t="shared" si="1006"/>
        <v>174834423.27512768</v>
      </c>
      <c r="S815">
        <f t="shared" si="1007"/>
        <v>1748.3442327512769</v>
      </c>
      <c r="T815">
        <f t="shared" si="1008"/>
        <v>1.7483442327512768</v>
      </c>
    </row>
    <row r="816" spans="1:20" x14ac:dyDescent="0.25">
      <c r="A816" s="5">
        <v>43777</v>
      </c>
      <c r="B816">
        <v>3.4676999999999998</v>
      </c>
      <c r="C816">
        <v>3.5537999999999998</v>
      </c>
      <c r="D816">
        <v>3.3281999999999998</v>
      </c>
      <c r="E816">
        <v>3.4114</v>
      </c>
      <c r="F816">
        <v>8143795.0700000003</v>
      </c>
      <c r="G816">
        <v>0</v>
      </c>
      <c r="L816" t="s">
        <v>7</v>
      </c>
      <c r="M816" t="s">
        <v>8</v>
      </c>
      <c r="N816" t="s">
        <v>8</v>
      </c>
      <c r="P816">
        <f t="shared" si="1004"/>
        <v>-0.26241134751772915</v>
      </c>
      <c r="Q816">
        <f t="shared" si="1005"/>
        <v>-2137024.2382269395</v>
      </c>
      <c r="R816">
        <f t="shared" si="1006"/>
        <v>172442332.32512769</v>
      </c>
      <c r="S816">
        <f t="shared" si="1007"/>
        <v>1724.423323251277</v>
      </c>
      <c r="T816">
        <f t="shared" si="1008"/>
        <v>1.7244233232512769</v>
      </c>
    </row>
    <row r="817" spans="1:20" x14ac:dyDescent="0.25">
      <c r="A817" s="5">
        <v>43776</v>
      </c>
      <c r="B817">
        <v>3.6063999999999998</v>
      </c>
      <c r="C817">
        <v>3.6345000000000001</v>
      </c>
      <c r="D817">
        <v>3.423</v>
      </c>
      <c r="E817">
        <v>3.4661</v>
      </c>
      <c r="F817">
        <v>7090156.5499999998</v>
      </c>
      <c r="G817">
        <v>0</v>
      </c>
      <c r="L817" t="s">
        <v>8</v>
      </c>
      <c r="M817" t="s">
        <v>8</v>
      </c>
      <c r="N817" t="s">
        <v>8</v>
      </c>
      <c r="P817">
        <f t="shared" si="1004"/>
        <v>-0.59243498817966989</v>
      </c>
      <c r="Q817">
        <f t="shared" si="1005"/>
        <v>-4200456.8118912587</v>
      </c>
      <c r="R817">
        <f t="shared" si="1006"/>
        <v>174579356.56335464</v>
      </c>
      <c r="S817">
        <f t="shared" si="1007"/>
        <v>1745.7935656335465</v>
      </c>
      <c r="T817">
        <f t="shared" si="1008"/>
        <v>1.7457935656335464</v>
      </c>
    </row>
    <row r="818" spans="1:20" x14ac:dyDescent="0.25">
      <c r="A818" s="5">
        <v>43775</v>
      </c>
      <c r="B818">
        <v>3.6154999999999999</v>
      </c>
      <c r="C818">
        <v>3.6770999999999998</v>
      </c>
      <c r="D818">
        <v>3.5411000000000001</v>
      </c>
      <c r="E818">
        <v>3.6038999999999999</v>
      </c>
      <c r="F818">
        <v>7558142.5800000001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-7.6470588235295678E-2</v>
      </c>
      <c r="Q818">
        <f t="shared" si="1005"/>
        <v>-577975.60905883531</v>
      </c>
      <c r="R818">
        <f t="shared" si="1006"/>
        <v>178779813.3752459</v>
      </c>
      <c r="S818">
        <f t="shared" si="1007"/>
        <v>1787.7981337524591</v>
      </c>
      <c r="T818">
        <f t="shared" si="1008"/>
        <v>1.7877981337524591</v>
      </c>
    </row>
    <row r="819" spans="1:20" x14ac:dyDescent="0.25">
      <c r="A819" s="5">
        <v>43774</v>
      </c>
      <c r="B819">
        <v>3.4380000000000002</v>
      </c>
      <c r="C819">
        <v>3.6886000000000001</v>
      </c>
      <c r="D819">
        <v>3.4030999999999998</v>
      </c>
      <c r="E819">
        <v>3.6179999999999999</v>
      </c>
      <c r="F819">
        <v>11862081.710000001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0.50542907180385188</v>
      </c>
      <c r="Q819">
        <f t="shared" si="1005"/>
        <v>5995440.9483467489</v>
      </c>
      <c r="R819">
        <f t="shared" si="1006"/>
        <v>179357788.98430473</v>
      </c>
      <c r="S819">
        <f t="shared" si="1007"/>
        <v>1793.5778898430472</v>
      </c>
      <c r="T819">
        <f t="shared" si="1008"/>
        <v>1.7935778898430472</v>
      </c>
    </row>
    <row r="820" spans="1:20" x14ac:dyDescent="0.25">
      <c r="A820" s="5">
        <v>43773</v>
      </c>
      <c r="B820">
        <v>3.2707000000000002</v>
      </c>
      <c r="C820">
        <v>3.4984000000000002</v>
      </c>
      <c r="D820">
        <v>3.2376999999999998</v>
      </c>
      <c r="E820">
        <v>3.4380000000000002</v>
      </c>
      <c r="F820">
        <v>9847237.1400000006</v>
      </c>
      <c r="G820">
        <v>0</v>
      </c>
      <c r="L820" t="s">
        <v>8</v>
      </c>
      <c r="M820" t="s">
        <v>8</v>
      </c>
      <c r="N820" t="s">
        <v>8</v>
      </c>
      <c r="P820">
        <f t="shared" si="1004"/>
        <v>0.5366321442270815</v>
      </c>
      <c r="Q820">
        <f t="shared" si="1005"/>
        <v>5284343.9811507538</v>
      </c>
      <c r="R820">
        <f t="shared" si="1006"/>
        <v>173362348.03595799</v>
      </c>
      <c r="S820">
        <f t="shared" si="1007"/>
        <v>1733.6234803595798</v>
      </c>
      <c r="T820">
        <f t="shared" si="1008"/>
        <v>1.7336234803595798</v>
      </c>
    </row>
    <row r="821" spans="1:20" x14ac:dyDescent="0.25">
      <c r="A821" s="5">
        <v>43772</v>
      </c>
      <c r="B821">
        <v>3.3222</v>
      </c>
      <c r="C821">
        <v>3.3401999999999998</v>
      </c>
      <c r="D821">
        <v>3.1827000000000001</v>
      </c>
      <c r="E821">
        <v>3.2702</v>
      </c>
      <c r="F821">
        <v>3601852.87</v>
      </c>
      <c r="G821">
        <v>0</v>
      </c>
      <c r="L821" t="s">
        <v>7</v>
      </c>
      <c r="M821" t="s">
        <v>8</v>
      </c>
      <c r="N821" t="s">
        <v>8</v>
      </c>
      <c r="P821">
        <f t="shared" si="1004"/>
        <v>0.11111111111111174</v>
      </c>
      <c r="Q821">
        <f t="shared" si="1005"/>
        <v>400205.87444444676</v>
      </c>
      <c r="R821">
        <f t="shared" si="1006"/>
        <v>168078004.05480725</v>
      </c>
      <c r="S821">
        <f t="shared" si="1007"/>
        <v>1680.7800405480725</v>
      </c>
      <c r="T821">
        <f t="shared" si="1008"/>
        <v>1.6807800405480726</v>
      </c>
    </row>
    <row r="822" spans="1:20" x14ac:dyDescent="0.25">
      <c r="A822" s="5">
        <v>43771</v>
      </c>
      <c r="B822">
        <v>3.3420000000000001</v>
      </c>
      <c r="C822">
        <v>3.3780999999999999</v>
      </c>
      <c r="D822">
        <v>3.2917000000000001</v>
      </c>
      <c r="E822">
        <v>3.3220999999999998</v>
      </c>
      <c r="F822">
        <v>4116286.28</v>
      </c>
      <c r="G822">
        <v>0</v>
      </c>
      <c r="L822" t="s">
        <v>7</v>
      </c>
      <c r="M822" t="s">
        <v>8</v>
      </c>
      <c r="N822" t="s">
        <v>8</v>
      </c>
      <c r="P822">
        <f t="shared" si="1004"/>
        <v>-0.29629629629630028</v>
      </c>
      <c r="Q822">
        <f t="shared" si="1005"/>
        <v>-1219640.3792592755</v>
      </c>
      <c r="R822">
        <f t="shared" si="1006"/>
        <v>167677798.18036279</v>
      </c>
      <c r="S822">
        <f t="shared" si="1007"/>
        <v>1676.7779818036279</v>
      </c>
      <c r="T822">
        <f t="shared" si="1008"/>
        <v>1.6767779818036279</v>
      </c>
    </row>
    <row r="823" spans="1:20" x14ac:dyDescent="0.25">
      <c r="A823" s="5">
        <v>43770</v>
      </c>
      <c r="B823">
        <v>3.2545000000000002</v>
      </c>
      <c r="C823">
        <v>3.39</v>
      </c>
      <c r="D823">
        <v>3.1993999999999998</v>
      </c>
      <c r="E823">
        <v>3.3418999999999999</v>
      </c>
      <c r="F823">
        <v>6616219.4199999999</v>
      </c>
      <c r="G823">
        <v>0</v>
      </c>
      <c r="L823" t="s">
        <v>7</v>
      </c>
      <c r="M823" t="s">
        <v>8</v>
      </c>
      <c r="N823" t="s">
        <v>8</v>
      </c>
      <c r="P823">
        <f t="shared" si="1004"/>
        <v>0.49527806925498247</v>
      </c>
      <c r="Q823">
        <f t="shared" si="1005"/>
        <v>3276868.3801049199</v>
      </c>
      <c r="R823">
        <f t="shared" si="1006"/>
        <v>168897438.55962208</v>
      </c>
      <c r="S823">
        <f t="shared" si="1007"/>
        <v>1688.9743855962208</v>
      </c>
      <c r="T823">
        <f t="shared" si="1008"/>
        <v>1.6889743855962209</v>
      </c>
    </row>
    <row r="824" spans="1:20" x14ac:dyDescent="0.25">
      <c r="A824" s="5">
        <v>43769</v>
      </c>
      <c r="B824">
        <v>3.2677</v>
      </c>
      <c r="C824">
        <v>3.3292999999999999</v>
      </c>
      <c r="D824">
        <v>3.1551999999999998</v>
      </c>
      <c r="E824">
        <v>3.2530999999999999</v>
      </c>
      <c r="F824">
        <v>7081695.8399999999</v>
      </c>
      <c r="G824">
        <v>0</v>
      </c>
      <c r="L824" t="s">
        <v>7</v>
      </c>
      <c r="M824" t="s">
        <v>8</v>
      </c>
      <c r="N824" t="s">
        <v>8</v>
      </c>
      <c r="P824">
        <f t="shared" si="1004"/>
        <v>0.12464101091326843</v>
      </c>
      <c r="Q824">
        <f t="shared" si="1005"/>
        <v>882669.72847788758</v>
      </c>
      <c r="R824">
        <f t="shared" si="1006"/>
        <v>165620570.17951715</v>
      </c>
      <c r="S824">
        <f t="shared" si="1007"/>
        <v>1656.2057017951715</v>
      </c>
      <c r="T824">
        <f t="shared" si="1008"/>
        <v>1.6562057017951715</v>
      </c>
    </row>
    <row r="825" spans="1:20" x14ac:dyDescent="0.25">
      <c r="A825" s="5">
        <v>43768</v>
      </c>
      <c r="B825">
        <v>3.4028</v>
      </c>
      <c r="C825">
        <v>3.4215</v>
      </c>
      <c r="D825">
        <v>3.1814</v>
      </c>
      <c r="E825">
        <v>3.2671999999999999</v>
      </c>
      <c r="F825">
        <v>8279459.5599999996</v>
      </c>
      <c r="G825">
        <v>0</v>
      </c>
      <c r="L825" t="s">
        <v>7</v>
      </c>
      <c r="M825" t="s">
        <v>8</v>
      </c>
      <c r="N825" t="s">
        <v>8</v>
      </c>
      <c r="P825">
        <f t="shared" si="1004"/>
        <v>-0.28529779258642329</v>
      </c>
      <c r="Q825">
        <f t="shared" si="1005"/>
        <v>-2362111.5362765593</v>
      </c>
      <c r="R825">
        <f t="shared" si="1006"/>
        <v>164737900.45103925</v>
      </c>
      <c r="S825">
        <f t="shared" si="1007"/>
        <v>1647.3790045103926</v>
      </c>
      <c r="T825">
        <f t="shared" si="1008"/>
        <v>1.6473790045103927</v>
      </c>
    </row>
    <row r="826" spans="1:20" x14ac:dyDescent="0.25">
      <c r="A826" s="5">
        <v>43767</v>
      </c>
      <c r="B826">
        <v>3.2818000000000001</v>
      </c>
      <c r="C826">
        <v>3.46</v>
      </c>
      <c r="D826">
        <v>3.2734000000000001</v>
      </c>
      <c r="E826">
        <v>3.4022000000000001</v>
      </c>
      <c r="F826">
        <v>9541450.7300000004</v>
      </c>
      <c r="G826">
        <v>0</v>
      </c>
      <c r="L826" t="s">
        <v>7</v>
      </c>
      <c r="M826" t="s">
        <v>8</v>
      </c>
      <c r="N826" t="s">
        <v>8</v>
      </c>
      <c r="P826">
        <f t="shared" si="1004"/>
        <v>0.38049303322615335</v>
      </c>
      <c r="Q826">
        <f t="shared" si="1005"/>
        <v>3630455.5296355952</v>
      </c>
      <c r="R826">
        <f t="shared" si="1006"/>
        <v>167100011.9873158</v>
      </c>
      <c r="S826">
        <f t="shared" si="1007"/>
        <v>1671.0001198731579</v>
      </c>
      <c r="T826">
        <f t="shared" si="1008"/>
        <v>1.6710001198731579</v>
      </c>
    </row>
    <row r="827" spans="1:20" x14ac:dyDescent="0.25">
      <c r="A827" s="5">
        <v>43766</v>
      </c>
      <c r="B827">
        <v>3.3288000000000002</v>
      </c>
      <c r="C827">
        <v>3.5468999999999999</v>
      </c>
      <c r="D827">
        <v>3.2448999999999999</v>
      </c>
      <c r="E827">
        <v>3.2822</v>
      </c>
      <c r="F827">
        <v>15629480.039999999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-0.75298013245033046</v>
      </c>
      <c r="Q827">
        <f t="shared" si="1005"/>
        <v>-11768687.950648995</v>
      </c>
      <c r="R827">
        <f t="shared" si="1006"/>
        <v>163469556.4576802</v>
      </c>
      <c r="S827">
        <f t="shared" si="1007"/>
        <v>1634.6955645768019</v>
      </c>
      <c r="T827">
        <f t="shared" si="1008"/>
        <v>1.6346955645768018</v>
      </c>
    </row>
    <row r="828" spans="1:20" x14ac:dyDescent="0.25">
      <c r="A828" s="5">
        <v>43765</v>
      </c>
      <c r="B828">
        <v>3.1337999999999999</v>
      </c>
      <c r="C828">
        <v>3.4897999999999998</v>
      </c>
      <c r="D828">
        <v>3.0663</v>
      </c>
      <c r="E828">
        <v>3.3281000000000001</v>
      </c>
      <c r="F828">
        <v>18393829.149999999</v>
      </c>
      <c r="G828">
        <v>0</v>
      </c>
      <c r="L828" t="s">
        <v>7</v>
      </c>
      <c r="M828" t="s">
        <v>8</v>
      </c>
      <c r="N828" t="s">
        <v>8</v>
      </c>
      <c r="P828">
        <f t="shared" si="1004"/>
        <v>0.23636363636363719</v>
      </c>
      <c r="Q828">
        <f t="shared" si="1005"/>
        <v>4347632.3445454696</v>
      </c>
      <c r="R828">
        <f t="shared" si="1006"/>
        <v>175238244.40832919</v>
      </c>
      <c r="S828">
        <f t="shared" si="1007"/>
        <v>1752.3824440832918</v>
      </c>
      <c r="T828">
        <f t="shared" si="1008"/>
        <v>1.7523824440832918</v>
      </c>
    </row>
    <row r="829" spans="1:20" x14ac:dyDescent="0.25">
      <c r="A829" s="5">
        <v>43764</v>
      </c>
      <c r="B829">
        <v>3.1776</v>
      </c>
      <c r="C829">
        <v>3.55</v>
      </c>
      <c r="D829">
        <v>2.9849999999999999</v>
      </c>
      <c r="E829">
        <v>3.1339000000000001</v>
      </c>
      <c r="F829">
        <v>26618243.210000001</v>
      </c>
      <c r="G829">
        <v>0</v>
      </c>
      <c r="L829" t="s">
        <v>8</v>
      </c>
      <c r="M829" t="s">
        <v>8</v>
      </c>
      <c r="N829" t="s">
        <v>8</v>
      </c>
      <c r="P829">
        <f t="shared" si="1004"/>
        <v>-0.47292035398229992</v>
      </c>
      <c r="Q829">
        <f t="shared" si="1005"/>
        <v>-12588309.001260152</v>
      </c>
      <c r="R829">
        <f t="shared" si="1006"/>
        <v>170890612.06378371</v>
      </c>
      <c r="S829">
        <f t="shared" si="1007"/>
        <v>1708.9061206378371</v>
      </c>
      <c r="T829">
        <f t="shared" si="1008"/>
        <v>1.7089061206378371</v>
      </c>
    </row>
    <row r="830" spans="1:20" x14ac:dyDescent="0.25">
      <c r="A830" s="5">
        <v>43763</v>
      </c>
      <c r="B830">
        <v>2.7216</v>
      </c>
      <c r="C830">
        <v>3.3323</v>
      </c>
      <c r="D830">
        <v>2.7160000000000002</v>
      </c>
      <c r="E830">
        <v>3.1770999999999998</v>
      </c>
      <c r="F830">
        <v>20518259.449999999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0.49634918059386579</v>
      </c>
      <c r="Q830">
        <f t="shared" si="1005"/>
        <v>10184221.265219843</v>
      </c>
      <c r="R830">
        <f t="shared" si="1006"/>
        <v>183478921.06504387</v>
      </c>
      <c r="S830">
        <f t="shared" si="1007"/>
        <v>1834.7892106504387</v>
      </c>
      <c r="T830">
        <f t="shared" si="1008"/>
        <v>1.8347892106504387</v>
      </c>
    </row>
    <row r="831" spans="1:20" x14ac:dyDescent="0.25">
      <c r="A831" s="5">
        <v>43762</v>
      </c>
      <c r="B831">
        <v>2.7155999999999998</v>
      </c>
      <c r="C831">
        <v>2.7806000000000002</v>
      </c>
      <c r="D831">
        <v>2.6486000000000001</v>
      </c>
      <c r="E831">
        <v>2.7216999999999998</v>
      </c>
      <c r="F831">
        <v>6387068.1900000004</v>
      </c>
      <c r="G831">
        <v>0</v>
      </c>
      <c r="L831" t="s">
        <v>8</v>
      </c>
      <c r="M831" t="s">
        <v>7</v>
      </c>
      <c r="N831" t="s">
        <v>7</v>
      </c>
      <c r="P831">
        <f t="shared" ref="P831:P894" si="1009">IF(C831=D831,0,((E831-D831)-(C831-E831))/(C831-D831))</f>
        <v>0.10757575757575236</v>
      </c>
      <c r="Q831">
        <f t="shared" ref="Q831:Q894" si="1010">F831*P831</f>
        <v>687093.69922723947</v>
      </c>
      <c r="R831">
        <f t="shared" ref="R831:R894" si="1011">R832+Q831</f>
        <v>173294699.79982403</v>
      </c>
      <c r="S831">
        <f t="shared" ref="S831:S894" si="1012">R831/100000</f>
        <v>1732.9469979982402</v>
      </c>
      <c r="T831">
        <f t="shared" ref="T831:T894" si="1013">S831/1000</f>
        <v>1.7329469979982401</v>
      </c>
    </row>
    <row r="832" spans="1:20" x14ac:dyDescent="0.25">
      <c r="A832" s="5">
        <v>43761</v>
      </c>
      <c r="B832">
        <v>2.8917999999999999</v>
      </c>
      <c r="C832">
        <v>2.9085000000000001</v>
      </c>
      <c r="D832">
        <v>2.5329999999999999</v>
      </c>
      <c r="E832">
        <v>2.7158000000000002</v>
      </c>
      <c r="F832">
        <v>12615241.25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-2.636484687083774E-2</v>
      </c>
      <c r="Q832">
        <f t="shared" si="1010"/>
        <v>-332598.90379492566</v>
      </c>
      <c r="R832">
        <f t="shared" si="1011"/>
        <v>172607606.10059679</v>
      </c>
      <c r="S832">
        <f t="shared" si="1012"/>
        <v>1726.0760610059679</v>
      </c>
      <c r="T832">
        <f t="shared" si="1013"/>
        <v>1.7260760610059678</v>
      </c>
    </row>
    <row r="833" spans="1:20" x14ac:dyDescent="0.25">
      <c r="A833" s="5">
        <v>43760</v>
      </c>
      <c r="B833">
        <v>2.9199000000000002</v>
      </c>
      <c r="C833">
        <v>3.0268999999999999</v>
      </c>
      <c r="D833">
        <v>2.85</v>
      </c>
      <c r="E833">
        <v>2.8919999999999999</v>
      </c>
      <c r="F833">
        <v>6721532.7300000004</v>
      </c>
      <c r="G833">
        <v>0</v>
      </c>
      <c r="L833" t="s">
        <v>8</v>
      </c>
      <c r="M833" t="s">
        <v>7</v>
      </c>
      <c r="N833" t="s">
        <v>7</v>
      </c>
      <c r="P833">
        <f t="shared" si="1009"/>
        <v>-0.52515545505935723</v>
      </c>
      <c r="Q833">
        <f t="shared" si="1010"/>
        <v>-3529849.579519514</v>
      </c>
      <c r="R833">
        <f t="shared" si="1011"/>
        <v>172940205.0043917</v>
      </c>
      <c r="S833">
        <f t="shared" si="1012"/>
        <v>1729.4020500439169</v>
      </c>
      <c r="T833">
        <f t="shared" si="1013"/>
        <v>1.7294020500439169</v>
      </c>
    </row>
    <row r="834" spans="1:20" x14ac:dyDescent="0.25">
      <c r="A834" s="5">
        <v>43759</v>
      </c>
      <c r="B834">
        <v>2.9224999999999999</v>
      </c>
      <c r="C834">
        <v>2.9740000000000002</v>
      </c>
      <c r="D834">
        <v>2.8591000000000002</v>
      </c>
      <c r="E834">
        <v>2.9184999999999999</v>
      </c>
      <c r="F834">
        <v>4164497.05</v>
      </c>
      <c r="G834">
        <v>0</v>
      </c>
      <c r="L834" t="s">
        <v>8</v>
      </c>
      <c r="M834" t="s">
        <v>7</v>
      </c>
      <c r="N834" t="s">
        <v>7</v>
      </c>
      <c r="P834">
        <f t="shared" si="1009"/>
        <v>3.3942558746730619E-2</v>
      </c>
      <c r="Q834">
        <f t="shared" si="1010"/>
        <v>141353.68577021136</v>
      </c>
      <c r="R834">
        <f t="shared" si="1011"/>
        <v>176470054.58391121</v>
      </c>
      <c r="S834">
        <f t="shared" si="1012"/>
        <v>1764.700545839112</v>
      </c>
      <c r="T834">
        <f t="shared" si="1013"/>
        <v>1.7647005458391121</v>
      </c>
    </row>
    <row r="835" spans="1:20" x14ac:dyDescent="0.25">
      <c r="A835" s="5">
        <v>43758</v>
      </c>
      <c r="B835">
        <v>2.8685</v>
      </c>
      <c r="C835">
        <v>2.9417</v>
      </c>
      <c r="D835">
        <v>2.8134000000000001</v>
      </c>
      <c r="E835">
        <v>2.9224999999999999</v>
      </c>
      <c r="F835">
        <v>4299828.88</v>
      </c>
      <c r="G835">
        <v>0</v>
      </c>
      <c r="L835" t="s">
        <v>8</v>
      </c>
      <c r="M835" t="s">
        <v>7</v>
      </c>
      <c r="N835" t="s">
        <v>7</v>
      </c>
      <c r="P835">
        <f t="shared" si="1009"/>
        <v>0.70070148090412898</v>
      </c>
      <c r="Q835">
        <f t="shared" si="1010"/>
        <v>3012896.4638503422</v>
      </c>
      <c r="R835">
        <f t="shared" si="1011"/>
        <v>176328700.898141</v>
      </c>
      <c r="S835">
        <f t="shared" si="1012"/>
        <v>1763.2870089814101</v>
      </c>
      <c r="T835">
        <f t="shared" si="1013"/>
        <v>1.7632870089814101</v>
      </c>
    </row>
    <row r="836" spans="1:20" x14ac:dyDescent="0.25">
      <c r="A836" s="5">
        <v>43757</v>
      </c>
      <c r="B836">
        <v>2.879</v>
      </c>
      <c r="C836">
        <v>2.9260000000000002</v>
      </c>
      <c r="D836">
        <v>2.8289</v>
      </c>
      <c r="E836">
        <v>2.8677999999999999</v>
      </c>
      <c r="F836">
        <v>4462418.53</v>
      </c>
      <c r="G836">
        <v>0</v>
      </c>
      <c r="L836" t="s">
        <v>8</v>
      </c>
      <c r="M836" t="s">
        <v>7</v>
      </c>
      <c r="N836" t="s">
        <v>7</v>
      </c>
      <c r="P836">
        <f t="shared" si="1009"/>
        <v>-0.1987641606591172</v>
      </c>
      <c r="Q836">
        <f t="shared" si="1010"/>
        <v>-886968.87362514168</v>
      </c>
      <c r="R836">
        <f t="shared" si="1011"/>
        <v>173315804.43429065</v>
      </c>
      <c r="S836">
        <f t="shared" si="1012"/>
        <v>1733.1580443429066</v>
      </c>
      <c r="T836">
        <f t="shared" si="1013"/>
        <v>1.7331580443429067</v>
      </c>
    </row>
    <row r="837" spans="1:20" x14ac:dyDescent="0.25">
      <c r="A837" s="5">
        <v>43756</v>
      </c>
      <c r="B837">
        <v>2.9476</v>
      </c>
      <c r="C837">
        <v>2.9525000000000001</v>
      </c>
      <c r="D837">
        <v>2.7</v>
      </c>
      <c r="E837">
        <v>2.8782000000000001</v>
      </c>
      <c r="F837">
        <v>7459593.5300000003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0.41148514851485113</v>
      </c>
      <c r="Q837">
        <f t="shared" si="1010"/>
        <v>3069511.9515524725</v>
      </c>
      <c r="R837">
        <f t="shared" si="1011"/>
        <v>174202773.30791578</v>
      </c>
      <c r="S837">
        <f t="shared" si="1012"/>
        <v>1742.0277330791578</v>
      </c>
      <c r="T837">
        <f t="shared" si="1013"/>
        <v>1.7420277330791578</v>
      </c>
    </row>
    <row r="838" spans="1:20" x14ac:dyDescent="0.25">
      <c r="A838" s="5">
        <v>43755</v>
      </c>
      <c r="B838">
        <v>2.9234</v>
      </c>
      <c r="C838">
        <v>2.9742000000000002</v>
      </c>
      <c r="D838">
        <v>2.88</v>
      </c>
      <c r="E838">
        <v>2.9472999999999998</v>
      </c>
      <c r="F838">
        <v>3979587.96</v>
      </c>
      <c r="G838">
        <v>0</v>
      </c>
      <c r="L838" t="s">
        <v>7</v>
      </c>
      <c r="M838" t="s">
        <v>8</v>
      </c>
      <c r="N838" t="s">
        <v>7</v>
      </c>
      <c r="P838">
        <f t="shared" si="1009"/>
        <v>0.42887473460721259</v>
      </c>
      <c r="Q838">
        <f t="shared" si="1010"/>
        <v>1706744.7301910585</v>
      </c>
      <c r="R838">
        <f t="shared" si="1011"/>
        <v>171133261.3563633</v>
      </c>
      <c r="S838">
        <f t="shared" si="1012"/>
        <v>1711.332613563633</v>
      </c>
      <c r="T838">
        <f t="shared" si="1013"/>
        <v>1.7113326135636331</v>
      </c>
    </row>
    <row r="839" spans="1:20" x14ac:dyDescent="0.25">
      <c r="A839" s="5">
        <v>43754</v>
      </c>
      <c r="B839">
        <v>2.9620000000000002</v>
      </c>
      <c r="C839">
        <v>2.9849999999999999</v>
      </c>
      <c r="D839">
        <v>2.8450000000000002</v>
      </c>
      <c r="E839">
        <v>2.9241000000000001</v>
      </c>
      <c r="F839">
        <v>6030571.3700000001</v>
      </c>
      <c r="G839">
        <v>0</v>
      </c>
      <c r="L839" t="s">
        <v>7</v>
      </c>
      <c r="M839" t="s">
        <v>8</v>
      </c>
      <c r="N839" t="s">
        <v>7</v>
      </c>
      <c r="P839">
        <f t="shared" si="1009"/>
        <v>0.13000000000000184</v>
      </c>
      <c r="Q839">
        <f t="shared" si="1010"/>
        <v>783974.27810001106</v>
      </c>
      <c r="R839">
        <f t="shared" si="1011"/>
        <v>169426516.62617224</v>
      </c>
      <c r="S839">
        <f t="shared" si="1012"/>
        <v>1694.2651662617225</v>
      </c>
      <c r="T839">
        <f t="shared" si="1013"/>
        <v>1.6942651662617225</v>
      </c>
    </row>
    <row r="840" spans="1:20" x14ac:dyDescent="0.25">
      <c r="A840" s="5">
        <v>43753</v>
      </c>
      <c r="B840">
        <v>3.1631999999999998</v>
      </c>
      <c r="C840">
        <v>3.1707000000000001</v>
      </c>
      <c r="D840">
        <v>2.8058000000000001</v>
      </c>
      <c r="E840">
        <v>2.9619</v>
      </c>
      <c r="F840">
        <v>8486873.6500000004</v>
      </c>
      <c r="G840">
        <v>0</v>
      </c>
      <c r="L840" t="s">
        <v>7</v>
      </c>
      <c r="M840" t="s">
        <v>8</v>
      </c>
      <c r="N840" t="s">
        <v>7</v>
      </c>
      <c r="P840">
        <f t="shared" si="1009"/>
        <v>-0.1444231296245552</v>
      </c>
      <c r="Q840">
        <f t="shared" si="1010"/>
        <v>-1225700.8532611718</v>
      </c>
      <c r="R840">
        <f t="shared" si="1011"/>
        <v>168642542.34807223</v>
      </c>
      <c r="S840">
        <f t="shared" si="1012"/>
        <v>1686.4254234807222</v>
      </c>
      <c r="T840">
        <f t="shared" si="1013"/>
        <v>1.6864254234807221</v>
      </c>
    </row>
    <row r="841" spans="1:20" x14ac:dyDescent="0.25">
      <c r="A841" s="5">
        <v>43752</v>
      </c>
      <c r="B841">
        <v>3.1017000000000001</v>
      </c>
      <c r="C841">
        <v>3.2</v>
      </c>
      <c r="D841">
        <v>3.0903</v>
      </c>
      <c r="E841">
        <v>3.1634000000000002</v>
      </c>
      <c r="F841">
        <v>5222661.53</v>
      </c>
      <c r="G841">
        <v>0</v>
      </c>
      <c r="L841" t="s">
        <v>7</v>
      </c>
      <c r="M841" t="s">
        <v>8</v>
      </c>
      <c r="N841" t="s">
        <v>7</v>
      </c>
      <c r="P841">
        <f t="shared" si="1009"/>
        <v>0.33272561531449552</v>
      </c>
      <c r="Q841">
        <f t="shared" si="1010"/>
        <v>1737713.2711485946</v>
      </c>
      <c r="R841">
        <f t="shared" si="1011"/>
        <v>169868243.2013334</v>
      </c>
      <c r="S841">
        <f t="shared" si="1012"/>
        <v>1698.6824320133339</v>
      </c>
      <c r="T841">
        <f t="shared" si="1013"/>
        <v>1.698682432013334</v>
      </c>
    </row>
    <row r="842" spans="1:20" x14ac:dyDescent="0.25">
      <c r="A842" s="5">
        <v>43751</v>
      </c>
      <c r="B842">
        <v>3.0644999999999998</v>
      </c>
      <c r="C842">
        <v>3.1372</v>
      </c>
      <c r="D842">
        <v>3.0388999999999999</v>
      </c>
      <c r="E842">
        <v>3.1027</v>
      </c>
      <c r="F842">
        <v>4323540.8899999997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0.29806714140386659</v>
      </c>
      <c r="Q842">
        <f t="shared" si="1010"/>
        <v>1288705.4738250291</v>
      </c>
      <c r="R842">
        <f t="shared" si="1011"/>
        <v>168130529.93018481</v>
      </c>
      <c r="S842">
        <f t="shared" si="1012"/>
        <v>1681.3052993018482</v>
      </c>
      <c r="T842">
        <f t="shared" si="1013"/>
        <v>1.6813052993018482</v>
      </c>
    </row>
    <row r="843" spans="1:20" x14ac:dyDescent="0.25">
      <c r="A843" s="5">
        <v>43750</v>
      </c>
      <c r="B843">
        <v>3.0600999999999998</v>
      </c>
      <c r="C843">
        <v>3.1463999999999999</v>
      </c>
      <c r="D843">
        <v>3.0373000000000001</v>
      </c>
      <c r="E843">
        <v>3.0655000000000001</v>
      </c>
      <c r="F843">
        <v>4917439.38</v>
      </c>
      <c r="G843">
        <v>0</v>
      </c>
      <c r="L843" t="s">
        <v>7</v>
      </c>
      <c r="M843" t="s">
        <v>8</v>
      </c>
      <c r="N843" t="s">
        <v>7</v>
      </c>
      <c r="P843">
        <f t="shared" si="1009"/>
        <v>-0.48304307974335348</v>
      </c>
      <c r="Q843">
        <f t="shared" si="1010"/>
        <v>-2375335.0625664466</v>
      </c>
      <c r="R843">
        <f t="shared" si="1011"/>
        <v>166841824.45635977</v>
      </c>
      <c r="S843">
        <f t="shared" si="1012"/>
        <v>1668.4182445635977</v>
      </c>
      <c r="T843">
        <f t="shared" si="1013"/>
        <v>1.6684182445635978</v>
      </c>
    </row>
    <row r="844" spans="1:20" x14ac:dyDescent="0.25">
      <c r="A844" s="5">
        <v>43749</v>
      </c>
      <c r="B844">
        <v>3.1057000000000001</v>
      </c>
      <c r="C844">
        <v>3.2</v>
      </c>
      <c r="D844">
        <v>3.0270000000000001</v>
      </c>
      <c r="E844">
        <v>3.0594000000000001</v>
      </c>
      <c r="F844">
        <v>8675517.9700000007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-0.62543352601156099</v>
      </c>
      <c r="Q844">
        <f t="shared" si="1010"/>
        <v>-5425959.7939537605</v>
      </c>
      <c r="R844">
        <f t="shared" si="1011"/>
        <v>169217159.51892623</v>
      </c>
      <c r="S844">
        <f t="shared" si="1012"/>
        <v>1692.1715951892622</v>
      </c>
      <c r="T844">
        <f t="shared" si="1013"/>
        <v>1.6921715951892622</v>
      </c>
    </row>
    <row r="845" spans="1:20" x14ac:dyDescent="0.25">
      <c r="A845" s="5">
        <v>43748</v>
      </c>
      <c r="B845">
        <v>3.2332999999999998</v>
      </c>
      <c r="C845">
        <v>3.2452999999999999</v>
      </c>
      <c r="D845">
        <v>3.0244</v>
      </c>
      <c r="E845">
        <v>3.1053000000000002</v>
      </c>
      <c r="F845">
        <v>7473057.6100000003</v>
      </c>
      <c r="G845">
        <v>0</v>
      </c>
      <c r="L845" t="s">
        <v>7</v>
      </c>
      <c r="M845" t="s">
        <v>8</v>
      </c>
      <c r="N845" t="s">
        <v>7</v>
      </c>
      <c r="P845">
        <f t="shared" si="1009"/>
        <v>-0.26754187415119746</v>
      </c>
      <c r="Q845">
        <f t="shared" si="1010"/>
        <v>-1999355.8386192685</v>
      </c>
      <c r="R845">
        <f t="shared" si="1011"/>
        <v>174643119.31287998</v>
      </c>
      <c r="S845">
        <f t="shared" si="1012"/>
        <v>1746.4311931287998</v>
      </c>
      <c r="T845">
        <f t="shared" si="1013"/>
        <v>1.7464311931287999</v>
      </c>
    </row>
    <row r="846" spans="1:20" x14ac:dyDescent="0.25">
      <c r="A846" s="5">
        <v>43747</v>
      </c>
      <c r="B846">
        <v>3.1568000000000001</v>
      </c>
      <c r="C846">
        <v>3.31</v>
      </c>
      <c r="D846">
        <v>3.1095999999999999</v>
      </c>
      <c r="E846">
        <v>3.2351000000000001</v>
      </c>
      <c r="F846">
        <v>8251520.04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0.25249500998004076</v>
      </c>
      <c r="Q846">
        <f t="shared" si="1010"/>
        <v>2083467.6348503064</v>
      </c>
      <c r="R846">
        <f t="shared" si="1011"/>
        <v>176642475.15149924</v>
      </c>
      <c r="S846">
        <f t="shared" si="1012"/>
        <v>1766.4247515149925</v>
      </c>
      <c r="T846">
        <f t="shared" si="1013"/>
        <v>1.7664247515149925</v>
      </c>
    </row>
    <row r="847" spans="1:20" x14ac:dyDescent="0.25">
      <c r="A847" s="5">
        <v>43746</v>
      </c>
      <c r="B847">
        <v>3.1764999999999999</v>
      </c>
      <c r="C847">
        <v>3.2496</v>
      </c>
      <c r="D847">
        <v>3.1055999999999999</v>
      </c>
      <c r="E847">
        <v>3.1577000000000002</v>
      </c>
      <c r="F847">
        <v>4984869.8600000003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-0.27638888888888596</v>
      </c>
      <c r="Q847">
        <f t="shared" si="1010"/>
        <v>-1377762.6418610967</v>
      </c>
      <c r="R847">
        <f t="shared" si="1011"/>
        <v>174559007.51664895</v>
      </c>
      <c r="S847">
        <f t="shared" si="1012"/>
        <v>1745.5900751664894</v>
      </c>
      <c r="T847">
        <f t="shared" si="1013"/>
        <v>1.7455900751664895</v>
      </c>
    </row>
    <row r="848" spans="1:20" x14ac:dyDescent="0.25">
      <c r="A848" s="5">
        <v>43745</v>
      </c>
      <c r="B848">
        <v>2.9066999999999998</v>
      </c>
      <c r="C848">
        <v>3.2559</v>
      </c>
      <c r="D848">
        <v>2.8934000000000002</v>
      </c>
      <c r="E848">
        <v>3.1758999999999999</v>
      </c>
      <c r="F848">
        <v>9853859.2699999996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0.55862068965517175</v>
      </c>
      <c r="Q848">
        <f t="shared" si="1010"/>
        <v>5504569.6611724067</v>
      </c>
      <c r="R848">
        <f t="shared" si="1011"/>
        <v>175936770.15851006</v>
      </c>
      <c r="S848">
        <f t="shared" si="1012"/>
        <v>1759.3677015851006</v>
      </c>
      <c r="T848">
        <f t="shared" si="1013"/>
        <v>1.7593677015851006</v>
      </c>
    </row>
    <row r="849" spans="1:20" x14ac:dyDescent="0.25">
      <c r="A849" s="5">
        <v>43744</v>
      </c>
      <c r="B849">
        <v>2.9897999999999998</v>
      </c>
      <c r="C849">
        <v>2.9977999999999998</v>
      </c>
      <c r="D849">
        <v>2.8450000000000002</v>
      </c>
      <c r="E849">
        <v>2.9058000000000002</v>
      </c>
      <c r="F849">
        <v>4576544.17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-0.20418848167539105</v>
      </c>
      <c r="Q849">
        <f t="shared" si="1010"/>
        <v>-934477.60539266269</v>
      </c>
      <c r="R849">
        <f t="shared" si="1011"/>
        <v>170432200.49733764</v>
      </c>
      <c r="S849">
        <f t="shared" si="1012"/>
        <v>1704.3220049733764</v>
      </c>
      <c r="T849">
        <f t="shared" si="1013"/>
        <v>1.7043220049733763</v>
      </c>
    </row>
    <row r="850" spans="1:20" x14ac:dyDescent="0.25">
      <c r="A850" s="5">
        <v>43743</v>
      </c>
      <c r="B850">
        <v>3.0002</v>
      </c>
      <c r="C850">
        <v>3.0396000000000001</v>
      </c>
      <c r="D850">
        <v>2.9188000000000001</v>
      </c>
      <c r="E850">
        <v>2.9874999999999998</v>
      </c>
      <c r="F850">
        <v>4335884.8499999996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0.13741721854304223</v>
      </c>
      <c r="Q850">
        <f t="shared" si="1010"/>
        <v>595825.23600991582</v>
      </c>
      <c r="R850">
        <f t="shared" si="1011"/>
        <v>171366678.1027303</v>
      </c>
      <c r="S850">
        <f t="shared" si="1012"/>
        <v>1713.6667810273029</v>
      </c>
      <c r="T850">
        <f t="shared" si="1013"/>
        <v>1.713666781027303</v>
      </c>
    </row>
    <row r="851" spans="1:20" x14ac:dyDescent="0.25">
      <c r="A851" s="5">
        <v>43742</v>
      </c>
      <c r="B851">
        <v>2.9268999999999998</v>
      </c>
      <c r="C851">
        <v>3.0847000000000002</v>
      </c>
      <c r="D851">
        <v>2.8650000000000002</v>
      </c>
      <c r="E851">
        <v>3.0017999999999998</v>
      </c>
      <c r="F851">
        <v>5857503.2599999998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0.24533454710969127</v>
      </c>
      <c r="Q851">
        <f t="shared" si="1010"/>
        <v>1437047.9094856402</v>
      </c>
      <c r="R851">
        <f t="shared" si="1011"/>
        <v>170770852.86672038</v>
      </c>
      <c r="S851">
        <f t="shared" si="1012"/>
        <v>1707.7085286672038</v>
      </c>
      <c r="T851">
        <f t="shared" si="1013"/>
        <v>1.7077085286672038</v>
      </c>
    </row>
    <row r="852" spans="1:20" x14ac:dyDescent="0.25">
      <c r="A852" s="5">
        <v>43741</v>
      </c>
      <c r="B852">
        <v>3.0007999999999999</v>
      </c>
      <c r="C852">
        <v>3.0143</v>
      </c>
      <c r="D852">
        <v>2.81</v>
      </c>
      <c r="E852">
        <v>2.927</v>
      </c>
      <c r="F852">
        <v>4676899.6900000004</v>
      </c>
      <c r="G852">
        <v>0</v>
      </c>
      <c r="L852" t="s">
        <v>7</v>
      </c>
      <c r="M852" t="s">
        <v>8</v>
      </c>
      <c r="N852" t="s">
        <v>7</v>
      </c>
      <c r="P852">
        <f t="shared" si="1009"/>
        <v>0.1453744493392074</v>
      </c>
      <c r="Q852">
        <f t="shared" si="1010"/>
        <v>679901.7170484598</v>
      </c>
      <c r="R852">
        <f t="shared" si="1011"/>
        <v>169333804.95723474</v>
      </c>
      <c r="S852">
        <f t="shared" si="1012"/>
        <v>1693.3380495723475</v>
      </c>
      <c r="T852">
        <f t="shared" si="1013"/>
        <v>1.6933380495723476</v>
      </c>
    </row>
    <row r="853" spans="1:20" x14ac:dyDescent="0.25">
      <c r="A853" s="5">
        <v>43740</v>
      </c>
      <c r="B853">
        <v>2.9339</v>
      </c>
      <c r="C853">
        <v>3.0394000000000001</v>
      </c>
      <c r="D853">
        <v>2.8847</v>
      </c>
      <c r="E853">
        <v>3.0007999999999999</v>
      </c>
      <c r="F853">
        <v>4433582.55</v>
      </c>
      <c r="G853">
        <v>0</v>
      </c>
      <c r="L853" t="s">
        <v>7</v>
      </c>
      <c r="M853" t="s">
        <v>8</v>
      </c>
      <c r="N853" t="s">
        <v>7</v>
      </c>
      <c r="P853">
        <f t="shared" si="1009"/>
        <v>0.50096961861667522</v>
      </c>
      <c r="Q853">
        <f t="shared" si="1010"/>
        <v>2221090.1591790463</v>
      </c>
      <c r="R853">
        <f t="shared" si="1011"/>
        <v>168653903.24018627</v>
      </c>
      <c r="S853">
        <f t="shared" si="1012"/>
        <v>1686.5390324018626</v>
      </c>
      <c r="T853">
        <f t="shared" si="1013"/>
        <v>1.6865390324018625</v>
      </c>
    </row>
    <row r="854" spans="1:20" x14ac:dyDescent="0.25">
      <c r="A854" s="5">
        <v>43739</v>
      </c>
      <c r="B854">
        <v>2.9636</v>
      </c>
      <c r="C854">
        <v>3.1213000000000002</v>
      </c>
      <c r="D854">
        <v>2.8536000000000001</v>
      </c>
      <c r="E854">
        <v>2.9357000000000002</v>
      </c>
      <c r="F854">
        <v>9222307.1199999992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-0.38662682106835977</v>
      </c>
      <c r="Q854">
        <f t="shared" si="1010"/>
        <v>-3565591.2847217</v>
      </c>
      <c r="R854">
        <f t="shared" si="1011"/>
        <v>166432813.08100724</v>
      </c>
      <c r="S854">
        <f t="shared" si="1012"/>
        <v>1664.3281308100725</v>
      </c>
      <c r="T854">
        <f t="shared" si="1013"/>
        <v>1.6643281308100726</v>
      </c>
    </row>
    <row r="855" spans="1:20" x14ac:dyDescent="0.25">
      <c r="A855" s="5">
        <v>43738</v>
      </c>
      <c r="B855">
        <v>2.7780999999999998</v>
      </c>
      <c r="C855">
        <v>3.0335000000000001</v>
      </c>
      <c r="D855">
        <v>2.7183000000000002</v>
      </c>
      <c r="E855">
        <v>2.9636</v>
      </c>
      <c r="F855">
        <v>8137510.21</v>
      </c>
      <c r="G855">
        <v>0</v>
      </c>
      <c r="L855" t="s">
        <v>8</v>
      </c>
      <c r="M855" t="s">
        <v>8</v>
      </c>
      <c r="N855" t="s">
        <v>7</v>
      </c>
      <c r="P855">
        <f t="shared" si="1009"/>
        <v>0.55647208121827352</v>
      </c>
      <c r="Q855">
        <f t="shared" si="1010"/>
        <v>4528297.2424936499</v>
      </c>
      <c r="R855">
        <f t="shared" si="1011"/>
        <v>169998404.36572894</v>
      </c>
      <c r="S855">
        <f t="shared" si="1012"/>
        <v>1699.9840436572895</v>
      </c>
      <c r="T855">
        <f t="shared" si="1013"/>
        <v>1.6999840436572895</v>
      </c>
    </row>
    <row r="856" spans="1:20" x14ac:dyDescent="0.25">
      <c r="A856" s="5">
        <v>43737</v>
      </c>
      <c r="B856">
        <v>2.8289</v>
      </c>
      <c r="C856">
        <v>2.8403</v>
      </c>
      <c r="D856">
        <v>2.6709999999999998</v>
      </c>
      <c r="E856">
        <v>2.7778999999999998</v>
      </c>
      <c r="F856">
        <v>4952077.37</v>
      </c>
      <c r="G856">
        <v>0</v>
      </c>
      <c r="L856" t="s">
        <v>7</v>
      </c>
      <c r="M856" t="s">
        <v>8</v>
      </c>
      <c r="N856" t="s">
        <v>7</v>
      </c>
      <c r="P856">
        <f t="shared" si="1009"/>
        <v>0.26284701712935443</v>
      </c>
      <c r="Q856">
        <f t="shared" si="1010"/>
        <v>1301638.7652982785</v>
      </c>
      <c r="R856">
        <f t="shared" si="1011"/>
        <v>165470107.12323529</v>
      </c>
      <c r="S856">
        <f t="shared" si="1012"/>
        <v>1654.7010712323529</v>
      </c>
      <c r="T856">
        <f t="shared" si="1013"/>
        <v>1.6547010712323529</v>
      </c>
    </row>
    <row r="857" spans="1:20" x14ac:dyDescent="0.25">
      <c r="A857" s="5">
        <v>43736</v>
      </c>
      <c r="B857">
        <v>2.8296000000000001</v>
      </c>
      <c r="C857">
        <v>2.8713000000000002</v>
      </c>
      <c r="D857">
        <v>2.7736999999999998</v>
      </c>
      <c r="E857">
        <v>2.8290999999999999</v>
      </c>
      <c r="F857">
        <v>5051505</v>
      </c>
      <c r="G857">
        <v>0</v>
      </c>
      <c r="L857" t="s">
        <v>8</v>
      </c>
      <c r="M857" t="s">
        <v>8</v>
      </c>
      <c r="N857" t="s">
        <v>7</v>
      </c>
      <c r="P857">
        <f t="shared" si="1009"/>
        <v>0.13524590163934253</v>
      </c>
      <c r="Q857">
        <f t="shared" si="1010"/>
        <v>683195.34836064698</v>
      </c>
      <c r="R857">
        <f t="shared" si="1011"/>
        <v>164168468.35793701</v>
      </c>
      <c r="S857">
        <f t="shared" si="1012"/>
        <v>1641.6846835793701</v>
      </c>
      <c r="T857">
        <f t="shared" si="1013"/>
        <v>1.6416846835793701</v>
      </c>
    </row>
    <row r="858" spans="1:20" x14ac:dyDescent="0.25">
      <c r="A858" s="5">
        <v>43735</v>
      </c>
      <c r="B858">
        <v>2.7814999999999999</v>
      </c>
      <c r="C858">
        <v>2.8835000000000002</v>
      </c>
      <c r="D858">
        <v>2.6859999999999999</v>
      </c>
      <c r="E858">
        <v>2.8296999999999999</v>
      </c>
      <c r="F858">
        <v>10140083.140000001</v>
      </c>
      <c r="G858">
        <v>0</v>
      </c>
      <c r="L858" t="s">
        <v>8</v>
      </c>
      <c r="M858" t="s">
        <v>8</v>
      </c>
      <c r="N858" t="s">
        <v>7</v>
      </c>
      <c r="P858">
        <f t="shared" si="1009"/>
        <v>0.45518987341771922</v>
      </c>
      <c r="Q858">
        <f t="shared" si="1010"/>
        <v>4615663.1609417489</v>
      </c>
      <c r="R858">
        <f t="shared" si="1011"/>
        <v>163485273.00957635</v>
      </c>
      <c r="S858">
        <f t="shared" si="1012"/>
        <v>1634.8527300957635</v>
      </c>
      <c r="T858">
        <f t="shared" si="1013"/>
        <v>1.6348527300957636</v>
      </c>
    </row>
    <row r="859" spans="1:20" x14ac:dyDescent="0.25">
      <c r="A859" s="5">
        <v>43734</v>
      </c>
      <c r="B859">
        <v>2.8689</v>
      </c>
      <c r="C859">
        <v>2.8696999999999999</v>
      </c>
      <c r="D859">
        <v>2.5880999999999998</v>
      </c>
      <c r="E859">
        <v>2.7812000000000001</v>
      </c>
      <c r="F859">
        <v>19015915.91</v>
      </c>
      <c r="G859">
        <v>0</v>
      </c>
      <c r="L859" t="s">
        <v>7</v>
      </c>
      <c r="M859" t="s">
        <v>8</v>
      </c>
      <c r="N859" t="s">
        <v>7</v>
      </c>
      <c r="P859">
        <f t="shared" si="1009"/>
        <v>0.3714488636363652</v>
      </c>
      <c r="Q859">
        <f t="shared" si="1010"/>
        <v>7063440.3557741772</v>
      </c>
      <c r="R859">
        <f t="shared" si="1011"/>
        <v>158869609.8486346</v>
      </c>
      <c r="S859">
        <f t="shared" si="1012"/>
        <v>1588.696098486346</v>
      </c>
      <c r="T859">
        <f t="shared" si="1013"/>
        <v>1.5886960984863461</v>
      </c>
    </row>
    <row r="860" spans="1:20" x14ac:dyDescent="0.25">
      <c r="A860" s="5">
        <v>43733</v>
      </c>
      <c r="B860">
        <v>2.7625000000000002</v>
      </c>
      <c r="C860">
        <v>2.9826999999999999</v>
      </c>
      <c r="D860">
        <v>2.6886000000000001</v>
      </c>
      <c r="E860">
        <v>2.8662999999999998</v>
      </c>
      <c r="F860">
        <v>22387190.170000002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0.20843250595035609</v>
      </c>
      <c r="Q860">
        <f t="shared" si="1010"/>
        <v>4666218.1483202791</v>
      </c>
      <c r="R860">
        <f t="shared" si="1011"/>
        <v>151806169.49286044</v>
      </c>
      <c r="S860">
        <f t="shared" si="1012"/>
        <v>1518.0616949286043</v>
      </c>
      <c r="T860">
        <f t="shared" si="1013"/>
        <v>1.5180616949286043</v>
      </c>
    </row>
    <row r="861" spans="1:20" x14ac:dyDescent="0.25">
      <c r="A861" s="5">
        <v>43732</v>
      </c>
      <c r="B861">
        <v>3.6905999999999999</v>
      </c>
      <c r="C861">
        <v>3.7216</v>
      </c>
      <c r="D861">
        <v>2.4211999999999998</v>
      </c>
      <c r="E861">
        <v>2.7622</v>
      </c>
      <c r="F861">
        <v>38228548.579999998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-0.47554598585050734</v>
      </c>
      <c r="Q861">
        <f t="shared" si="1010"/>
        <v>-18179432.822110113</v>
      </c>
      <c r="R861">
        <f t="shared" si="1011"/>
        <v>147139951.34454015</v>
      </c>
      <c r="S861">
        <f t="shared" si="1012"/>
        <v>1471.3995134454015</v>
      </c>
      <c r="T861">
        <f t="shared" si="1013"/>
        <v>1.4713995134454014</v>
      </c>
    </row>
    <row r="862" spans="1:20" x14ac:dyDescent="0.25">
      <c r="A862" s="5">
        <v>43731</v>
      </c>
      <c r="B862">
        <v>3.8121999999999998</v>
      </c>
      <c r="C862">
        <v>3.8778000000000001</v>
      </c>
      <c r="D862">
        <v>3.6587999999999998</v>
      </c>
      <c r="E862">
        <v>3.6922999999999999</v>
      </c>
      <c r="F862">
        <v>6158951.6699999999</v>
      </c>
      <c r="G862">
        <v>0</v>
      </c>
      <c r="L862" t="s">
        <v>7</v>
      </c>
      <c r="M862" t="s">
        <v>8</v>
      </c>
      <c r="N862" t="s">
        <v>8</v>
      </c>
      <c r="P862">
        <f t="shared" si="1009"/>
        <v>-0.6940639269406389</v>
      </c>
      <c r="Q862">
        <f t="shared" si="1010"/>
        <v>-4274706.1819178062</v>
      </c>
      <c r="R862">
        <f t="shared" si="1011"/>
        <v>165319384.16665027</v>
      </c>
      <c r="S862">
        <f t="shared" si="1012"/>
        <v>1653.1938416665027</v>
      </c>
      <c r="T862">
        <f t="shared" si="1013"/>
        <v>1.6531938416665029</v>
      </c>
    </row>
    <row r="863" spans="1:20" x14ac:dyDescent="0.25">
      <c r="A863" s="5">
        <v>43730</v>
      </c>
      <c r="B863">
        <v>3.9982000000000002</v>
      </c>
      <c r="C863">
        <v>4.0075000000000003</v>
      </c>
      <c r="D863">
        <v>3.7120000000000002</v>
      </c>
      <c r="E863">
        <v>3.8121999999999998</v>
      </c>
      <c r="F863">
        <v>4716951.93</v>
      </c>
      <c r="G863">
        <v>0</v>
      </c>
      <c r="L863" t="s">
        <v>7</v>
      </c>
      <c r="M863" t="s">
        <v>8</v>
      </c>
      <c r="N863" t="s">
        <v>8</v>
      </c>
      <c r="P863">
        <f t="shared" si="1009"/>
        <v>-0.32182741116751545</v>
      </c>
      <c r="Q863">
        <f t="shared" si="1010"/>
        <v>-1518044.4282335155</v>
      </c>
      <c r="R863">
        <f t="shared" si="1011"/>
        <v>169594090.34856808</v>
      </c>
      <c r="S863">
        <f t="shared" si="1012"/>
        <v>1695.9409034856808</v>
      </c>
      <c r="T863">
        <f t="shared" si="1013"/>
        <v>1.6959409034856807</v>
      </c>
    </row>
    <row r="864" spans="1:20" x14ac:dyDescent="0.25">
      <c r="A864" s="5">
        <v>43729</v>
      </c>
      <c r="B864">
        <v>4.0099</v>
      </c>
      <c r="C864">
        <v>4.0731000000000002</v>
      </c>
      <c r="D864">
        <v>3.9525999999999999</v>
      </c>
      <c r="E864">
        <v>3.9990000000000001</v>
      </c>
      <c r="F864">
        <v>4953569.9800000004</v>
      </c>
      <c r="G864">
        <v>0</v>
      </c>
      <c r="L864" t="s">
        <v>7</v>
      </c>
      <c r="M864" t="s">
        <v>8</v>
      </c>
      <c r="N864" t="s">
        <v>8</v>
      </c>
      <c r="P864">
        <f t="shared" si="1009"/>
        <v>-0.2298755186721973</v>
      </c>
      <c r="Q864">
        <f t="shared" si="1010"/>
        <v>-1138704.4684315261</v>
      </c>
      <c r="R864">
        <f t="shared" si="1011"/>
        <v>171112134.77680159</v>
      </c>
      <c r="S864">
        <f t="shared" si="1012"/>
        <v>1711.1213477680158</v>
      </c>
      <c r="T864">
        <f t="shared" si="1013"/>
        <v>1.7111213477680158</v>
      </c>
    </row>
    <row r="865" spans="1:20" x14ac:dyDescent="0.25">
      <c r="A865" s="5">
        <v>43728</v>
      </c>
      <c r="B865">
        <v>3.9575</v>
      </c>
      <c r="C865">
        <v>4.0380000000000003</v>
      </c>
      <c r="D865">
        <v>3.827</v>
      </c>
      <c r="E865">
        <v>4.01</v>
      </c>
      <c r="F865">
        <v>4574181.28</v>
      </c>
      <c r="G865">
        <v>0</v>
      </c>
      <c r="L865" t="s">
        <v>7</v>
      </c>
      <c r="M865" t="s">
        <v>8</v>
      </c>
      <c r="N865" t="s">
        <v>8</v>
      </c>
      <c r="P865">
        <f t="shared" si="1009"/>
        <v>0.73459715639810019</v>
      </c>
      <c r="Q865">
        <f t="shared" si="1010"/>
        <v>3360180.5611374225</v>
      </c>
      <c r="R865">
        <f t="shared" si="1011"/>
        <v>172250839.24523312</v>
      </c>
      <c r="S865">
        <f t="shared" si="1012"/>
        <v>1722.5083924523312</v>
      </c>
      <c r="T865">
        <f t="shared" si="1013"/>
        <v>1.7225083924523312</v>
      </c>
    </row>
    <row r="866" spans="1:20" x14ac:dyDescent="0.25">
      <c r="A866" s="5">
        <v>43727</v>
      </c>
      <c r="B866">
        <v>4.0787000000000004</v>
      </c>
      <c r="C866">
        <v>4.0872999999999999</v>
      </c>
      <c r="D866">
        <v>3.8052999999999999</v>
      </c>
      <c r="E866">
        <v>3.9582000000000002</v>
      </c>
      <c r="F866">
        <v>8883092.9600000009</v>
      </c>
      <c r="G866">
        <v>0</v>
      </c>
      <c r="L866" t="s">
        <v>7</v>
      </c>
      <c r="M866" t="s">
        <v>8</v>
      </c>
      <c r="N866" t="s">
        <v>8</v>
      </c>
      <c r="P866">
        <f t="shared" si="1009"/>
        <v>8.4397163120569094E-2</v>
      </c>
      <c r="Q866">
        <f t="shared" si="1010"/>
        <v>749707.845560299</v>
      </c>
      <c r="R866">
        <f t="shared" si="1011"/>
        <v>168890658.68409571</v>
      </c>
      <c r="S866">
        <f t="shared" si="1012"/>
        <v>1688.9065868409571</v>
      </c>
      <c r="T866">
        <f t="shared" si="1013"/>
        <v>1.688906586840957</v>
      </c>
    </row>
    <row r="867" spans="1:20" x14ac:dyDescent="0.25">
      <c r="A867" s="5">
        <v>43726</v>
      </c>
      <c r="B867">
        <v>4.0614999999999997</v>
      </c>
      <c r="C867">
        <v>4.1692999999999998</v>
      </c>
      <c r="D867">
        <v>4.0449000000000002</v>
      </c>
      <c r="E867">
        <v>4.0781999999999998</v>
      </c>
      <c r="F867">
        <v>7001976.54</v>
      </c>
      <c r="G867">
        <v>0</v>
      </c>
      <c r="L867" t="s">
        <v>8</v>
      </c>
      <c r="M867" t="s">
        <v>8</v>
      </c>
      <c r="N867" t="s">
        <v>8</v>
      </c>
      <c r="P867">
        <f t="shared" si="1009"/>
        <v>-0.46463022508038965</v>
      </c>
      <c r="Q867">
        <f t="shared" si="1010"/>
        <v>-3253329.9357878082</v>
      </c>
      <c r="R867">
        <f t="shared" si="1011"/>
        <v>168140950.8385354</v>
      </c>
      <c r="S867">
        <f t="shared" si="1012"/>
        <v>1681.409508385354</v>
      </c>
      <c r="T867">
        <f t="shared" si="1013"/>
        <v>1.681409508385354</v>
      </c>
    </row>
    <row r="868" spans="1:20" x14ac:dyDescent="0.25">
      <c r="A868" s="5">
        <v>43725</v>
      </c>
      <c r="B868">
        <v>4.0815999999999999</v>
      </c>
      <c r="C868">
        <v>4.2340999999999998</v>
      </c>
      <c r="D868">
        <v>4.0170000000000003</v>
      </c>
      <c r="E868">
        <v>4.0640999999999998</v>
      </c>
      <c r="F868">
        <v>7723520.5300000003</v>
      </c>
      <c r="G868">
        <v>0</v>
      </c>
      <c r="L868" t="s">
        <v>8</v>
      </c>
      <c r="M868" t="s">
        <v>8</v>
      </c>
      <c r="N868" t="s">
        <v>8</v>
      </c>
      <c r="P868">
        <f t="shared" si="1009"/>
        <v>-0.56609857208659964</v>
      </c>
      <c r="Q868">
        <f t="shared" si="1010"/>
        <v>-4372273.9435145371</v>
      </c>
      <c r="R868">
        <f t="shared" si="1011"/>
        <v>171394280.7743232</v>
      </c>
      <c r="S868">
        <f t="shared" si="1012"/>
        <v>1713.9428077432319</v>
      </c>
      <c r="T868">
        <f t="shared" si="1013"/>
        <v>1.7139428077432319</v>
      </c>
    </row>
    <row r="869" spans="1:20" x14ac:dyDescent="0.25">
      <c r="A869" s="5">
        <v>43724</v>
      </c>
      <c r="B869">
        <v>4.0744999999999996</v>
      </c>
      <c r="C869">
        <v>4.1494</v>
      </c>
      <c r="D869">
        <v>3.9359999999999999</v>
      </c>
      <c r="E869">
        <v>4.0827</v>
      </c>
      <c r="F869">
        <v>7717813.7300000004</v>
      </c>
      <c r="G869">
        <v>0</v>
      </c>
      <c r="L869" t="s">
        <v>8</v>
      </c>
      <c r="M869" t="s">
        <v>8</v>
      </c>
      <c r="N869" t="s">
        <v>7</v>
      </c>
      <c r="P869">
        <f t="shared" si="1009"/>
        <v>0.37488284910965353</v>
      </c>
      <c r="Q869">
        <f t="shared" si="1010"/>
        <v>2893276.0000000023</v>
      </c>
      <c r="R869">
        <f t="shared" si="1011"/>
        <v>175766554.71783772</v>
      </c>
      <c r="S869">
        <f t="shared" si="1012"/>
        <v>1757.6655471783772</v>
      </c>
      <c r="T869">
        <f t="shared" si="1013"/>
        <v>1.7576655471783773</v>
      </c>
    </row>
    <row r="870" spans="1:20" x14ac:dyDescent="0.25">
      <c r="A870" s="5">
        <v>43723</v>
      </c>
      <c r="B870">
        <v>4.0210999999999997</v>
      </c>
      <c r="C870">
        <v>4.1500000000000004</v>
      </c>
      <c r="D870">
        <v>4</v>
      </c>
      <c r="E870">
        <v>4.0762999999999998</v>
      </c>
      <c r="F870">
        <v>5968283.0300000003</v>
      </c>
      <c r="G870">
        <v>0</v>
      </c>
      <c r="L870" t="s">
        <v>8</v>
      </c>
      <c r="M870" t="s">
        <v>8</v>
      </c>
      <c r="N870" t="s">
        <v>7</v>
      </c>
      <c r="P870">
        <f t="shared" si="1009"/>
        <v>1.7333333333328423E-2</v>
      </c>
      <c r="Q870">
        <f t="shared" si="1010"/>
        <v>103450.23918663737</v>
      </c>
      <c r="R870">
        <f t="shared" si="1011"/>
        <v>172873278.71783772</v>
      </c>
      <c r="S870">
        <f t="shared" si="1012"/>
        <v>1728.7327871783773</v>
      </c>
      <c r="T870">
        <f t="shared" si="1013"/>
        <v>1.7287327871783773</v>
      </c>
    </row>
    <row r="871" spans="1:20" x14ac:dyDescent="0.25">
      <c r="A871" s="5">
        <v>43722</v>
      </c>
      <c r="B871">
        <v>3.7216</v>
      </c>
      <c r="C871">
        <v>4.0999999999999996</v>
      </c>
      <c r="D871">
        <v>3.6844999999999999</v>
      </c>
      <c r="E871">
        <v>4.0209000000000001</v>
      </c>
      <c r="F871">
        <v>7865089.4800000004</v>
      </c>
      <c r="G871">
        <v>0</v>
      </c>
      <c r="L871" t="s">
        <v>8</v>
      </c>
      <c r="M871" t="s">
        <v>8</v>
      </c>
      <c r="N871" t="s">
        <v>7</v>
      </c>
      <c r="P871">
        <f t="shared" si="1009"/>
        <v>0.61925391095066407</v>
      </c>
      <c r="Q871">
        <f t="shared" si="1010"/>
        <v>4870487.420466925</v>
      </c>
      <c r="R871">
        <f t="shared" si="1011"/>
        <v>172769828.47865108</v>
      </c>
      <c r="S871">
        <f t="shared" si="1012"/>
        <v>1727.6982847865108</v>
      </c>
      <c r="T871">
        <f t="shared" si="1013"/>
        <v>1.7276982847865108</v>
      </c>
    </row>
    <row r="872" spans="1:20" x14ac:dyDescent="0.25">
      <c r="A872" s="5">
        <v>43721</v>
      </c>
      <c r="B872">
        <v>3.7410999999999999</v>
      </c>
      <c r="C872">
        <v>3.7486000000000002</v>
      </c>
      <c r="D872">
        <v>3.6707999999999998</v>
      </c>
      <c r="E872">
        <v>3.7214999999999998</v>
      </c>
      <c r="F872">
        <v>3687967.4</v>
      </c>
      <c r="G872">
        <v>0</v>
      </c>
      <c r="L872" t="s">
        <v>7</v>
      </c>
      <c r="M872" t="s">
        <v>8</v>
      </c>
      <c r="N872" t="s">
        <v>7</v>
      </c>
      <c r="P872">
        <f t="shared" si="1009"/>
        <v>0.30334190231361857</v>
      </c>
      <c r="Q872">
        <f t="shared" si="1010"/>
        <v>1118715.0467866098</v>
      </c>
      <c r="R872">
        <f t="shared" si="1011"/>
        <v>167899341.05818415</v>
      </c>
      <c r="S872">
        <f t="shared" si="1012"/>
        <v>1678.9934105818415</v>
      </c>
      <c r="T872">
        <f t="shared" si="1013"/>
        <v>1.6789934105818416</v>
      </c>
    </row>
    <row r="873" spans="1:20" x14ac:dyDescent="0.25">
      <c r="A873" s="5">
        <v>43720</v>
      </c>
      <c r="B873">
        <v>3.7519999999999998</v>
      </c>
      <c r="C873">
        <v>3.7887</v>
      </c>
      <c r="D873">
        <v>3.6680999999999999</v>
      </c>
      <c r="E873">
        <v>3.7416</v>
      </c>
      <c r="F873">
        <v>3620854.67</v>
      </c>
      <c r="G873">
        <v>0</v>
      </c>
      <c r="L873" t="s">
        <v>7</v>
      </c>
      <c r="M873" t="s">
        <v>8</v>
      </c>
      <c r="N873" t="s">
        <v>7</v>
      </c>
      <c r="P873">
        <f t="shared" si="1009"/>
        <v>0.21890547263681751</v>
      </c>
      <c r="Q873">
        <f t="shared" si="1010"/>
        <v>792624.90288557787</v>
      </c>
      <c r="R873">
        <f t="shared" si="1011"/>
        <v>166780626.01139754</v>
      </c>
      <c r="S873">
        <f t="shared" si="1012"/>
        <v>1667.8062601139754</v>
      </c>
      <c r="T873">
        <f t="shared" si="1013"/>
        <v>1.6678062601139754</v>
      </c>
    </row>
    <row r="874" spans="1:20" x14ac:dyDescent="0.25">
      <c r="A874" s="5">
        <v>43719</v>
      </c>
      <c r="B874">
        <v>3.7740999999999998</v>
      </c>
      <c r="C874">
        <v>3.8136999999999999</v>
      </c>
      <c r="D874">
        <v>3.6425000000000001</v>
      </c>
      <c r="E874">
        <v>3.7523</v>
      </c>
      <c r="F874">
        <v>6747120.2000000002</v>
      </c>
      <c r="G874">
        <v>0</v>
      </c>
      <c r="L874" t="s">
        <v>7</v>
      </c>
      <c r="M874" t="s">
        <v>8</v>
      </c>
      <c r="N874" t="s">
        <v>7</v>
      </c>
      <c r="P874">
        <f t="shared" si="1009"/>
        <v>0.28271028037383211</v>
      </c>
      <c r="Q874">
        <f t="shared" si="1010"/>
        <v>1907480.2434579462</v>
      </c>
      <c r="R874">
        <f t="shared" si="1011"/>
        <v>165988001.10851195</v>
      </c>
      <c r="S874">
        <f t="shared" si="1012"/>
        <v>1659.8800110851196</v>
      </c>
      <c r="T874">
        <f t="shared" si="1013"/>
        <v>1.6598800110851195</v>
      </c>
    </row>
    <row r="875" spans="1:20" x14ac:dyDescent="0.25">
      <c r="A875" s="5">
        <v>43718</v>
      </c>
      <c r="B875">
        <v>3.8746</v>
      </c>
      <c r="C875">
        <v>3.92</v>
      </c>
      <c r="D875">
        <v>3.6520000000000001</v>
      </c>
      <c r="E875">
        <v>3.7742</v>
      </c>
      <c r="F875">
        <v>8561940.4800000004</v>
      </c>
      <c r="G875">
        <v>0</v>
      </c>
      <c r="L875" t="s">
        <v>7</v>
      </c>
      <c r="M875" t="s">
        <v>8</v>
      </c>
      <c r="N875" t="s">
        <v>7</v>
      </c>
      <c r="P875">
        <f t="shared" si="1009"/>
        <v>-8.8059701492537626E-2</v>
      </c>
      <c r="Q875">
        <f t="shared" si="1010"/>
        <v>-753961.92286567437</v>
      </c>
      <c r="R875">
        <f t="shared" si="1011"/>
        <v>164080520.86505401</v>
      </c>
      <c r="S875">
        <f t="shared" si="1012"/>
        <v>1640.8052086505402</v>
      </c>
      <c r="T875">
        <f t="shared" si="1013"/>
        <v>1.6408052086505402</v>
      </c>
    </row>
    <row r="876" spans="1:20" x14ac:dyDescent="0.25">
      <c r="A876" s="5">
        <v>43717</v>
      </c>
      <c r="B876">
        <v>3.7816999999999998</v>
      </c>
      <c r="C876">
        <v>3.9497</v>
      </c>
      <c r="D876">
        <v>3.6095999999999999</v>
      </c>
      <c r="E876">
        <v>3.8761000000000001</v>
      </c>
      <c r="F876">
        <v>11264977.34</v>
      </c>
      <c r="G876">
        <v>0</v>
      </c>
      <c r="L876" t="s">
        <v>8</v>
      </c>
      <c r="M876" t="s">
        <v>8</v>
      </c>
      <c r="N876" t="s">
        <v>7</v>
      </c>
      <c r="P876">
        <f t="shared" si="1009"/>
        <v>0.56718612172890404</v>
      </c>
      <c r="Q876">
        <f t="shared" si="1010"/>
        <v>6389338.8088385854</v>
      </c>
      <c r="R876">
        <f t="shared" si="1011"/>
        <v>164834482.7879197</v>
      </c>
      <c r="S876">
        <f t="shared" si="1012"/>
        <v>1648.3448278791971</v>
      </c>
      <c r="T876">
        <f t="shared" si="1013"/>
        <v>1.648344827879197</v>
      </c>
    </row>
    <row r="877" spans="1:20" x14ac:dyDescent="0.25">
      <c r="A877" s="5">
        <v>43716</v>
      </c>
      <c r="B877">
        <v>3.5600999999999998</v>
      </c>
      <c r="C877">
        <v>3.8388</v>
      </c>
      <c r="D877">
        <v>3.5</v>
      </c>
      <c r="E877">
        <v>3.78</v>
      </c>
      <c r="F877">
        <v>9357345.0399999991</v>
      </c>
      <c r="G877">
        <v>0</v>
      </c>
      <c r="L877" t="s">
        <v>8</v>
      </c>
      <c r="M877" t="s">
        <v>8</v>
      </c>
      <c r="N877" t="s">
        <v>7</v>
      </c>
      <c r="P877">
        <f t="shared" si="1009"/>
        <v>0.65289256198347001</v>
      </c>
      <c r="Q877">
        <f t="shared" si="1010"/>
        <v>6109340.9765289146</v>
      </c>
      <c r="R877">
        <f t="shared" si="1011"/>
        <v>158445143.97908112</v>
      </c>
      <c r="S877">
        <f t="shared" si="1012"/>
        <v>1584.4514397908113</v>
      </c>
      <c r="T877">
        <f t="shared" si="1013"/>
        <v>1.5844514397908112</v>
      </c>
    </row>
    <row r="878" spans="1:20" x14ac:dyDescent="0.25">
      <c r="A878" s="5">
        <v>43715</v>
      </c>
      <c r="B878">
        <v>3.2107999999999999</v>
      </c>
      <c r="C878">
        <v>3.6709999999999998</v>
      </c>
      <c r="D878">
        <v>3.1919</v>
      </c>
      <c r="E878">
        <v>3.5611999999999999</v>
      </c>
      <c r="F878">
        <v>7785102.96</v>
      </c>
      <c r="G878">
        <v>0</v>
      </c>
      <c r="L878" t="s">
        <v>8</v>
      </c>
      <c r="M878" t="s">
        <v>8</v>
      </c>
      <c r="N878" t="s">
        <v>7</v>
      </c>
      <c r="P878">
        <f t="shared" si="1009"/>
        <v>0.54164057608015059</v>
      </c>
      <c r="Q878">
        <f t="shared" si="1010"/>
        <v>4216727.6520976853</v>
      </c>
      <c r="R878">
        <f t="shared" si="1011"/>
        <v>152335803.00255221</v>
      </c>
      <c r="S878">
        <f t="shared" si="1012"/>
        <v>1523.3580300255221</v>
      </c>
      <c r="T878">
        <f t="shared" si="1013"/>
        <v>1.5233580300255221</v>
      </c>
    </row>
    <row r="879" spans="1:20" x14ac:dyDescent="0.25">
      <c r="A879" s="5">
        <v>43714</v>
      </c>
      <c r="B879">
        <v>3.2654000000000001</v>
      </c>
      <c r="C879">
        <v>3.3892000000000002</v>
      </c>
      <c r="D879">
        <v>3.1</v>
      </c>
      <c r="E879">
        <v>3.2113</v>
      </c>
      <c r="F879">
        <v>5418898.4100000001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-0.23029045643153592</v>
      </c>
      <c r="Q879">
        <f t="shared" si="1010"/>
        <v>-1247920.5881950243</v>
      </c>
      <c r="R879">
        <f t="shared" si="1011"/>
        <v>148119075.35045454</v>
      </c>
      <c r="S879">
        <f t="shared" si="1012"/>
        <v>1481.1907535045455</v>
      </c>
      <c r="T879">
        <f t="shared" si="1013"/>
        <v>1.4811907535045454</v>
      </c>
    </row>
    <row r="880" spans="1:20" x14ac:dyDescent="0.25">
      <c r="A880" s="5">
        <v>43713</v>
      </c>
      <c r="B880">
        <v>3.3033999999999999</v>
      </c>
      <c r="C880">
        <v>3.3296999999999999</v>
      </c>
      <c r="D880">
        <v>3.1934999999999998</v>
      </c>
      <c r="E880">
        <v>3.2664</v>
      </c>
      <c r="F880">
        <v>2629192.77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7.048458149779932E-2</v>
      </c>
      <c r="Q880">
        <f t="shared" si="1010"/>
        <v>185317.55207048974</v>
      </c>
      <c r="R880">
        <f t="shared" si="1011"/>
        <v>149366995.93864956</v>
      </c>
      <c r="S880">
        <f t="shared" si="1012"/>
        <v>1493.6699593864957</v>
      </c>
      <c r="T880">
        <f t="shared" si="1013"/>
        <v>1.4936699593864957</v>
      </c>
    </row>
    <row r="881" spans="1:20" x14ac:dyDescent="0.25">
      <c r="A881" s="5">
        <v>43712</v>
      </c>
      <c r="B881">
        <v>3.3511000000000002</v>
      </c>
      <c r="C881">
        <v>3.3626</v>
      </c>
      <c r="D881">
        <v>3.2650000000000001</v>
      </c>
      <c r="E881">
        <v>3.3041</v>
      </c>
      <c r="F881">
        <v>2687490.42</v>
      </c>
      <c r="G881">
        <v>0</v>
      </c>
      <c r="L881" t="s">
        <v>8</v>
      </c>
      <c r="M881" t="s">
        <v>7</v>
      </c>
      <c r="N881" t="s">
        <v>7</v>
      </c>
      <c r="P881">
        <f t="shared" si="1009"/>
        <v>-0.19877049180327974</v>
      </c>
      <c r="Q881">
        <f t="shared" si="1010"/>
        <v>-534193.79250000278</v>
      </c>
      <c r="R881">
        <f t="shared" si="1011"/>
        <v>149181678.38657907</v>
      </c>
      <c r="S881">
        <f t="shared" si="1012"/>
        <v>1491.8167838657907</v>
      </c>
      <c r="T881">
        <f t="shared" si="1013"/>
        <v>1.4918167838657908</v>
      </c>
    </row>
    <row r="882" spans="1:20" x14ac:dyDescent="0.25">
      <c r="A882" s="5">
        <v>43711</v>
      </c>
      <c r="B882">
        <v>3.3188</v>
      </c>
      <c r="C882">
        <v>3.4626000000000001</v>
      </c>
      <c r="D882">
        <v>3.2864</v>
      </c>
      <c r="E882">
        <v>3.3498000000000001</v>
      </c>
      <c r="F882">
        <v>4785784.4800000004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-0.28036322360953375</v>
      </c>
      <c r="Q882">
        <f t="shared" si="1010"/>
        <v>-1341757.9643132763</v>
      </c>
      <c r="R882">
        <f t="shared" si="1011"/>
        <v>149715872.17907906</v>
      </c>
      <c r="S882">
        <f t="shared" si="1012"/>
        <v>1497.1587217907907</v>
      </c>
      <c r="T882">
        <f t="shared" si="1013"/>
        <v>1.4971587217907907</v>
      </c>
    </row>
    <row r="883" spans="1:20" x14ac:dyDescent="0.25">
      <c r="A883" s="5">
        <v>43710</v>
      </c>
      <c r="B883">
        <v>3.2572000000000001</v>
      </c>
      <c r="C883">
        <v>3.3797999999999999</v>
      </c>
      <c r="D883">
        <v>3.2101000000000002</v>
      </c>
      <c r="E883">
        <v>3.319</v>
      </c>
      <c r="F883">
        <v>2981312.68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0.28344136711844364</v>
      </c>
      <c r="Q883">
        <f t="shared" si="1010"/>
        <v>845027.34182675113</v>
      </c>
      <c r="R883">
        <f t="shared" si="1011"/>
        <v>151057630.14339232</v>
      </c>
      <c r="S883">
        <f t="shared" si="1012"/>
        <v>1510.5763014339232</v>
      </c>
      <c r="T883">
        <f t="shared" si="1013"/>
        <v>1.5105763014339231</v>
      </c>
    </row>
    <row r="884" spans="1:20" x14ac:dyDescent="0.25">
      <c r="A884" s="5">
        <v>43709</v>
      </c>
      <c r="B884">
        <v>3.3195000000000001</v>
      </c>
      <c r="C884">
        <v>3.3399000000000001</v>
      </c>
      <c r="D884">
        <v>3.0882000000000001</v>
      </c>
      <c r="E884">
        <v>3.2562000000000002</v>
      </c>
      <c r="F884">
        <v>2856141.8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0.33492252681764106</v>
      </c>
      <c r="Q884">
        <f t="shared" si="1010"/>
        <v>956586.22860548552</v>
      </c>
      <c r="R884">
        <f t="shared" si="1011"/>
        <v>150212602.80156559</v>
      </c>
      <c r="S884">
        <f t="shared" si="1012"/>
        <v>1502.1260280156559</v>
      </c>
      <c r="T884">
        <f t="shared" si="1013"/>
        <v>1.5021260280156559</v>
      </c>
    </row>
    <row r="885" spans="1:20" x14ac:dyDescent="0.25">
      <c r="A885" s="5">
        <v>43708</v>
      </c>
      <c r="B885">
        <v>3.2138</v>
      </c>
      <c r="C885">
        <v>3.4098999999999999</v>
      </c>
      <c r="D885">
        <v>3.1859999999999999</v>
      </c>
      <c r="E885">
        <v>3.3195000000000001</v>
      </c>
      <c r="F885">
        <v>2188912.4300000002</v>
      </c>
      <c r="G885">
        <v>0</v>
      </c>
      <c r="L885" t="s">
        <v>8</v>
      </c>
      <c r="M885" t="s">
        <v>7</v>
      </c>
      <c r="N885" t="s">
        <v>7</v>
      </c>
      <c r="P885">
        <f t="shared" si="1009"/>
        <v>0.1924966502903098</v>
      </c>
      <c r="Q885">
        <f t="shared" si="1010"/>
        <v>421358.31055382226</v>
      </c>
      <c r="R885">
        <f t="shared" si="1011"/>
        <v>149256016.57296011</v>
      </c>
      <c r="S885">
        <f t="shared" si="1012"/>
        <v>1492.5601657296011</v>
      </c>
      <c r="T885">
        <f t="shared" si="1013"/>
        <v>1.492560165729601</v>
      </c>
    </row>
    <row r="886" spans="1:20" x14ac:dyDescent="0.25">
      <c r="A886" s="5">
        <v>43707</v>
      </c>
      <c r="B886">
        <v>3.1996000000000002</v>
      </c>
      <c r="C886">
        <v>3.29</v>
      </c>
      <c r="D886">
        <v>3.1597</v>
      </c>
      <c r="E886">
        <v>3.2149999999999999</v>
      </c>
      <c r="F886">
        <v>2313507.8199999998</v>
      </c>
      <c r="G886">
        <v>0</v>
      </c>
      <c r="L886" t="s">
        <v>8</v>
      </c>
      <c r="M886" t="s">
        <v>7</v>
      </c>
      <c r="N886" t="s">
        <v>7</v>
      </c>
      <c r="P886">
        <f t="shared" si="1009"/>
        <v>-0.15118956254796823</v>
      </c>
      <c r="Q886">
        <f t="shared" si="1010"/>
        <v>-349778.23525710357</v>
      </c>
      <c r="R886">
        <f t="shared" si="1011"/>
        <v>148834658.26240629</v>
      </c>
      <c r="S886">
        <f t="shared" si="1012"/>
        <v>1488.3465826240629</v>
      </c>
      <c r="T886">
        <f t="shared" si="1013"/>
        <v>1.4883465826240629</v>
      </c>
    </row>
    <row r="887" spans="1:20" x14ac:dyDescent="0.25">
      <c r="A887" s="5">
        <v>43706</v>
      </c>
      <c r="B887">
        <v>3.2544</v>
      </c>
      <c r="C887">
        <v>3.2679999999999998</v>
      </c>
      <c r="D887">
        <v>3.05</v>
      </c>
      <c r="E887">
        <v>3.1993999999999998</v>
      </c>
      <c r="F887">
        <v>3636560.57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0.37064220183486235</v>
      </c>
      <c r="Q887">
        <f t="shared" si="1010"/>
        <v>1347862.8167706421</v>
      </c>
      <c r="R887">
        <f t="shared" si="1011"/>
        <v>149184436.49766338</v>
      </c>
      <c r="S887">
        <f t="shared" si="1012"/>
        <v>1491.8443649766339</v>
      </c>
      <c r="T887">
        <f t="shared" si="1013"/>
        <v>1.491844364976634</v>
      </c>
    </row>
    <row r="888" spans="1:20" x14ac:dyDescent="0.25">
      <c r="A888" s="5">
        <v>43705</v>
      </c>
      <c r="B888">
        <v>3.5503</v>
      </c>
      <c r="C888">
        <v>3.5609000000000002</v>
      </c>
      <c r="D888">
        <v>3.1162999999999998</v>
      </c>
      <c r="E888">
        <v>3.254</v>
      </c>
      <c r="F888">
        <v>5842844.1399999997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-0.38056680161943296</v>
      </c>
      <c r="Q888">
        <f t="shared" si="1010"/>
        <v>-2223592.5067206463</v>
      </c>
      <c r="R888">
        <f t="shared" si="1011"/>
        <v>147836573.68089274</v>
      </c>
      <c r="S888">
        <f t="shared" si="1012"/>
        <v>1478.3657368089273</v>
      </c>
      <c r="T888">
        <f t="shared" si="1013"/>
        <v>1.4783657368089274</v>
      </c>
    </row>
    <row r="889" spans="1:20" x14ac:dyDescent="0.25">
      <c r="A889" s="5">
        <v>43704</v>
      </c>
      <c r="B889">
        <v>3.5847000000000002</v>
      </c>
      <c r="C889">
        <v>3.5947</v>
      </c>
      <c r="D889">
        <v>3.4857999999999998</v>
      </c>
      <c r="E889">
        <v>3.5487000000000002</v>
      </c>
      <c r="F889">
        <v>1219325.77</v>
      </c>
      <c r="G889">
        <v>0</v>
      </c>
      <c r="L889" t="s">
        <v>7</v>
      </c>
      <c r="M889" t="s">
        <v>7</v>
      </c>
      <c r="N889" t="s">
        <v>7</v>
      </c>
      <c r="P889">
        <f t="shared" si="1009"/>
        <v>0.15518824609734203</v>
      </c>
      <c r="Q889">
        <f t="shared" si="1010"/>
        <v>189225.02766759106</v>
      </c>
      <c r="R889">
        <f t="shared" si="1011"/>
        <v>150060166.18761337</v>
      </c>
      <c r="S889">
        <f t="shared" si="1012"/>
        <v>1500.6016618761337</v>
      </c>
      <c r="T889">
        <f t="shared" si="1013"/>
        <v>1.5006016618761338</v>
      </c>
    </row>
    <row r="890" spans="1:20" x14ac:dyDescent="0.25">
      <c r="A890" s="5">
        <v>43703</v>
      </c>
      <c r="B890">
        <v>3.5507</v>
      </c>
      <c r="C890">
        <v>3.6936</v>
      </c>
      <c r="D890">
        <v>3.5392999999999999</v>
      </c>
      <c r="E890">
        <v>3.5842000000000001</v>
      </c>
      <c r="F890">
        <v>2532450.37</v>
      </c>
      <c r="G890">
        <v>0</v>
      </c>
      <c r="L890" t="s">
        <v>7</v>
      </c>
      <c r="M890" t="s">
        <v>7</v>
      </c>
      <c r="N890" t="s">
        <v>7</v>
      </c>
      <c r="P890">
        <f t="shared" si="1009"/>
        <v>-0.41801685029163793</v>
      </c>
      <c r="Q890">
        <f t="shared" si="1010"/>
        <v>-1058606.9271872931</v>
      </c>
      <c r="R890">
        <f t="shared" si="1011"/>
        <v>149870941.15994579</v>
      </c>
      <c r="S890">
        <f t="shared" si="1012"/>
        <v>1498.7094115994578</v>
      </c>
      <c r="T890">
        <f t="shared" si="1013"/>
        <v>1.4987094115994577</v>
      </c>
    </row>
    <row r="891" spans="1:20" x14ac:dyDescent="0.25">
      <c r="A891" s="5">
        <v>43702</v>
      </c>
      <c r="B891">
        <v>3.6606999999999998</v>
      </c>
      <c r="C891">
        <v>3.7</v>
      </c>
      <c r="D891">
        <v>3.4638</v>
      </c>
      <c r="E891">
        <v>3.5510000000000002</v>
      </c>
      <c r="F891">
        <v>2557268.54</v>
      </c>
      <c r="G891">
        <v>0</v>
      </c>
      <c r="L891" t="s">
        <v>7</v>
      </c>
      <c r="M891" t="s">
        <v>7</v>
      </c>
      <c r="N891" t="s">
        <v>7</v>
      </c>
      <c r="P891">
        <f t="shared" si="1009"/>
        <v>-0.2616426756985597</v>
      </c>
      <c r="Q891">
        <f t="shared" si="1010"/>
        <v>-669090.5832853493</v>
      </c>
      <c r="R891">
        <f t="shared" si="1011"/>
        <v>150929548.08713308</v>
      </c>
      <c r="S891">
        <f t="shared" si="1012"/>
        <v>1509.2954808713307</v>
      </c>
      <c r="T891">
        <f t="shared" si="1013"/>
        <v>1.5092954808713308</v>
      </c>
    </row>
    <row r="892" spans="1:20" x14ac:dyDescent="0.25">
      <c r="A892" s="5">
        <v>43701</v>
      </c>
      <c r="B892">
        <v>3.6705999999999999</v>
      </c>
      <c r="C892">
        <v>3.6831</v>
      </c>
      <c r="D892">
        <v>3.5398000000000001</v>
      </c>
      <c r="E892">
        <v>3.6617000000000002</v>
      </c>
      <c r="F892">
        <v>1921306.47</v>
      </c>
      <c r="G892">
        <v>0</v>
      </c>
      <c r="L892" t="s">
        <v>7</v>
      </c>
      <c r="M892" t="s">
        <v>7</v>
      </c>
      <c r="N892" t="s">
        <v>7</v>
      </c>
      <c r="P892">
        <f t="shared" si="1009"/>
        <v>0.70132588974180232</v>
      </c>
      <c r="Q892">
        <f t="shared" si="1010"/>
        <v>1347461.9695394314</v>
      </c>
      <c r="R892">
        <f t="shared" si="1011"/>
        <v>151598638.67041844</v>
      </c>
      <c r="S892">
        <f t="shared" si="1012"/>
        <v>1515.9863867041845</v>
      </c>
      <c r="T892">
        <f t="shared" si="1013"/>
        <v>1.5159863867041845</v>
      </c>
    </row>
    <row r="893" spans="1:20" x14ac:dyDescent="0.25">
      <c r="A893" s="5">
        <v>43700</v>
      </c>
      <c r="B893">
        <v>3.6356000000000002</v>
      </c>
      <c r="C893">
        <v>3.7884000000000002</v>
      </c>
      <c r="D893">
        <v>3.5975999999999999</v>
      </c>
      <c r="E893">
        <v>3.6705999999999999</v>
      </c>
      <c r="F893">
        <v>2905491.64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-0.23480083857442519</v>
      </c>
      <c r="Q893">
        <f t="shared" si="1010"/>
        <v>-682211.87354298192</v>
      </c>
      <c r="R893">
        <f t="shared" si="1011"/>
        <v>150251176.70087901</v>
      </c>
      <c r="S893">
        <f t="shared" si="1012"/>
        <v>1502.51176700879</v>
      </c>
      <c r="T893">
        <f t="shared" si="1013"/>
        <v>1.50251176700879</v>
      </c>
    </row>
    <row r="894" spans="1:20" x14ac:dyDescent="0.25">
      <c r="A894" s="5">
        <v>43699</v>
      </c>
      <c r="B894">
        <v>3.5122</v>
      </c>
      <c r="C894">
        <v>3.7115</v>
      </c>
      <c r="D894">
        <v>3.4512999999999998</v>
      </c>
      <c r="E894">
        <v>3.6349</v>
      </c>
      <c r="F894">
        <v>3370938.04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0.41122213681783287</v>
      </c>
      <c r="Q894">
        <f t="shared" si="1010"/>
        <v>1386204.3438893175</v>
      </c>
      <c r="R894">
        <f t="shared" si="1011"/>
        <v>150933388.574422</v>
      </c>
      <c r="S894">
        <f t="shared" si="1012"/>
        <v>1509.33388574422</v>
      </c>
      <c r="T894">
        <f t="shared" si="1013"/>
        <v>1.50933388574422</v>
      </c>
    </row>
    <row r="895" spans="1:20" x14ac:dyDescent="0.25">
      <c r="A895" s="5">
        <v>43698</v>
      </c>
      <c r="B895">
        <v>3.6755</v>
      </c>
      <c r="C895">
        <v>3.6831999999999998</v>
      </c>
      <c r="D895">
        <v>3.3473999999999999</v>
      </c>
      <c r="E895">
        <v>3.512</v>
      </c>
      <c r="F895">
        <v>3645880.14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-1.965455628350125E-2</v>
      </c>
      <c r="Q895">
        <f t="shared" ref="Q895:Q958" si="1015">F895*P895</f>
        <v>-71658.156414529425</v>
      </c>
      <c r="R895">
        <f t="shared" ref="R895:R958" si="1016">R896+Q895</f>
        <v>149547184.23053268</v>
      </c>
      <c r="S895">
        <f t="shared" ref="S895:S958" si="1017">R895/100000</f>
        <v>1495.4718423053268</v>
      </c>
      <c r="T895">
        <f t="shared" ref="T895:T958" si="1018">S895/1000</f>
        <v>1.4954718423053268</v>
      </c>
    </row>
    <row r="896" spans="1:20" x14ac:dyDescent="0.25">
      <c r="A896" s="5">
        <v>43697</v>
      </c>
      <c r="B896">
        <v>3.7198000000000002</v>
      </c>
      <c r="C896">
        <v>3.7246999999999999</v>
      </c>
      <c r="D896">
        <v>3.59</v>
      </c>
      <c r="E896">
        <v>3.6749999999999998</v>
      </c>
      <c r="F896">
        <v>1546465.45</v>
      </c>
      <c r="G896">
        <v>0</v>
      </c>
      <c r="L896" t="s">
        <v>8</v>
      </c>
      <c r="M896" t="s">
        <v>7</v>
      </c>
      <c r="N896" t="s">
        <v>8</v>
      </c>
      <c r="P896">
        <f t="shared" si="1014"/>
        <v>0.26206384558277562</v>
      </c>
      <c r="Q896">
        <f t="shared" si="1015"/>
        <v>405272.68288789759</v>
      </c>
      <c r="R896">
        <f t="shared" si="1016"/>
        <v>149618842.38694721</v>
      </c>
      <c r="S896">
        <f t="shared" si="1017"/>
        <v>1496.1884238694722</v>
      </c>
      <c r="T896">
        <f t="shared" si="1018"/>
        <v>1.4961884238694723</v>
      </c>
    </row>
    <row r="897" spans="1:20" x14ac:dyDescent="0.25">
      <c r="A897" s="5">
        <v>43696</v>
      </c>
      <c r="B897">
        <v>3.6901000000000002</v>
      </c>
      <c r="C897">
        <v>3.8151999999999999</v>
      </c>
      <c r="D897">
        <v>3.6341999999999999</v>
      </c>
      <c r="E897">
        <v>3.7179000000000002</v>
      </c>
      <c r="F897">
        <v>2509738.3199999998</v>
      </c>
      <c r="G897">
        <v>0</v>
      </c>
      <c r="L897" t="s">
        <v>8</v>
      </c>
      <c r="M897" t="s">
        <v>7</v>
      </c>
      <c r="N897" t="s">
        <v>8</v>
      </c>
      <c r="P897">
        <f t="shared" si="1014"/>
        <v>-7.5138121546957939E-2</v>
      </c>
      <c r="Q897">
        <f t="shared" si="1015"/>
        <v>-188577.022939218</v>
      </c>
      <c r="R897">
        <f t="shared" si="1016"/>
        <v>149213569.7040593</v>
      </c>
      <c r="S897">
        <f t="shared" si="1017"/>
        <v>1492.135697040593</v>
      </c>
      <c r="T897">
        <f t="shared" si="1018"/>
        <v>1.492135697040593</v>
      </c>
    </row>
    <row r="898" spans="1:20" x14ac:dyDescent="0.25">
      <c r="A898" s="5">
        <v>43695</v>
      </c>
      <c r="B898">
        <v>3.5630000000000002</v>
      </c>
      <c r="C898">
        <v>3.7641</v>
      </c>
      <c r="D898">
        <v>3.5103</v>
      </c>
      <c r="E898">
        <v>3.6924999999999999</v>
      </c>
      <c r="F898">
        <v>2263105.2599999998</v>
      </c>
      <c r="G898">
        <v>0</v>
      </c>
      <c r="L898" t="s">
        <v>8</v>
      </c>
      <c r="M898" t="s">
        <v>7</v>
      </c>
      <c r="N898" t="s">
        <v>8</v>
      </c>
      <c r="P898">
        <f t="shared" si="1014"/>
        <v>0.43577620173364773</v>
      </c>
      <c r="Q898">
        <f t="shared" si="1015"/>
        <v>986207.41432623914</v>
      </c>
      <c r="R898">
        <f t="shared" si="1016"/>
        <v>149402146.72699851</v>
      </c>
      <c r="S898">
        <f t="shared" si="1017"/>
        <v>1494.0214672699851</v>
      </c>
      <c r="T898">
        <f t="shared" si="1018"/>
        <v>1.4940214672699852</v>
      </c>
    </row>
    <row r="899" spans="1:20" x14ac:dyDescent="0.25">
      <c r="A899" s="5">
        <v>43694</v>
      </c>
      <c r="B899">
        <v>3.5800999999999998</v>
      </c>
      <c r="C899">
        <v>3.6124999999999998</v>
      </c>
      <c r="D899">
        <v>3.4849999999999999</v>
      </c>
      <c r="E899">
        <v>3.5627</v>
      </c>
      <c r="F899">
        <v>1547028.72</v>
      </c>
      <c r="G899">
        <v>0</v>
      </c>
      <c r="L899" t="s">
        <v>7</v>
      </c>
      <c r="M899" t="s">
        <v>7</v>
      </c>
      <c r="N899" t="s">
        <v>8</v>
      </c>
      <c r="P899">
        <f t="shared" si="1014"/>
        <v>0.21882352941176683</v>
      </c>
      <c r="Q899">
        <f t="shared" si="1015"/>
        <v>338526.28461176797</v>
      </c>
      <c r="R899">
        <f t="shared" si="1016"/>
        <v>148415939.31267226</v>
      </c>
      <c r="S899">
        <f t="shared" si="1017"/>
        <v>1484.1593931267225</v>
      </c>
      <c r="T899">
        <f t="shared" si="1018"/>
        <v>1.4841593931267225</v>
      </c>
    </row>
    <row r="900" spans="1:20" x14ac:dyDescent="0.25">
      <c r="A900" s="5">
        <v>43693</v>
      </c>
      <c r="B900">
        <v>3.6212</v>
      </c>
      <c r="C900">
        <v>3.6686999999999999</v>
      </c>
      <c r="D900">
        <v>3.4672999999999998</v>
      </c>
      <c r="E900">
        <v>3.58</v>
      </c>
      <c r="F900">
        <v>3817287.3</v>
      </c>
      <c r="G900">
        <v>0</v>
      </c>
      <c r="L900" t="s">
        <v>7</v>
      </c>
      <c r="M900" t="s">
        <v>7</v>
      </c>
      <c r="N900" t="s">
        <v>8</v>
      </c>
      <c r="P900">
        <f t="shared" si="1014"/>
        <v>0.11916583912611947</v>
      </c>
      <c r="Q900">
        <f t="shared" si="1015"/>
        <v>454890.24428997893</v>
      </c>
      <c r="R900">
        <f t="shared" si="1016"/>
        <v>148077413.0280605</v>
      </c>
      <c r="S900">
        <f t="shared" si="1017"/>
        <v>1480.774130280605</v>
      </c>
      <c r="T900">
        <f t="shared" si="1018"/>
        <v>1.480774130280605</v>
      </c>
    </row>
    <row r="901" spans="1:20" x14ac:dyDescent="0.25">
      <c r="A901" s="5">
        <v>43692</v>
      </c>
      <c r="B901">
        <v>3.6718000000000002</v>
      </c>
      <c r="C901">
        <v>3.7296</v>
      </c>
      <c r="D901">
        <v>3.5034999999999998</v>
      </c>
      <c r="E901">
        <v>3.6225999999999998</v>
      </c>
      <c r="F901">
        <v>3495641.99</v>
      </c>
      <c r="G901">
        <v>0</v>
      </c>
      <c r="L901" t="s">
        <v>7</v>
      </c>
      <c r="M901" t="s">
        <v>7</v>
      </c>
      <c r="N901" t="s">
        <v>8</v>
      </c>
      <c r="P901">
        <f t="shared" si="1014"/>
        <v>5.3516143299424002E-2</v>
      </c>
      <c r="Q901">
        <f t="shared" si="1015"/>
        <v>187073.27766032369</v>
      </c>
      <c r="R901">
        <f t="shared" si="1016"/>
        <v>147622522.78377053</v>
      </c>
      <c r="S901">
        <f t="shared" si="1017"/>
        <v>1476.2252278377052</v>
      </c>
      <c r="T901">
        <f t="shared" si="1018"/>
        <v>1.4762252278377053</v>
      </c>
    </row>
    <row r="902" spans="1:20" x14ac:dyDescent="0.25">
      <c r="A902" s="5">
        <v>43691</v>
      </c>
      <c r="B902">
        <v>4.0842999999999998</v>
      </c>
      <c r="C902">
        <v>4.1307999999999998</v>
      </c>
      <c r="D902">
        <v>3.5714000000000001</v>
      </c>
      <c r="E902">
        <v>3.6716000000000002</v>
      </c>
      <c r="F902">
        <v>6904682.7300000004</v>
      </c>
      <c r="G902">
        <v>0</v>
      </c>
      <c r="L902" t="s">
        <v>7</v>
      </c>
      <c r="M902" t="s">
        <v>7</v>
      </c>
      <c r="N902" t="s">
        <v>8</v>
      </c>
      <c r="P902">
        <f t="shared" si="1014"/>
        <v>-0.64175902752949543</v>
      </c>
      <c r="Q902">
        <f t="shared" si="1015"/>
        <v>-4431142.4742045021</v>
      </c>
      <c r="R902">
        <f t="shared" si="1016"/>
        <v>147435449.50611022</v>
      </c>
      <c r="S902">
        <f t="shared" si="1017"/>
        <v>1474.3544950611022</v>
      </c>
      <c r="T902">
        <f t="shared" si="1018"/>
        <v>1.4743544950611023</v>
      </c>
    </row>
    <row r="903" spans="1:20" x14ac:dyDescent="0.25">
      <c r="A903" s="5">
        <v>43690</v>
      </c>
      <c r="B903">
        <v>4.13</v>
      </c>
      <c r="C903">
        <v>4.1421000000000001</v>
      </c>
      <c r="D903">
        <v>3.96</v>
      </c>
      <c r="E903">
        <v>4.0819000000000001</v>
      </c>
      <c r="F903">
        <v>4007334.88</v>
      </c>
      <c r="G903">
        <v>0</v>
      </c>
      <c r="L903" t="s">
        <v>7</v>
      </c>
      <c r="M903" t="s">
        <v>7</v>
      </c>
      <c r="N903" t="s">
        <v>8</v>
      </c>
      <c r="P903">
        <f t="shared" si="1014"/>
        <v>0.3388248215266339</v>
      </c>
      <c r="Q903">
        <f t="shared" si="1015"/>
        <v>1357784.5255134548</v>
      </c>
      <c r="R903">
        <f t="shared" si="1016"/>
        <v>151866591.98031473</v>
      </c>
      <c r="S903">
        <f t="shared" si="1017"/>
        <v>1518.6659198031473</v>
      </c>
      <c r="T903">
        <f t="shared" si="1018"/>
        <v>1.5186659198031474</v>
      </c>
    </row>
    <row r="904" spans="1:20" x14ac:dyDescent="0.25">
      <c r="A904" s="5">
        <v>43689</v>
      </c>
      <c r="B904">
        <v>4.2024999999999997</v>
      </c>
      <c r="C904">
        <v>4.2092999999999998</v>
      </c>
      <c r="D904">
        <v>4.0655000000000001</v>
      </c>
      <c r="E904">
        <v>4.13</v>
      </c>
      <c r="F904">
        <v>1457267.02</v>
      </c>
      <c r="G904">
        <v>0</v>
      </c>
      <c r="L904" t="s">
        <v>8</v>
      </c>
      <c r="M904" t="s">
        <v>7</v>
      </c>
      <c r="N904" t="s">
        <v>8</v>
      </c>
      <c r="P904">
        <f t="shared" si="1014"/>
        <v>-0.10292072322670498</v>
      </c>
      <c r="Q904">
        <f t="shared" si="1015"/>
        <v>-149982.97563282514</v>
      </c>
      <c r="R904">
        <f t="shared" si="1016"/>
        <v>150508807.45480129</v>
      </c>
      <c r="S904">
        <f t="shared" si="1017"/>
        <v>1505.0880745480129</v>
      </c>
      <c r="T904">
        <f t="shared" si="1018"/>
        <v>1.5050880745480129</v>
      </c>
    </row>
    <row r="905" spans="1:20" x14ac:dyDescent="0.25">
      <c r="A905" s="5">
        <v>43688</v>
      </c>
      <c r="B905">
        <v>4.0635000000000003</v>
      </c>
      <c r="C905">
        <v>4.2617000000000003</v>
      </c>
      <c r="D905">
        <v>4.0605000000000002</v>
      </c>
      <c r="E905">
        <v>4.2027999999999999</v>
      </c>
      <c r="F905">
        <v>3259239.13</v>
      </c>
      <c r="G905">
        <v>0</v>
      </c>
      <c r="L905" t="s">
        <v>8</v>
      </c>
      <c r="M905" t="s">
        <v>7</v>
      </c>
      <c r="N905" t="s">
        <v>8</v>
      </c>
      <c r="P905">
        <f t="shared" si="1014"/>
        <v>0.41451292246520494</v>
      </c>
      <c r="Q905">
        <f t="shared" si="1015"/>
        <v>1350996.7367892519</v>
      </c>
      <c r="R905">
        <f t="shared" si="1016"/>
        <v>150658790.43043411</v>
      </c>
      <c r="S905">
        <f t="shared" si="1017"/>
        <v>1506.587904304341</v>
      </c>
      <c r="T905">
        <f t="shared" si="1018"/>
        <v>1.5065879043043411</v>
      </c>
    </row>
    <row r="906" spans="1:20" x14ac:dyDescent="0.25">
      <c r="A906" s="5">
        <v>43687</v>
      </c>
      <c r="B906">
        <v>3.9072</v>
      </c>
      <c r="C906">
        <v>4.1399999999999997</v>
      </c>
      <c r="D906">
        <v>3.8599000000000001</v>
      </c>
      <c r="E906">
        <v>4.0644</v>
      </c>
      <c r="F906">
        <v>4280759.33</v>
      </c>
      <c r="G906">
        <v>0</v>
      </c>
      <c r="L906" t="s">
        <v>8</v>
      </c>
      <c r="M906" t="s">
        <v>7</v>
      </c>
      <c r="N906" t="s">
        <v>8</v>
      </c>
      <c r="P906">
        <f t="shared" si="1014"/>
        <v>0.46019278828989801</v>
      </c>
      <c r="Q906">
        <f t="shared" si="1015"/>
        <v>1969974.5720706957</v>
      </c>
      <c r="R906">
        <f t="shared" si="1016"/>
        <v>149307793.69364485</v>
      </c>
      <c r="S906">
        <f t="shared" si="1017"/>
        <v>1493.0779369364486</v>
      </c>
      <c r="T906">
        <f t="shared" si="1018"/>
        <v>1.4930779369364486</v>
      </c>
    </row>
    <row r="907" spans="1:20" x14ac:dyDescent="0.25">
      <c r="A907" s="5">
        <v>43686</v>
      </c>
      <c r="B907">
        <v>4.1688999999999998</v>
      </c>
      <c r="C907">
        <v>4.1788999999999996</v>
      </c>
      <c r="D907">
        <v>3.7858000000000001</v>
      </c>
      <c r="E907">
        <v>3.9053</v>
      </c>
      <c r="F907">
        <v>4202931.2699999996</v>
      </c>
      <c r="G907">
        <v>0</v>
      </c>
      <c r="L907" t="s">
        <v>7</v>
      </c>
      <c r="M907" t="s">
        <v>7</v>
      </c>
      <c r="N907" t="s">
        <v>8</v>
      </c>
      <c r="P907">
        <f t="shared" si="1014"/>
        <v>-0.39201221063342623</v>
      </c>
      <c r="Q907">
        <f t="shared" si="1015"/>
        <v>-1647600.3782930535</v>
      </c>
      <c r="R907">
        <f t="shared" si="1016"/>
        <v>147337819.12157416</v>
      </c>
      <c r="S907">
        <f t="shared" si="1017"/>
        <v>1473.3781912157417</v>
      </c>
      <c r="T907">
        <f t="shared" si="1018"/>
        <v>1.4733781912157418</v>
      </c>
    </row>
    <row r="908" spans="1:20" x14ac:dyDescent="0.25">
      <c r="A908" s="5">
        <v>43685</v>
      </c>
      <c r="B908">
        <v>4.2234999999999996</v>
      </c>
      <c r="C908">
        <v>4.2351000000000001</v>
      </c>
      <c r="D908">
        <v>4.0800999999999998</v>
      </c>
      <c r="E908">
        <v>4.17</v>
      </c>
      <c r="F908">
        <v>2304702.96</v>
      </c>
      <c r="G908">
        <v>0</v>
      </c>
      <c r="L908" t="s">
        <v>7</v>
      </c>
      <c r="M908" t="s">
        <v>8</v>
      </c>
      <c r="N908" t="s">
        <v>8</v>
      </c>
      <c r="P908">
        <f t="shared" si="1014"/>
        <v>0.15999999999999931</v>
      </c>
      <c r="Q908">
        <f t="shared" si="1015"/>
        <v>368752.4735999984</v>
      </c>
      <c r="R908">
        <f t="shared" si="1016"/>
        <v>148985419.49986723</v>
      </c>
      <c r="S908">
        <f t="shared" si="1017"/>
        <v>1489.8541949986723</v>
      </c>
      <c r="T908">
        <f t="shared" si="1018"/>
        <v>1.4898541949986723</v>
      </c>
    </row>
    <row r="909" spans="1:20" x14ac:dyDescent="0.25">
      <c r="A909" s="5">
        <v>43684</v>
      </c>
      <c r="B909">
        <v>4.1904000000000003</v>
      </c>
      <c r="C909">
        <v>4.3</v>
      </c>
      <c r="D909">
        <v>4.1319999999999997</v>
      </c>
      <c r="E909">
        <v>4.2224000000000004</v>
      </c>
      <c r="F909">
        <v>3164784.11</v>
      </c>
      <c r="G909">
        <v>0</v>
      </c>
      <c r="L909" t="s">
        <v>7</v>
      </c>
      <c r="M909" t="s">
        <v>8</v>
      </c>
      <c r="N909" t="s">
        <v>8</v>
      </c>
      <c r="P909">
        <f t="shared" si="1014"/>
        <v>7.6190476190483594E-2</v>
      </c>
      <c r="Q909">
        <f t="shared" si="1015"/>
        <v>241126.4083809758</v>
      </c>
      <c r="R909">
        <f t="shared" si="1016"/>
        <v>148616667.02626723</v>
      </c>
      <c r="S909">
        <f t="shared" si="1017"/>
        <v>1486.1666702626724</v>
      </c>
      <c r="T909">
        <f t="shared" si="1018"/>
        <v>1.4861666702626724</v>
      </c>
    </row>
    <row r="910" spans="1:20" x14ac:dyDescent="0.25">
      <c r="A910" s="5">
        <v>43683</v>
      </c>
      <c r="B910">
        <v>4.4611000000000001</v>
      </c>
      <c r="C910">
        <v>4.5</v>
      </c>
      <c r="D910">
        <v>4.0510000000000002</v>
      </c>
      <c r="E910">
        <v>4.1902999999999997</v>
      </c>
      <c r="F910">
        <v>5237365.75</v>
      </c>
      <c r="G910">
        <v>0</v>
      </c>
      <c r="L910" t="s">
        <v>7</v>
      </c>
      <c r="M910" t="s">
        <v>8</v>
      </c>
      <c r="N910" t="s">
        <v>8</v>
      </c>
      <c r="P910">
        <f t="shared" si="1014"/>
        <v>-0.37951002227171676</v>
      </c>
      <c r="Q910">
        <f t="shared" si="1015"/>
        <v>-1987632.7924276267</v>
      </c>
      <c r="R910">
        <f t="shared" si="1016"/>
        <v>148375540.61788625</v>
      </c>
      <c r="S910">
        <f t="shared" si="1017"/>
        <v>1483.7554061788624</v>
      </c>
      <c r="T910">
        <f t="shared" si="1018"/>
        <v>1.4837554061788623</v>
      </c>
    </row>
    <row r="911" spans="1:20" x14ac:dyDescent="0.25">
      <c r="A911" s="5">
        <v>43682</v>
      </c>
      <c r="B911">
        <v>4.2161</v>
      </c>
      <c r="C911">
        <v>4.5770999999999997</v>
      </c>
      <c r="D911">
        <v>4.2141999999999999</v>
      </c>
      <c r="E911">
        <v>4.4603999999999999</v>
      </c>
      <c r="F911">
        <v>4535570.4800000004</v>
      </c>
      <c r="G911">
        <v>0</v>
      </c>
      <c r="L911" t="s">
        <v>8</v>
      </c>
      <c r="M911" t="s">
        <v>8</v>
      </c>
      <c r="N911" t="s">
        <v>8</v>
      </c>
      <c r="P911">
        <f t="shared" si="1014"/>
        <v>0.3568476164232578</v>
      </c>
      <c r="Q911">
        <f t="shared" si="1015"/>
        <v>1618507.5149076914</v>
      </c>
      <c r="R911">
        <f t="shared" si="1016"/>
        <v>150363173.41031387</v>
      </c>
      <c r="S911">
        <f t="shared" si="1017"/>
        <v>1503.6317341031388</v>
      </c>
      <c r="T911">
        <f t="shared" si="1018"/>
        <v>1.5036317341031389</v>
      </c>
    </row>
    <row r="912" spans="1:20" x14ac:dyDescent="0.25">
      <c r="A912" s="5">
        <v>43681</v>
      </c>
      <c r="B912">
        <v>4.2922000000000002</v>
      </c>
      <c r="C912">
        <v>4.3109000000000002</v>
      </c>
      <c r="D912">
        <v>4.1634000000000002</v>
      </c>
      <c r="E912">
        <v>4.2140000000000004</v>
      </c>
      <c r="F912">
        <v>1959217.45</v>
      </c>
      <c r="G912">
        <v>0</v>
      </c>
      <c r="L912" t="s">
        <v>8</v>
      </c>
      <c r="M912" t="s">
        <v>7</v>
      </c>
      <c r="N912" t="s">
        <v>8</v>
      </c>
      <c r="P912">
        <f t="shared" si="1014"/>
        <v>-0.31389830508474287</v>
      </c>
      <c r="Q912">
        <f t="shared" si="1015"/>
        <v>-614995.03684745193</v>
      </c>
      <c r="R912">
        <f t="shared" si="1016"/>
        <v>148744665.89540619</v>
      </c>
      <c r="S912">
        <f t="shared" si="1017"/>
        <v>1487.4466589540618</v>
      </c>
      <c r="T912">
        <f t="shared" si="1018"/>
        <v>1.4874466589540618</v>
      </c>
    </row>
    <row r="913" spans="1:20" x14ac:dyDescent="0.25">
      <c r="A913" s="5">
        <v>43680</v>
      </c>
      <c r="B913">
        <v>4.1818</v>
      </c>
      <c r="C913">
        <v>4.3715000000000002</v>
      </c>
      <c r="D913">
        <v>4.1681999999999997</v>
      </c>
      <c r="E913">
        <v>4.2923</v>
      </c>
      <c r="F913">
        <v>2687301.01</v>
      </c>
      <c r="G913">
        <v>0</v>
      </c>
      <c r="L913" t="s">
        <v>8</v>
      </c>
      <c r="M913" t="s">
        <v>7</v>
      </c>
      <c r="N913" t="s">
        <v>8</v>
      </c>
      <c r="P913">
        <f t="shared" si="1014"/>
        <v>0.22085587801278925</v>
      </c>
      <c r="Q913">
        <f t="shared" si="1015"/>
        <v>593506.2240482053</v>
      </c>
      <c r="R913">
        <f t="shared" si="1016"/>
        <v>149359660.93225363</v>
      </c>
      <c r="S913">
        <f t="shared" si="1017"/>
        <v>1493.5966093225363</v>
      </c>
      <c r="T913">
        <f t="shared" si="1018"/>
        <v>1.4935966093225364</v>
      </c>
    </row>
    <row r="914" spans="1:20" x14ac:dyDescent="0.25">
      <c r="A914" s="5">
        <v>43679</v>
      </c>
      <c r="B914">
        <v>4.2992999999999997</v>
      </c>
      <c r="C914">
        <v>4.3456000000000001</v>
      </c>
      <c r="D914">
        <v>4.0347</v>
      </c>
      <c r="E914">
        <v>4.1801000000000004</v>
      </c>
      <c r="F914">
        <v>3965253.06</v>
      </c>
      <c r="G914">
        <v>0</v>
      </c>
      <c r="L914" t="s">
        <v>7</v>
      </c>
      <c r="M914" t="s">
        <v>7</v>
      </c>
      <c r="N914" t="s">
        <v>8</v>
      </c>
      <c r="P914">
        <f t="shared" si="1014"/>
        <v>-6.4651013187517939E-2</v>
      </c>
      <c r="Q914">
        <f t="shared" si="1015"/>
        <v>-256357.62787390588</v>
      </c>
      <c r="R914">
        <f t="shared" si="1016"/>
        <v>148766154.70820543</v>
      </c>
      <c r="S914">
        <f t="shared" si="1017"/>
        <v>1487.6615470820543</v>
      </c>
      <c r="T914">
        <f t="shared" si="1018"/>
        <v>1.4876615470820542</v>
      </c>
    </row>
    <row r="915" spans="1:20" x14ac:dyDescent="0.25">
      <c r="A915" s="5">
        <v>43678</v>
      </c>
      <c r="B915">
        <v>4.4196</v>
      </c>
      <c r="C915">
        <v>4.4471999999999996</v>
      </c>
      <c r="D915">
        <v>4.1936999999999998</v>
      </c>
      <c r="E915">
        <v>4.2991000000000001</v>
      </c>
      <c r="F915">
        <v>3026872.22</v>
      </c>
      <c r="G915">
        <v>0</v>
      </c>
      <c r="L915" t="s">
        <v>8</v>
      </c>
      <c r="M915" t="s">
        <v>7</v>
      </c>
      <c r="N915" t="s">
        <v>8</v>
      </c>
      <c r="P915">
        <f t="shared" si="1014"/>
        <v>-0.16844181459565719</v>
      </c>
      <c r="Q915">
        <f t="shared" si="1015"/>
        <v>-509851.84928598528</v>
      </c>
      <c r="R915">
        <f t="shared" si="1016"/>
        <v>149022512.33607933</v>
      </c>
      <c r="S915">
        <f t="shared" si="1017"/>
        <v>1490.2251233607933</v>
      </c>
      <c r="T915">
        <f t="shared" si="1018"/>
        <v>1.4902251233607933</v>
      </c>
    </row>
    <row r="916" spans="1:20" x14ac:dyDescent="0.25">
      <c r="A916" s="5">
        <v>43677</v>
      </c>
      <c r="B916">
        <v>4.1959</v>
      </c>
      <c r="C916">
        <v>4.4406999999999996</v>
      </c>
      <c r="D916">
        <v>4.1862000000000004</v>
      </c>
      <c r="E916">
        <v>4.4169999999999998</v>
      </c>
      <c r="F916">
        <v>2632887.92</v>
      </c>
      <c r="G916">
        <v>0</v>
      </c>
      <c r="L916" t="s">
        <v>8</v>
      </c>
      <c r="M916" t="s">
        <v>7</v>
      </c>
      <c r="N916" t="s">
        <v>8</v>
      </c>
      <c r="P916">
        <f t="shared" si="1014"/>
        <v>0.81375245579567856</v>
      </c>
      <c r="Q916">
        <f t="shared" si="1015"/>
        <v>2142519.010734776</v>
      </c>
      <c r="R916">
        <f t="shared" si="1016"/>
        <v>149532364.18536532</v>
      </c>
      <c r="S916">
        <f t="shared" si="1017"/>
        <v>1495.3236418536533</v>
      </c>
      <c r="T916">
        <f t="shared" si="1018"/>
        <v>1.4953236418536533</v>
      </c>
    </row>
    <row r="917" spans="1:20" x14ac:dyDescent="0.25">
      <c r="A917" s="5">
        <v>43676</v>
      </c>
      <c r="B917">
        <v>4.2107999999999999</v>
      </c>
      <c r="C917">
        <v>4.3</v>
      </c>
      <c r="D917">
        <v>4.1224999999999996</v>
      </c>
      <c r="E917">
        <v>4.1959</v>
      </c>
      <c r="F917">
        <v>3029179.81</v>
      </c>
      <c r="G917">
        <v>0</v>
      </c>
      <c r="L917" t="s">
        <v>8</v>
      </c>
      <c r="M917" t="s">
        <v>7</v>
      </c>
      <c r="N917" t="s">
        <v>8</v>
      </c>
      <c r="P917">
        <f t="shared" si="1014"/>
        <v>-0.17295774647887024</v>
      </c>
      <c r="Q917">
        <f t="shared" si="1015"/>
        <v>-523920.11361689237</v>
      </c>
      <c r="R917">
        <f t="shared" si="1016"/>
        <v>147389845.17463055</v>
      </c>
      <c r="S917">
        <f t="shared" si="1017"/>
        <v>1473.8984517463055</v>
      </c>
      <c r="T917">
        <f t="shared" si="1018"/>
        <v>1.4738984517463054</v>
      </c>
    </row>
    <row r="918" spans="1:20" x14ac:dyDescent="0.25">
      <c r="A918" s="5">
        <v>43675</v>
      </c>
      <c r="B918">
        <v>4.2773000000000003</v>
      </c>
      <c r="C918">
        <v>4.3963000000000001</v>
      </c>
      <c r="D918">
        <v>4.0999999999999996</v>
      </c>
      <c r="E918">
        <v>4.2103000000000002</v>
      </c>
      <c r="F918">
        <v>4833909.63</v>
      </c>
      <c r="G918">
        <v>0</v>
      </c>
      <c r="L918" t="s">
        <v>8</v>
      </c>
      <c r="M918" t="s">
        <v>7</v>
      </c>
      <c r="N918" t="s">
        <v>8</v>
      </c>
      <c r="P918">
        <f t="shared" si="1014"/>
        <v>-0.2554843064461671</v>
      </c>
      <c r="Q918">
        <f t="shared" si="1015"/>
        <v>-1234988.0492439982</v>
      </c>
      <c r="R918">
        <f t="shared" si="1016"/>
        <v>147913765.28824744</v>
      </c>
      <c r="S918">
        <f t="shared" si="1017"/>
        <v>1479.1376528824744</v>
      </c>
      <c r="T918">
        <f t="shared" si="1018"/>
        <v>1.4791376528824745</v>
      </c>
    </row>
    <row r="919" spans="1:20" x14ac:dyDescent="0.25">
      <c r="A919" s="5">
        <v>43674</v>
      </c>
      <c r="B919">
        <v>4.2751999999999999</v>
      </c>
      <c r="C919">
        <v>4.3493000000000004</v>
      </c>
      <c r="D919">
        <v>3.8877000000000002</v>
      </c>
      <c r="E919">
        <v>4.2807000000000004</v>
      </c>
      <c r="F919">
        <v>4693129.83</v>
      </c>
      <c r="G919">
        <v>0</v>
      </c>
      <c r="L919" t="s">
        <v>7</v>
      </c>
      <c r="M919" t="s">
        <v>7</v>
      </c>
      <c r="N919" t="s">
        <v>8</v>
      </c>
      <c r="P919">
        <f t="shared" si="1014"/>
        <v>0.70277296360485286</v>
      </c>
      <c r="Q919">
        <f t="shared" si="1015"/>
        <v>3298204.7592114392</v>
      </c>
      <c r="R919">
        <f t="shared" si="1016"/>
        <v>149148753.33749142</v>
      </c>
      <c r="S919">
        <f t="shared" si="1017"/>
        <v>1491.4875333749142</v>
      </c>
      <c r="T919">
        <f t="shared" si="1018"/>
        <v>1.4914875333749142</v>
      </c>
    </row>
    <row r="920" spans="1:20" x14ac:dyDescent="0.25">
      <c r="A920" s="5">
        <v>43673</v>
      </c>
      <c r="B920">
        <v>4.6101000000000001</v>
      </c>
      <c r="C920">
        <v>4.7572000000000001</v>
      </c>
      <c r="D920">
        <v>4.1660000000000004</v>
      </c>
      <c r="E920">
        <v>4.2747999999999999</v>
      </c>
      <c r="F920">
        <v>7565969.9199999999</v>
      </c>
      <c r="G920">
        <v>0</v>
      </c>
      <c r="L920" t="s">
        <v>7</v>
      </c>
      <c r="M920" t="s">
        <v>8</v>
      </c>
      <c r="N920" t="s">
        <v>8</v>
      </c>
      <c r="P920">
        <f t="shared" si="1014"/>
        <v>-0.63193504736130035</v>
      </c>
      <c r="Q920">
        <f t="shared" si="1015"/>
        <v>-4781201.559729374</v>
      </c>
      <c r="R920">
        <f t="shared" si="1016"/>
        <v>145850548.57827997</v>
      </c>
      <c r="S920">
        <f t="shared" si="1017"/>
        <v>1458.5054857827997</v>
      </c>
      <c r="T920">
        <f t="shared" si="1018"/>
        <v>1.4585054857827997</v>
      </c>
    </row>
    <row r="921" spans="1:20" x14ac:dyDescent="0.25">
      <c r="A921" s="5">
        <v>43672</v>
      </c>
      <c r="B921">
        <v>4.5663999999999998</v>
      </c>
      <c r="C921">
        <v>4.7054999999999998</v>
      </c>
      <c r="D921">
        <v>4.4132999999999996</v>
      </c>
      <c r="E921">
        <v>4.6155999999999997</v>
      </c>
      <c r="F921">
        <v>4483882.3600000003</v>
      </c>
      <c r="G921">
        <v>0</v>
      </c>
      <c r="L921" t="s">
        <v>7</v>
      </c>
      <c r="M921" t="s">
        <v>8</v>
      </c>
      <c r="N921" t="s">
        <v>8</v>
      </c>
      <c r="P921">
        <f t="shared" si="1014"/>
        <v>0.38466803559206009</v>
      </c>
      <c r="Q921">
        <f t="shared" si="1015"/>
        <v>1724806.2192470904</v>
      </c>
      <c r="R921">
        <f t="shared" si="1016"/>
        <v>150631750.13800934</v>
      </c>
      <c r="S921">
        <f t="shared" si="1017"/>
        <v>1506.3175013800933</v>
      </c>
      <c r="T921">
        <f t="shared" si="1018"/>
        <v>1.5063175013800933</v>
      </c>
    </row>
    <row r="922" spans="1:20" x14ac:dyDescent="0.25">
      <c r="A922" s="5">
        <v>43671</v>
      </c>
      <c r="B922">
        <v>4.5827</v>
      </c>
      <c r="C922">
        <v>4.7081</v>
      </c>
      <c r="D922">
        <v>4.4313000000000002</v>
      </c>
      <c r="E922">
        <v>4.5663</v>
      </c>
      <c r="F922">
        <v>6397651.96</v>
      </c>
      <c r="G922">
        <v>0</v>
      </c>
      <c r="L922" t="s">
        <v>8</v>
      </c>
      <c r="M922" t="s">
        <v>8</v>
      </c>
      <c r="N922" t="s">
        <v>8</v>
      </c>
      <c r="P922">
        <f t="shared" si="1014"/>
        <v>-2.4566473988439835E-2</v>
      </c>
      <c r="Q922">
        <f t="shared" si="1015"/>
        <v>-157167.75046243114</v>
      </c>
      <c r="R922">
        <f t="shared" si="1016"/>
        <v>148906943.91876224</v>
      </c>
      <c r="S922">
        <f t="shared" si="1017"/>
        <v>1489.0694391876223</v>
      </c>
      <c r="T922">
        <f t="shared" si="1018"/>
        <v>1.4890694391876222</v>
      </c>
    </row>
    <row r="923" spans="1:20" x14ac:dyDescent="0.25">
      <c r="A923" s="5">
        <v>43670</v>
      </c>
      <c r="B923">
        <v>4.1500000000000004</v>
      </c>
      <c r="C923">
        <v>4.6468999999999996</v>
      </c>
      <c r="D923">
        <v>3.9912000000000001</v>
      </c>
      <c r="E923">
        <v>4.5873999999999997</v>
      </c>
      <c r="F923">
        <v>9920069.8599999994</v>
      </c>
      <c r="G923">
        <v>0</v>
      </c>
      <c r="L923" t="s">
        <v>8</v>
      </c>
      <c r="M923" t="s">
        <v>8</v>
      </c>
      <c r="N923" t="s">
        <v>8</v>
      </c>
      <c r="P923">
        <f t="shared" si="1014"/>
        <v>0.81851456458746397</v>
      </c>
      <c r="Q923">
        <f t="shared" si="1015"/>
        <v>8119721.6621351242</v>
      </c>
      <c r="R923">
        <f t="shared" si="1016"/>
        <v>149064111.66922468</v>
      </c>
      <c r="S923">
        <f t="shared" si="1017"/>
        <v>1490.6411166922469</v>
      </c>
      <c r="T923">
        <f t="shared" si="1018"/>
        <v>1.4906411166922469</v>
      </c>
    </row>
    <row r="924" spans="1:20" x14ac:dyDescent="0.25">
      <c r="A924" s="5">
        <v>43669</v>
      </c>
      <c r="B924">
        <v>4.1242000000000001</v>
      </c>
      <c r="C924">
        <v>4.2774999999999999</v>
      </c>
      <c r="D924">
        <v>3.9504999999999999</v>
      </c>
      <c r="E924">
        <v>4.1525999999999996</v>
      </c>
      <c r="F924">
        <v>5129859.62</v>
      </c>
      <c r="G924">
        <v>0</v>
      </c>
      <c r="L924" t="s">
        <v>8</v>
      </c>
      <c r="M924" t="s">
        <v>8</v>
      </c>
      <c r="N924" t="s">
        <v>7</v>
      </c>
      <c r="P924">
        <f t="shared" si="1014"/>
        <v>0.23608562691131346</v>
      </c>
      <c r="Q924">
        <f t="shared" si="1015"/>
        <v>1211086.1243547322</v>
      </c>
      <c r="R924">
        <f t="shared" si="1016"/>
        <v>140944390.00708956</v>
      </c>
      <c r="S924">
        <f t="shared" si="1017"/>
        <v>1409.4439000708956</v>
      </c>
      <c r="T924">
        <f t="shared" si="1018"/>
        <v>1.4094439000708956</v>
      </c>
    </row>
    <row r="925" spans="1:20" x14ac:dyDescent="0.25">
      <c r="A925" s="5">
        <v>43668</v>
      </c>
      <c r="B925">
        <v>4.3291000000000004</v>
      </c>
      <c r="C925">
        <v>4.4156000000000004</v>
      </c>
      <c r="D925">
        <v>3.9466999999999999</v>
      </c>
      <c r="E925">
        <v>4.1257000000000001</v>
      </c>
      <c r="F925">
        <v>4684268.8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-0.23651098315205774</v>
      </c>
      <c r="Q925">
        <f t="shared" si="1015"/>
        <v>-1107881.0192365097</v>
      </c>
      <c r="R925">
        <f t="shared" si="1016"/>
        <v>139733303.88273484</v>
      </c>
      <c r="S925">
        <f t="shared" si="1017"/>
        <v>1397.3330388273484</v>
      </c>
      <c r="T925">
        <f t="shared" si="1018"/>
        <v>1.3973330388273484</v>
      </c>
    </row>
    <row r="926" spans="1:20" x14ac:dyDescent="0.25">
      <c r="A926" s="5">
        <v>43667</v>
      </c>
      <c r="B926">
        <v>4.3007</v>
      </c>
      <c r="C926">
        <v>4.3503999999999996</v>
      </c>
      <c r="D926">
        <v>4.1500000000000004</v>
      </c>
      <c r="E926">
        <v>4.3288000000000002</v>
      </c>
      <c r="F926">
        <v>4392552.3899999997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0.78443113772455608</v>
      </c>
      <c r="Q926">
        <f t="shared" si="1015"/>
        <v>3445654.8688024175</v>
      </c>
      <c r="R926">
        <f t="shared" si="1016"/>
        <v>140841184.90197134</v>
      </c>
      <c r="S926">
        <f t="shared" si="1017"/>
        <v>1408.4118490197134</v>
      </c>
      <c r="T926">
        <f t="shared" si="1018"/>
        <v>1.4084118490197133</v>
      </c>
    </row>
    <row r="927" spans="1:20" x14ac:dyDescent="0.25">
      <c r="A927" s="5">
        <v>43666</v>
      </c>
      <c r="B927">
        <v>4.0399000000000003</v>
      </c>
      <c r="C927">
        <v>4.4752000000000001</v>
      </c>
      <c r="D927">
        <v>3.9950999999999999</v>
      </c>
      <c r="E927">
        <v>4.2983000000000002</v>
      </c>
      <c r="F927">
        <v>6169265.4400000004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0.2630701937096448</v>
      </c>
      <c r="Q927">
        <f t="shared" si="1015"/>
        <v>1622949.8543470171</v>
      </c>
      <c r="R927">
        <f t="shared" si="1016"/>
        <v>137395530.03316891</v>
      </c>
      <c r="S927">
        <f t="shared" si="1017"/>
        <v>1373.9553003316892</v>
      </c>
      <c r="T927">
        <f t="shared" si="1018"/>
        <v>1.3739553003316891</v>
      </c>
    </row>
    <row r="928" spans="1:20" x14ac:dyDescent="0.25">
      <c r="A928" s="5">
        <v>43665</v>
      </c>
      <c r="B928">
        <v>4.0993000000000004</v>
      </c>
      <c r="C928">
        <v>4.1500000000000004</v>
      </c>
      <c r="D928">
        <v>3.78</v>
      </c>
      <c r="E928">
        <v>4.0366</v>
      </c>
      <c r="F928">
        <v>5244507.99</v>
      </c>
      <c r="G928">
        <v>0</v>
      </c>
      <c r="L928" t="s">
        <v>7</v>
      </c>
      <c r="M928" t="s">
        <v>8</v>
      </c>
      <c r="N928" t="s">
        <v>7</v>
      </c>
      <c r="P928">
        <f t="shared" si="1014"/>
        <v>0.38702702702702585</v>
      </c>
      <c r="Q928">
        <f t="shared" si="1015"/>
        <v>2029766.335589183</v>
      </c>
      <c r="R928">
        <f t="shared" si="1016"/>
        <v>135772580.17882189</v>
      </c>
      <c r="S928">
        <f t="shared" si="1017"/>
        <v>1357.7258017882189</v>
      </c>
      <c r="T928">
        <f t="shared" si="1018"/>
        <v>1.3577258017882188</v>
      </c>
    </row>
    <row r="929" spans="1:20" x14ac:dyDescent="0.25">
      <c r="A929" s="5">
        <v>43664</v>
      </c>
      <c r="B929">
        <v>3.8311999999999999</v>
      </c>
      <c r="C929">
        <v>4.2323000000000004</v>
      </c>
      <c r="D929">
        <v>3.7412000000000001</v>
      </c>
      <c r="E929">
        <v>4.1013000000000002</v>
      </c>
      <c r="F929">
        <v>9895495.3699999992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0.46650376705355268</v>
      </c>
      <c r="Q929">
        <f t="shared" si="1015"/>
        <v>4616285.8669659887</v>
      </c>
      <c r="R929">
        <f t="shared" si="1016"/>
        <v>133742813.84323271</v>
      </c>
      <c r="S929">
        <f t="shared" si="1017"/>
        <v>1337.4281384323272</v>
      </c>
      <c r="T929">
        <f t="shared" si="1018"/>
        <v>1.3374281384323272</v>
      </c>
    </row>
    <row r="930" spans="1:20" x14ac:dyDescent="0.25">
      <c r="A930" s="5">
        <v>43663</v>
      </c>
      <c r="B930">
        <v>3.6667000000000001</v>
      </c>
      <c r="C930">
        <v>4.1189</v>
      </c>
      <c r="D930">
        <v>3.5154999999999998</v>
      </c>
      <c r="E930">
        <v>3.827</v>
      </c>
      <c r="F930">
        <v>13930817.91</v>
      </c>
      <c r="G930">
        <v>0</v>
      </c>
      <c r="L930" t="s">
        <v>8</v>
      </c>
      <c r="M930" t="s">
        <v>8</v>
      </c>
      <c r="N930" t="s">
        <v>7</v>
      </c>
      <c r="P930">
        <f t="shared" si="1014"/>
        <v>3.2482598607888727E-2</v>
      </c>
      <c r="Q930">
        <f t="shared" si="1015"/>
        <v>452509.16645011737</v>
      </c>
      <c r="R930">
        <f t="shared" si="1016"/>
        <v>129126527.97626671</v>
      </c>
      <c r="S930">
        <f t="shared" si="1017"/>
        <v>1291.2652797626672</v>
      </c>
      <c r="T930">
        <f t="shared" si="1018"/>
        <v>1.2912652797626671</v>
      </c>
    </row>
    <row r="931" spans="1:20" x14ac:dyDescent="0.25">
      <c r="A931" s="5">
        <v>43662</v>
      </c>
      <c r="B931">
        <v>4.2892999999999999</v>
      </c>
      <c r="C931">
        <v>4.3600000000000003</v>
      </c>
      <c r="D931">
        <v>3.3401999999999998</v>
      </c>
      <c r="E931">
        <v>3.6600999999999999</v>
      </c>
      <c r="F931">
        <v>17659083.760000002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-0.37262208276132591</v>
      </c>
      <c r="Q931">
        <f t="shared" si="1015"/>
        <v>-6580164.5703079067</v>
      </c>
      <c r="R931">
        <f t="shared" si="1016"/>
        <v>128674018.8098166</v>
      </c>
      <c r="S931">
        <f t="shared" si="1017"/>
        <v>1286.7401880981661</v>
      </c>
      <c r="T931">
        <f t="shared" si="1018"/>
        <v>1.2867401880981661</v>
      </c>
    </row>
    <row r="932" spans="1:20" x14ac:dyDescent="0.25">
      <c r="A932" s="5">
        <v>43661</v>
      </c>
      <c r="B932">
        <v>4.1002999999999998</v>
      </c>
      <c r="C932">
        <v>4.4303999999999997</v>
      </c>
      <c r="D932">
        <v>3.9643000000000002</v>
      </c>
      <c r="E932">
        <v>4.2930999999999999</v>
      </c>
      <c r="F932">
        <v>10938591.710000001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0.41085603947650762</v>
      </c>
      <c r="Q932">
        <f t="shared" si="1015"/>
        <v>4494186.4674211591</v>
      </c>
      <c r="R932">
        <f t="shared" si="1016"/>
        <v>135254183.38012451</v>
      </c>
      <c r="S932">
        <f t="shared" si="1017"/>
        <v>1352.541833801245</v>
      </c>
      <c r="T932">
        <f t="shared" si="1018"/>
        <v>1.3525418338012452</v>
      </c>
    </row>
    <row r="933" spans="1:20" x14ac:dyDescent="0.25">
      <c r="A933" s="5">
        <v>43660</v>
      </c>
      <c r="B933">
        <v>4.75</v>
      </c>
      <c r="C933">
        <v>4.7712000000000003</v>
      </c>
      <c r="D933">
        <v>4.0468999999999999</v>
      </c>
      <c r="E933">
        <v>4.0999999999999996</v>
      </c>
      <c r="F933">
        <v>9790162.5700000003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-0.85337567306364859</v>
      </c>
      <c r="Q933">
        <f t="shared" si="1015"/>
        <v>-8354686.57257629</v>
      </c>
      <c r="R933">
        <f t="shared" si="1016"/>
        <v>130759996.91270334</v>
      </c>
      <c r="S933">
        <f t="shared" si="1017"/>
        <v>1307.5999691270333</v>
      </c>
      <c r="T933">
        <f t="shared" si="1018"/>
        <v>1.3075999691270332</v>
      </c>
    </row>
    <row r="934" spans="1:20" x14ac:dyDescent="0.25">
      <c r="A934" s="5">
        <v>43659</v>
      </c>
      <c r="B934">
        <v>4.7887000000000004</v>
      </c>
      <c r="C934">
        <v>4.83</v>
      </c>
      <c r="D934">
        <v>4.5585000000000004</v>
      </c>
      <c r="E934">
        <v>4.7492000000000001</v>
      </c>
      <c r="F934">
        <v>6192644.1799999997</v>
      </c>
      <c r="G934">
        <v>0</v>
      </c>
      <c r="L934" t="s">
        <v>8</v>
      </c>
      <c r="M934" t="s">
        <v>7</v>
      </c>
      <c r="N934" t="s">
        <v>7</v>
      </c>
      <c r="P934">
        <f t="shared" si="1014"/>
        <v>0.40478821362799194</v>
      </c>
      <c r="Q934">
        <f t="shared" si="1015"/>
        <v>2506709.375255981</v>
      </c>
      <c r="R934">
        <f t="shared" si="1016"/>
        <v>139114683.48527962</v>
      </c>
      <c r="S934">
        <f t="shared" si="1017"/>
        <v>1391.1468348527962</v>
      </c>
      <c r="T934">
        <f t="shared" si="1018"/>
        <v>1.3911468348527962</v>
      </c>
    </row>
    <row r="935" spans="1:20" x14ac:dyDescent="0.25">
      <c r="A935" s="5">
        <v>43658</v>
      </c>
      <c r="B935">
        <v>4.6862000000000004</v>
      </c>
      <c r="C935">
        <v>4.8700999999999999</v>
      </c>
      <c r="D935">
        <v>4.5883000000000003</v>
      </c>
      <c r="E935">
        <v>4.7866999999999997</v>
      </c>
      <c r="F935">
        <v>8803293.6500000004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0.40809084457061562</v>
      </c>
      <c r="Q935">
        <f t="shared" si="1015"/>
        <v>3592543.5406316374</v>
      </c>
      <c r="R935">
        <f t="shared" si="1016"/>
        <v>136607974.11002365</v>
      </c>
      <c r="S935">
        <f t="shared" si="1017"/>
        <v>1366.0797411002366</v>
      </c>
      <c r="T935">
        <f t="shared" si="1018"/>
        <v>1.3660797411002366</v>
      </c>
    </row>
    <row r="936" spans="1:20" x14ac:dyDescent="0.25">
      <c r="A936" s="5">
        <v>43657</v>
      </c>
      <c r="B936">
        <v>5.2675999999999998</v>
      </c>
      <c r="C936">
        <v>5.2698</v>
      </c>
      <c r="D936">
        <v>4.3834999999999997</v>
      </c>
      <c r="E936">
        <v>4.6867999999999999</v>
      </c>
      <c r="F936">
        <v>17980551.109999999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-0.31558163150174878</v>
      </c>
      <c r="Q936">
        <f t="shared" si="1015"/>
        <v>-5674331.6545943795</v>
      </c>
      <c r="R936">
        <f t="shared" si="1016"/>
        <v>133015430.56939201</v>
      </c>
      <c r="S936">
        <f t="shared" si="1017"/>
        <v>1330.1543056939202</v>
      </c>
      <c r="T936">
        <f t="shared" si="1018"/>
        <v>1.3301543056939202</v>
      </c>
    </row>
    <row r="937" spans="1:20" x14ac:dyDescent="0.25">
      <c r="A937" s="5">
        <v>43656</v>
      </c>
      <c r="B937">
        <v>5.8861999999999997</v>
      </c>
      <c r="C937">
        <v>5.9184000000000001</v>
      </c>
      <c r="D937">
        <v>5.0316999999999998</v>
      </c>
      <c r="E937">
        <v>5.2682000000000002</v>
      </c>
      <c r="F937">
        <v>13969485.369999999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-0.46656140746588404</v>
      </c>
      <c r="Q937">
        <f t="shared" si="1015"/>
        <v>-6517622.7558012754</v>
      </c>
      <c r="R937">
        <f t="shared" si="1016"/>
        <v>138689762.22398639</v>
      </c>
      <c r="S937">
        <f t="shared" si="1017"/>
        <v>1386.8976222398639</v>
      </c>
      <c r="T937">
        <f t="shared" si="1018"/>
        <v>1.3868976222398639</v>
      </c>
    </row>
    <row r="938" spans="1:20" x14ac:dyDescent="0.25">
      <c r="A938" s="5">
        <v>43655</v>
      </c>
      <c r="B938">
        <v>5.9391999999999996</v>
      </c>
      <c r="C938">
        <v>6.0254000000000003</v>
      </c>
      <c r="D938">
        <v>5.8272000000000004</v>
      </c>
      <c r="E938">
        <v>5.8859000000000004</v>
      </c>
      <c r="F938">
        <v>4985903.78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-0.40766902119071652</v>
      </c>
      <c r="Q938">
        <f t="shared" si="1015"/>
        <v>-2032598.5137436937</v>
      </c>
      <c r="R938">
        <f t="shared" si="1016"/>
        <v>145207384.97978768</v>
      </c>
      <c r="S938">
        <f t="shared" si="1017"/>
        <v>1452.0738497978768</v>
      </c>
      <c r="T938">
        <f t="shared" si="1018"/>
        <v>1.4520738497978769</v>
      </c>
    </row>
    <row r="939" spans="1:20" x14ac:dyDescent="0.25">
      <c r="A939" s="5">
        <v>43654</v>
      </c>
      <c r="B939">
        <v>5.9278000000000004</v>
      </c>
      <c r="C939">
        <v>5.9850000000000003</v>
      </c>
      <c r="D939">
        <v>5.8173000000000004</v>
      </c>
      <c r="E939">
        <v>5.9385000000000003</v>
      </c>
      <c r="F939">
        <v>3686162.35</v>
      </c>
      <c r="G939">
        <v>0</v>
      </c>
      <c r="L939" t="s">
        <v>7</v>
      </c>
      <c r="M939" t="s">
        <v>7</v>
      </c>
      <c r="N939" t="s">
        <v>7</v>
      </c>
      <c r="P939">
        <f t="shared" si="1014"/>
        <v>0.445438282647585</v>
      </c>
      <c r="Q939">
        <f t="shared" si="1015"/>
        <v>1641957.8267441862</v>
      </c>
      <c r="R939">
        <f t="shared" si="1016"/>
        <v>147239983.49353138</v>
      </c>
      <c r="S939">
        <f t="shared" si="1017"/>
        <v>1472.3998349353137</v>
      </c>
      <c r="T939">
        <f t="shared" si="1018"/>
        <v>1.4723998349353138</v>
      </c>
    </row>
    <row r="940" spans="1:20" x14ac:dyDescent="0.25">
      <c r="A940" s="5">
        <v>43653</v>
      </c>
      <c r="B940">
        <v>5.7690999999999999</v>
      </c>
      <c r="C940">
        <v>6.0231000000000003</v>
      </c>
      <c r="D940">
        <v>5.7450000000000001</v>
      </c>
      <c r="E940">
        <v>5.9278000000000004</v>
      </c>
      <c r="F940">
        <v>2781359.82</v>
      </c>
      <c r="G940">
        <v>0</v>
      </c>
      <c r="L940" t="s">
        <v>7</v>
      </c>
      <c r="M940" t="s">
        <v>7</v>
      </c>
      <c r="N940" t="s">
        <v>7</v>
      </c>
      <c r="P940">
        <f t="shared" si="1014"/>
        <v>0.31463502337288846</v>
      </c>
      <c r="Q940">
        <f t="shared" si="1015"/>
        <v>875113.21197411278</v>
      </c>
      <c r="R940">
        <f t="shared" si="1016"/>
        <v>145598025.66678718</v>
      </c>
      <c r="S940">
        <f t="shared" si="1017"/>
        <v>1455.9802566678718</v>
      </c>
      <c r="T940">
        <f t="shared" si="1018"/>
        <v>1.4559802566678719</v>
      </c>
    </row>
    <row r="941" spans="1:20" x14ac:dyDescent="0.25">
      <c r="A941" s="5">
        <v>43652</v>
      </c>
      <c r="B941">
        <v>5.7416999999999998</v>
      </c>
      <c r="C941">
        <v>5.9713000000000003</v>
      </c>
      <c r="D941">
        <v>5.6989999999999998</v>
      </c>
      <c r="E941">
        <v>5.7691999999999997</v>
      </c>
      <c r="F941">
        <v>4080213.29</v>
      </c>
      <c r="G941">
        <v>0</v>
      </c>
      <c r="L941" t="s">
        <v>7</v>
      </c>
      <c r="M941" t="s">
        <v>7</v>
      </c>
      <c r="N941" t="s">
        <v>7</v>
      </c>
      <c r="P941">
        <f t="shared" si="1014"/>
        <v>-0.48439221446933745</v>
      </c>
      <c r="Q941">
        <f t="shared" si="1015"/>
        <v>-1976423.551050321</v>
      </c>
      <c r="R941">
        <f t="shared" si="1016"/>
        <v>144722912.45481306</v>
      </c>
      <c r="S941">
        <f t="shared" si="1017"/>
        <v>1447.2291245481306</v>
      </c>
      <c r="T941">
        <f t="shared" si="1018"/>
        <v>1.4472291245481306</v>
      </c>
    </row>
    <row r="942" spans="1:20" x14ac:dyDescent="0.25">
      <c r="A942" s="5">
        <v>43651</v>
      </c>
      <c r="B942">
        <v>5.7164000000000001</v>
      </c>
      <c r="C942">
        <v>5.89</v>
      </c>
      <c r="D942">
        <v>5.6765999999999996</v>
      </c>
      <c r="E942">
        <v>5.7431000000000001</v>
      </c>
      <c r="F942">
        <v>4258687.6399999997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-0.37675726335519738</v>
      </c>
      <c r="Q942">
        <f t="shared" si="1015"/>
        <v>-1604491.5007310039</v>
      </c>
      <c r="R942">
        <f t="shared" si="1016"/>
        <v>146699336.0058634</v>
      </c>
      <c r="S942">
        <f t="shared" si="1017"/>
        <v>1466.9933600586339</v>
      </c>
      <c r="T942">
        <f t="shared" si="1018"/>
        <v>1.466993360058634</v>
      </c>
    </row>
    <row r="943" spans="1:20" x14ac:dyDescent="0.25">
      <c r="A943" s="5">
        <v>43650</v>
      </c>
      <c r="B943">
        <v>6.0422000000000002</v>
      </c>
      <c r="C943">
        <v>6.0580999999999996</v>
      </c>
      <c r="D943">
        <v>5.6550000000000002</v>
      </c>
      <c r="E943">
        <v>5.7165999999999997</v>
      </c>
      <c r="F943">
        <v>5600735.9500000002</v>
      </c>
      <c r="G943">
        <v>0</v>
      </c>
      <c r="L943" t="s">
        <v>7</v>
      </c>
      <c r="M943" t="s">
        <v>7</v>
      </c>
      <c r="N943" t="s">
        <v>7</v>
      </c>
      <c r="P943">
        <f t="shared" si="1014"/>
        <v>-0.69436864301662349</v>
      </c>
      <c r="Q943">
        <f t="shared" si="1015"/>
        <v>-3888975.4214959196</v>
      </c>
      <c r="R943">
        <f t="shared" si="1016"/>
        <v>148303827.50659439</v>
      </c>
      <c r="S943">
        <f t="shared" si="1017"/>
        <v>1483.0382750659439</v>
      </c>
      <c r="T943">
        <f t="shared" si="1018"/>
        <v>1.4830382750659439</v>
      </c>
    </row>
    <row r="944" spans="1:20" x14ac:dyDescent="0.25">
      <c r="A944" s="5">
        <v>43649</v>
      </c>
      <c r="B944">
        <v>5.8975</v>
      </c>
      <c r="C944">
        <v>6.0972</v>
      </c>
      <c r="D944">
        <v>5.8</v>
      </c>
      <c r="E944">
        <v>6.0404999999999998</v>
      </c>
      <c r="F944">
        <v>7260751.6299999999</v>
      </c>
      <c r="G944">
        <v>0</v>
      </c>
      <c r="L944" t="s">
        <v>8</v>
      </c>
      <c r="M944" t="s">
        <v>7</v>
      </c>
      <c r="N944" t="s">
        <v>7</v>
      </c>
      <c r="P944">
        <f t="shared" si="1014"/>
        <v>0.6184387617765803</v>
      </c>
      <c r="Q944">
        <f t="shared" si="1015"/>
        <v>4490330.2476244867</v>
      </c>
      <c r="R944">
        <f t="shared" si="1016"/>
        <v>152192802.9280903</v>
      </c>
      <c r="S944">
        <f t="shared" si="1017"/>
        <v>1521.928029280903</v>
      </c>
      <c r="T944">
        <f t="shared" si="1018"/>
        <v>1.521928029280903</v>
      </c>
    </row>
    <row r="945" spans="1:20" x14ac:dyDescent="0.25">
      <c r="A945" s="5">
        <v>43648</v>
      </c>
      <c r="B945">
        <v>6.0514999999999999</v>
      </c>
      <c r="C945">
        <v>6.15</v>
      </c>
      <c r="D945">
        <v>5.5812999999999997</v>
      </c>
      <c r="E945">
        <v>5.8956999999999997</v>
      </c>
      <c r="F945">
        <v>10062396.68</v>
      </c>
      <c r="G945">
        <v>0</v>
      </c>
      <c r="L945" t="s">
        <v>8</v>
      </c>
      <c r="M945" t="s">
        <v>7</v>
      </c>
      <c r="N945" t="s">
        <v>7</v>
      </c>
      <c r="P945">
        <f t="shared" si="1014"/>
        <v>0.1056796201863888</v>
      </c>
      <c r="Q945">
        <f t="shared" si="1015"/>
        <v>1063390.2593071796</v>
      </c>
      <c r="R945">
        <f t="shared" si="1016"/>
        <v>147702472.68046582</v>
      </c>
      <c r="S945">
        <f t="shared" si="1017"/>
        <v>1477.0247268046583</v>
      </c>
      <c r="T945">
        <f t="shared" si="1018"/>
        <v>1.4770247268046583</v>
      </c>
    </row>
    <row r="946" spans="1:20" x14ac:dyDescent="0.25">
      <c r="A946" s="5">
        <v>43647</v>
      </c>
      <c r="B946">
        <v>5.7949000000000002</v>
      </c>
      <c r="C946">
        <v>6.0763999999999996</v>
      </c>
      <c r="D946">
        <v>5.5503999999999998</v>
      </c>
      <c r="E946">
        <v>6.0488</v>
      </c>
      <c r="F946">
        <v>10552912.83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0.89505703422053373</v>
      </c>
      <c r="Q946">
        <f t="shared" si="1015"/>
        <v>9445458.8600076195</v>
      </c>
      <c r="R946">
        <f t="shared" si="1016"/>
        <v>146639082.42115864</v>
      </c>
      <c r="S946">
        <f t="shared" si="1017"/>
        <v>1466.3908242115865</v>
      </c>
      <c r="T946">
        <f t="shared" si="1018"/>
        <v>1.4663908242115864</v>
      </c>
    </row>
    <row r="947" spans="1:20" x14ac:dyDescent="0.25">
      <c r="A947" s="5">
        <v>43646</v>
      </c>
      <c r="B947">
        <v>6.3281999999999998</v>
      </c>
      <c r="C947">
        <v>6.3966000000000003</v>
      </c>
      <c r="D947">
        <v>5.6894</v>
      </c>
      <c r="E947">
        <v>5.7926000000000002</v>
      </c>
      <c r="F947">
        <v>8043978.96</v>
      </c>
      <c r="G947">
        <v>0</v>
      </c>
      <c r="L947" t="s">
        <v>7</v>
      </c>
      <c r="M947" t="s">
        <v>7</v>
      </c>
      <c r="N947" t="s">
        <v>7</v>
      </c>
      <c r="P947">
        <f t="shared" si="1014"/>
        <v>-0.70814479638009009</v>
      </c>
      <c r="Q947">
        <f t="shared" si="1015"/>
        <v>-5696301.842714929</v>
      </c>
      <c r="R947">
        <f t="shared" si="1016"/>
        <v>137193623.56115103</v>
      </c>
      <c r="S947">
        <f t="shared" si="1017"/>
        <v>1371.9362356115103</v>
      </c>
      <c r="T947">
        <f t="shared" si="1018"/>
        <v>1.3719362356115103</v>
      </c>
    </row>
    <row r="948" spans="1:20" x14ac:dyDescent="0.25">
      <c r="A948" s="5">
        <v>43645</v>
      </c>
      <c r="B948">
        <v>6.2206000000000001</v>
      </c>
      <c r="C948">
        <v>6.3914999999999997</v>
      </c>
      <c r="D948">
        <v>5.9565999999999999</v>
      </c>
      <c r="E948">
        <v>6.3301999999999996</v>
      </c>
      <c r="F948">
        <v>7403462.75</v>
      </c>
      <c r="G948">
        <v>0</v>
      </c>
      <c r="L948" t="s">
        <v>8</v>
      </c>
      <c r="M948" t="s">
        <v>7</v>
      </c>
      <c r="N948" t="s">
        <v>7</v>
      </c>
      <c r="P948">
        <f t="shared" si="1014"/>
        <v>0.71809611404920604</v>
      </c>
      <c r="Q948">
        <f t="shared" si="1015"/>
        <v>5316397.8312830487</v>
      </c>
      <c r="R948">
        <f t="shared" si="1016"/>
        <v>142889925.40386596</v>
      </c>
      <c r="S948">
        <f t="shared" si="1017"/>
        <v>1428.8992540386596</v>
      </c>
      <c r="T948">
        <f t="shared" si="1018"/>
        <v>1.4288992540386596</v>
      </c>
    </row>
    <row r="949" spans="1:20" x14ac:dyDescent="0.25">
      <c r="A949" s="5">
        <v>43644</v>
      </c>
      <c r="B949">
        <v>5.9741999999999997</v>
      </c>
      <c r="C949">
        <v>6.2918000000000003</v>
      </c>
      <c r="D949">
        <v>5.7625000000000002</v>
      </c>
      <c r="E949">
        <v>6.2182000000000004</v>
      </c>
      <c r="F949">
        <v>12172080.98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0.72189684488947714</v>
      </c>
      <c r="Q949">
        <f t="shared" si="1015"/>
        <v>8786986.8552012146</v>
      </c>
      <c r="R949">
        <f t="shared" si="1016"/>
        <v>137573527.5725829</v>
      </c>
      <c r="S949">
        <f t="shared" si="1017"/>
        <v>1375.7352757258291</v>
      </c>
      <c r="T949">
        <f t="shared" si="1018"/>
        <v>1.375735275725829</v>
      </c>
    </row>
    <row r="950" spans="1:20" x14ac:dyDescent="0.25">
      <c r="A950" s="5">
        <v>43643</v>
      </c>
      <c r="B950">
        <v>6.8082000000000003</v>
      </c>
      <c r="C950">
        <v>6.8556999999999997</v>
      </c>
      <c r="D950">
        <v>5.6329000000000002</v>
      </c>
      <c r="E950">
        <v>5.9663000000000004</v>
      </c>
      <c r="F950">
        <v>20215677.510000002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-0.45469414458619511</v>
      </c>
      <c r="Q950">
        <f t="shared" si="1015"/>
        <v>-9191950.1926398333</v>
      </c>
      <c r="R950">
        <f t="shared" si="1016"/>
        <v>128786540.71738169</v>
      </c>
      <c r="S950">
        <f t="shared" si="1017"/>
        <v>1287.8654071738169</v>
      </c>
      <c r="T950">
        <f t="shared" si="1018"/>
        <v>1.2878654071738169</v>
      </c>
    </row>
    <row r="951" spans="1:20" x14ac:dyDescent="0.25">
      <c r="A951" s="5">
        <v>43642</v>
      </c>
      <c r="B951">
        <v>7.1736000000000004</v>
      </c>
      <c r="C951">
        <v>7.4474999999999998</v>
      </c>
      <c r="D951">
        <v>6.1</v>
      </c>
      <c r="E951">
        <v>6.8095999999999997</v>
      </c>
      <c r="F951">
        <v>16934720.289999999</v>
      </c>
      <c r="G951">
        <v>0</v>
      </c>
      <c r="L951" t="s">
        <v>7</v>
      </c>
      <c r="M951" t="s">
        <v>7</v>
      </c>
      <c r="N951" t="s">
        <v>7</v>
      </c>
      <c r="P951">
        <f t="shared" si="1014"/>
        <v>5.3209647495361681E-2</v>
      </c>
      <c r="Q951">
        <f t="shared" si="1015"/>
        <v>901090.49706344912</v>
      </c>
      <c r="R951">
        <f t="shared" si="1016"/>
        <v>137978490.91002151</v>
      </c>
      <c r="S951">
        <f t="shared" si="1017"/>
        <v>1379.7849091002151</v>
      </c>
      <c r="T951">
        <f t="shared" si="1018"/>
        <v>1.3797849091002152</v>
      </c>
    </row>
    <row r="952" spans="1:20" x14ac:dyDescent="0.25">
      <c r="A952" s="5">
        <v>43641</v>
      </c>
      <c r="B952">
        <v>7.2541000000000002</v>
      </c>
      <c r="C952">
        <v>7.3083</v>
      </c>
      <c r="D952">
        <v>6.9618000000000002</v>
      </c>
      <c r="E952">
        <v>7.1726000000000001</v>
      </c>
      <c r="F952">
        <v>5149908.78</v>
      </c>
      <c r="G952">
        <v>0</v>
      </c>
      <c r="L952" t="s">
        <v>7</v>
      </c>
      <c r="M952" t="s">
        <v>8</v>
      </c>
      <c r="N952" t="s">
        <v>7</v>
      </c>
      <c r="P952">
        <f t="shared" si="1014"/>
        <v>0.2167388167388167</v>
      </c>
      <c r="Q952">
        <f t="shared" si="1015"/>
        <v>1116185.1352900432</v>
      </c>
      <c r="R952">
        <f t="shared" si="1016"/>
        <v>137077400.41295806</v>
      </c>
      <c r="S952">
        <f t="shared" si="1017"/>
        <v>1370.7740041295806</v>
      </c>
      <c r="T952">
        <f t="shared" si="1018"/>
        <v>1.3707740041295806</v>
      </c>
    </row>
    <row r="953" spans="1:20" x14ac:dyDescent="0.25">
      <c r="A953" s="5">
        <v>43640</v>
      </c>
      <c r="B953">
        <v>7.2705000000000002</v>
      </c>
      <c r="C953">
        <v>7.2733999999999996</v>
      </c>
      <c r="D953">
        <v>7.0368000000000004</v>
      </c>
      <c r="E953">
        <v>7.2558999999999996</v>
      </c>
      <c r="F953">
        <v>4507862.7699999996</v>
      </c>
      <c r="G953">
        <v>0</v>
      </c>
      <c r="L953" t="s">
        <v>7</v>
      </c>
      <c r="M953" t="s">
        <v>8</v>
      </c>
      <c r="N953" t="s">
        <v>7</v>
      </c>
      <c r="P953">
        <f t="shared" si="1014"/>
        <v>0.85207100591715867</v>
      </c>
      <c r="Q953">
        <f t="shared" si="1015"/>
        <v>3841019.1649704091</v>
      </c>
      <c r="R953">
        <f t="shared" si="1016"/>
        <v>135961215.277668</v>
      </c>
      <c r="S953">
        <f t="shared" si="1017"/>
        <v>1359.61215277668</v>
      </c>
      <c r="T953">
        <f t="shared" si="1018"/>
        <v>1.35961215277668</v>
      </c>
    </row>
    <row r="954" spans="1:20" x14ac:dyDescent="0.25">
      <c r="A954" s="5">
        <v>43639</v>
      </c>
      <c r="B954">
        <v>7.5068999999999999</v>
      </c>
      <c r="C954">
        <v>7.6497000000000002</v>
      </c>
      <c r="D954">
        <v>7.1700999999999997</v>
      </c>
      <c r="E954">
        <v>7.2712000000000003</v>
      </c>
      <c r="F954">
        <v>6323886.3700000001</v>
      </c>
      <c r="G954">
        <v>0</v>
      </c>
      <c r="L954" t="s">
        <v>8</v>
      </c>
      <c r="M954" t="s">
        <v>8</v>
      </c>
      <c r="N954" t="s">
        <v>7</v>
      </c>
      <c r="P954">
        <f t="shared" si="1014"/>
        <v>-0.5783986655546266</v>
      </c>
      <c r="Q954">
        <f t="shared" si="1015"/>
        <v>-3657727.4375270917</v>
      </c>
      <c r="R954">
        <f t="shared" si="1016"/>
        <v>132120196.1126976</v>
      </c>
      <c r="S954">
        <f t="shared" si="1017"/>
        <v>1321.2019611269759</v>
      </c>
      <c r="T954">
        <f t="shared" si="1018"/>
        <v>1.3212019611269759</v>
      </c>
    </row>
    <row r="955" spans="1:20" x14ac:dyDescent="0.25">
      <c r="A955" s="5">
        <v>43638</v>
      </c>
      <c r="B955">
        <v>7.0339</v>
      </c>
      <c r="C955">
        <v>7.5952999999999999</v>
      </c>
      <c r="D955">
        <v>6.9509999999999996</v>
      </c>
      <c r="E955">
        <v>7.5049000000000001</v>
      </c>
      <c r="F955">
        <v>12185410.18</v>
      </c>
      <c r="G955">
        <v>0</v>
      </c>
      <c r="L955" t="s">
        <v>8</v>
      </c>
      <c r="M955" t="s">
        <v>8</v>
      </c>
      <c r="N955" t="s">
        <v>7</v>
      </c>
      <c r="P955">
        <f t="shared" si="1014"/>
        <v>0.71938537948160863</v>
      </c>
      <c r="Q955">
        <f t="shared" si="1015"/>
        <v>8766005.9264783561</v>
      </c>
      <c r="R955">
        <f t="shared" si="1016"/>
        <v>135777923.55022469</v>
      </c>
      <c r="S955">
        <f t="shared" si="1017"/>
        <v>1357.7792355022468</v>
      </c>
      <c r="T955">
        <f t="shared" si="1018"/>
        <v>1.3577792355022469</v>
      </c>
    </row>
    <row r="956" spans="1:20" x14ac:dyDescent="0.25">
      <c r="A956" s="5">
        <v>43637</v>
      </c>
      <c r="B956">
        <v>6.8291000000000004</v>
      </c>
      <c r="C956">
        <v>7.1219999999999999</v>
      </c>
      <c r="D956">
        <v>6.77</v>
      </c>
      <c r="E956">
        <v>7.0377000000000001</v>
      </c>
      <c r="F956">
        <v>6706235.5</v>
      </c>
      <c r="G956">
        <v>0</v>
      </c>
      <c r="L956" t="s">
        <v>8</v>
      </c>
      <c r="M956" t="s">
        <v>8</v>
      </c>
      <c r="N956" t="s">
        <v>7</v>
      </c>
      <c r="P956">
        <f t="shared" si="1014"/>
        <v>0.52102272727272869</v>
      </c>
      <c r="Q956">
        <f t="shared" si="1015"/>
        <v>3494101.1099431915</v>
      </c>
      <c r="R956">
        <f t="shared" si="1016"/>
        <v>127011917.62374634</v>
      </c>
      <c r="S956">
        <f t="shared" si="1017"/>
        <v>1270.1191762374633</v>
      </c>
      <c r="T956">
        <f t="shared" si="1018"/>
        <v>1.2701191762374633</v>
      </c>
    </row>
    <row r="957" spans="1:20" x14ac:dyDescent="0.25">
      <c r="A957" s="5">
        <v>43636</v>
      </c>
      <c r="B957">
        <v>6.8574000000000002</v>
      </c>
      <c r="C957">
        <v>6.8944000000000001</v>
      </c>
      <c r="D957">
        <v>6.6643999999999997</v>
      </c>
      <c r="E957">
        <v>6.8277000000000001</v>
      </c>
      <c r="F957">
        <v>3830065.3</v>
      </c>
      <c r="G957">
        <v>0</v>
      </c>
      <c r="L957" t="s">
        <v>7</v>
      </c>
      <c r="M957" t="s">
        <v>8</v>
      </c>
      <c r="N957" t="s">
        <v>7</v>
      </c>
      <c r="P957">
        <f t="shared" si="1014"/>
        <v>0.42000000000000126</v>
      </c>
      <c r="Q957">
        <f t="shared" si="1015"/>
        <v>1608627.4260000049</v>
      </c>
      <c r="R957">
        <f t="shared" si="1016"/>
        <v>123517816.51380314</v>
      </c>
      <c r="S957">
        <f t="shared" si="1017"/>
        <v>1235.1781651380313</v>
      </c>
      <c r="T957">
        <f t="shared" si="1018"/>
        <v>1.2351781651380314</v>
      </c>
    </row>
    <row r="958" spans="1:20" x14ac:dyDescent="0.25">
      <c r="A958" s="5">
        <v>43635</v>
      </c>
      <c r="B958">
        <v>6.7824</v>
      </c>
      <c r="C958">
        <v>6.9653</v>
      </c>
      <c r="D958">
        <v>6.7473000000000001</v>
      </c>
      <c r="E958">
        <v>6.8543000000000003</v>
      </c>
      <c r="F958">
        <v>3062443.95</v>
      </c>
      <c r="G958">
        <v>0</v>
      </c>
      <c r="L958" t="s">
        <v>7</v>
      </c>
      <c r="M958" t="s">
        <v>8</v>
      </c>
      <c r="N958" t="s">
        <v>7</v>
      </c>
      <c r="P958">
        <f t="shared" si="1014"/>
        <v>-1.8348623853208991E-2</v>
      </c>
      <c r="Q958">
        <f t="shared" si="1015"/>
        <v>-56191.632110085564</v>
      </c>
      <c r="R958">
        <f t="shared" si="1016"/>
        <v>121909189.08780314</v>
      </c>
      <c r="S958">
        <f t="shared" si="1017"/>
        <v>1219.0918908780313</v>
      </c>
      <c r="T958">
        <f t="shared" si="1018"/>
        <v>1.2190918908780313</v>
      </c>
    </row>
    <row r="959" spans="1:20" x14ac:dyDescent="0.25">
      <c r="A959" s="5">
        <v>43634</v>
      </c>
      <c r="B959">
        <v>7.1280999999999999</v>
      </c>
      <c r="C959">
        <v>7.1498999999999997</v>
      </c>
      <c r="D959">
        <v>6.6365999999999996</v>
      </c>
      <c r="E959">
        <v>6.7857000000000003</v>
      </c>
      <c r="F959">
        <v>5747975.0499999998</v>
      </c>
      <c r="G959">
        <v>0</v>
      </c>
      <c r="L959" t="s">
        <v>7</v>
      </c>
      <c r="M959" t="s">
        <v>8</v>
      </c>
      <c r="N959" t="s">
        <v>7</v>
      </c>
      <c r="P959">
        <f t="shared" ref="P959:P1022" si="1019">IF(C959=D959,0,((E959-D959)-(C959-E959))/(C959-D959))</f>
        <v>-0.41905318527176838</v>
      </c>
      <c r="Q959">
        <f t="shared" ref="Q959:Q1022" si="1020">F959*P959</f>
        <v>-2408707.2535651522</v>
      </c>
      <c r="R959">
        <f t="shared" ref="R959:R1022" si="1021">R960+Q959</f>
        <v>121965380.71991323</v>
      </c>
      <c r="S959">
        <f t="shared" ref="S959:S1022" si="1022">R959/100000</f>
        <v>1219.6538071991322</v>
      </c>
      <c r="T959">
        <f t="shared" ref="T959:T1022" si="1023">S959/1000</f>
        <v>1.2196538071991321</v>
      </c>
    </row>
    <row r="960" spans="1:20" x14ac:dyDescent="0.25">
      <c r="A960" s="5">
        <v>43633</v>
      </c>
      <c r="B960">
        <v>6.9702999999999999</v>
      </c>
      <c r="C960">
        <v>7.23</v>
      </c>
      <c r="D960">
        <v>6.9442000000000004</v>
      </c>
      <c r="E960">
        <v>7.1246999999999998</v>
      </c>
      <c r="F960">
        <v>6057508.1299999999</v>
      </c>
      <c r="G960">
        <v>0</v>
      </c>
      <c r="L960" t="s">
        <v>8</v>
      </c>
      <c r="M960" t="s">
        <v>8</v>
      </c>
      <c r="N960" t="s">
        <v>7</v>
      </c>
      <c r="P960">
        <f t="shared" si="1019"/>
        <v>0.26312106368089155</v>
      </c>
      <c r="Q960">
        <f t="shared" si="1020"/>
        <v>1593857.9824212482</v>
      </c>
      <c r="R960">
        <f t="shared" si="1021"/>
        <v>124374087.97347838</v>
      </c>
      <c r="S960">
        <f t="shared" si="1022"/>
        <v>1243.7408797347837</v>
      </c>
      <c r="T960">
        <f t="shared" si="1023"/>
        <v>1.2437408797347838</v>
      </c>
    </row>
    <row r="961" spans="1:20" x14ac:dyDescent="0.25">
      <c r="A961" s="5">
        <v>43632</v>
      </c>
      <c r="B961">
        <v>6.8837000000000002</v>
      </c>
      <c r="C961">
        <v>7.1879999999999997</v>
      </c>
      <c r="D961">
        <v>6.7811000000000003</v>
      </c>
      <c r="E961">
        <v>6.9702999999999999</v>
      </c>
      <c r="F961">
        <v>7683784.0499999998</v>
      </c>
      <c r="G961">
        <v>0</v>
      </c>
      <c r="L961" t="s">
        <v>8</v>
      </c>
      <c r="M961" t="s">
        <v>8</v>
      </c>
      <c r="N961" t="s">
        <v>7</v>
      </c>
      <c r="P961">
        <f t="shared" si="1019"/>
        <v>-7.0041779306955598E-2</v>
      </c>
      <c r="Q961">
        <f t="shared" si="1020"/>
        <v>-538185.90667240543</v>
      </c>
      <c r="R961">
        <f t="shared" si="1021"/>
        <v>122780229.99105713</v>
      </c>
      <c r="S961">
        <f t="shared" si="1022"/>
        <v>1227.8022999105713</v>
      </c>
      <c r="T961">
        <f t="shared" si="1023"/>
        <v>1.2278022999105713</v>
      </c>
    </row>
    <row r="962" spans="1:20" x14ac:dyDescent="0.25">
      <c r="A962" s="5">
        <v>43631</v>
      </c>
      <c r="B962">
        <v>6.54</v>
      </c>
      <c r="C962">
        <v>6.9455999999999998</v>
      </c>
      <c r="D962">
        <v>6.5171000000000001</v>
      </c>
      <c r="E962">
        <v>6.8837999999999999</v>
      </c>
      <c r="F962">
        <v>5735284.8499999996</v>
      </c>
      <c r="G962">
        <v>0</v>
      </c>
      <c r="L962" t="s">
        <v>8</v>
      </c>
      <c r="M962" t="s">
        <v>7</v>
      </c>
      <c r="N962" t="s">
        <v>7</v>
      </c>
      <c r="P962">
        <f t="shared" si="1019"/>
        <v>0.71155192532088729</v>
      </c>
      <c r="Q962">
        <f t="shared" si="1020"/>
        <v>4080952.9772812161</v>
      </c>
      <c r="R962">
        <f t="shared" si="1021"/>
        <v>123318415.89772953</v>
      </c>
      <c r="S962">
        <f t="shared" si="1022"/>
        <v>1233.1841589772953</v>
      </c>
      <c r="T962">
        <f t="shared" si="1023"/>
        <v>1.2331841589772954</v>
      </c>
    </row>
    <row r="963" spans="1:20" x14ac:dyDescent="0.25">
      <c r="A963" s="5">
        <v>43630</v>
      </c>
      <c r="B963">
        <v>6.4572000000000003</v>
      </c>
      <c r="C963">
        <v>6.55</v>
      </c>
      <c r="D963">
        <v>6.3372999999999999</v>
      </c>
      <c r="E963">
        <v>6.5400999999999998</v>
      </c>
      <c r="F963">
        <v>4874547.29</v>
      </c>
      <c r="G963">
        <v>0</v>
      </c>
      <c r="L963" t="s">
        <v>8</v>
      </c>
      <c r="M963" t="s">
        <v>7</v>
      </c>
      <c r="N963" t="s">
        <v>7</v>
      </c>
      <c r="P963">
        <f t="shared" si="1019"/>
        <v>0.9069111424541606</v>
      </c>
      <c r="Q963">
        <f t="shared" si="1020"/>
        <v>4420781.2517207321</v>
      </c>
      <c r="R963">
        <f t="shared" si="1021"/>
        <v>119237462.92044832</v>
      </c>
      <c r="S963">
        <f t="shared" si="1022"/>
        <v>1192.3746292044832</v>
      </c>
      <c r="T963">
        <f t="shared" si="1023"/>
        <v>1.1923746292044832</v>
      </c>
    </row>
    <row r="964" spans="1:20" x14ac:dyDescent="0.25">
      <c r="A964" s="5">
        <v>43629</v>
      </c>
      <c r="B964">
        <v>6.4192999999999998</v>
      </c>
      <c r="C964">
        <v>6.6295999999999999</v>
      </c>
      <c r="D964">
        <v>6.31</v>
      </c>
      <c r="E964">
        <v>6.4591000000000003</v>
      </c>
      <c r="F964">
        <v>6501066.8399999999</v>
      </c>
      <c r="G964">
        <v>0</v>
      </c>
      <c r="L964" t="s">
        <v>8</v>
      </c>
      <c r="M964" t="s">
        <v>7</v>
      </c>
      <c r="N964" t="s">
        <v>7</v>
      </c>
      <c r="P964">
        <f t="shared" si="1019"/>
        <v>-6.6958698372962935E-2</v>
      </c>
      <c r="Q964">
        <f t="shared" si="1020"/>
        <v>-435302.97364203125</v>
      </c>
      <c r="R964">
        <f t="shared" si="1021"/>
        <v>114816681.66872759</v>
      </c>
      <c r="S964">
        <f t="shared" si="1022"/>
        <v>1148.166816687276</v>
      </c>
      <c r="T964">
        <f t="shared" si="1023"/>
        <v>1.148166816687276</v>
      </c>
    </row>
    <row r="965" spans="1:20" x14ac:dyDescent="0.25">
      <c r="A965" s="5">
        <v>43628</v>
      </c>
      <c r="B965">
        <v>6.3132999999999999</v>
      </c>
      <c r="C965">
        <v>6.46</v>
      </c>
      <c r="D965">
        <v>6.2</v>
      </c>
      <c r="E965">
        <v>6.4217000000000004</v>
      </c>
      <c r="F965">
        <v>5561414.5800000001</v>
      </c>
      <c r="G965">
        <v>0</v>
      </c>
      <c r="L965" t="s">
        <v>8</v>
      </c>
      <c r="M965" t="s">
        <v>7</v>
      </c>
      <c r="N965" t="s">
        <v>7</v>
      </c>
      <c r="P965">
        <f t="shared" si="1019"/>
        <v>0.70538461538461861</v>
      </c>
      <c r="Q965">
        <f t="shared" si="1020"/>
        <v>3922936.2845077105</v>
      </c>
      <c r="R965">
        <f t="shared" si="1021"/>
        <v>115251984.64236963</v>
      </c>
      <c r="S965">
        <f t="shared" si="1022"/>
        <v>1152.5198464236962</v>
      </c>
      <c r="T965">
        <f t="shared" si="1023"/>
        <v>1.1525198464236963</v>
      </c>
    </row>
    <row r="966" spans="1:20" x14ac:dyDescent="0.25">
      <c r="A966" s="5">
        <v>43627</v>
      </c>
      <c r="B966">
        <v>6.4253</v>
      </c>
      <c r="C966">
        <v>6.4798999999999998</v>
      </c>
      <c r="D966">
        <v>6.1281999999999996</v>
      </c>
      <c r="E966">
        <v>6.3132000000000001</v>
      </c>
      <c r="F966">
        <v>5150171.3600000003</v>
      </c>
      <c r="G966">
        <v>0</v>
      </c>
      <c r="L966" t="s">
        <v>8</v>
      </c>
      <c r="M966" t="s">
        <v>7</v>
      </c>
      <c r="N966" t="s">
        <v>7</v>
      </c>
      <c r="P966">
        <f t="shared" si="1019"/>
        <v>5.2032982655674909E-2</v>
      </c>
      <c r="Q966">
        <f t="shared" si="1020"/>
        <v>267978.77704863367</v>
      </c>
      <c r="R966">
        <f t="shared" si="1021"/>
        <v>111329048.35786192</v>
      </c>
      <c r="S966">
        <f t="shared" si="1022"/>
        <v>1113.2904835786192</v>
      </c>
      <c r="T966">
        <f t="shared" si="1023"/>
        <v>1.1132904835786193</v>
      </c>
    </row>
    <row r="967" spans="1:20" x14ac:dyDescent="0.25">
      <c r="A967" s="5">
        <v>43626</v>
      </c>
      <c r="B967">
        <v>6.1388999999999996</v>
      </c>
      <c r="C967">
        <v>6.49</v>
      </c>
      <c r="D967">
        <v>6.0350999999999999</v>
      </c>
      <c r="E967">
        <v>6.4257999999999997</v>
      </c>
      <c r="F967">
        <v>6632432.9100000001</v>
      </c>
      <c r="G967">
        <v>0</v>
      </c>
      <c r="L967" t="s">
        <v>8</v>
      </c>
      <c r="M967" t="s">
        <v>7</v>
      </c>
      <c r="N967" t="s">
        <v>7</v>
      </c>
      <c r="P967">
        <f t="shared" si="1019"/>
        <v>0.71774016267311302</v>
      </c>
      <c r="Q967">
        <f t="shared" si="1020"/>
        <v>4760363.4757419089</v>
      </c>
      <c r="R967">
        <f t="shared" si="1021"/>
        <v>111061069.58081329</v>
      </c>
      <c r="S967">
        <f t="shared" si="1022"/>
        <v>1110.610695808133</v>
      </c>
      <c r="T967">
        <f t="shared" si="1023"/>
        <v>1.110610695808133</v>
      </c>
    </row>
    <row r="968" spans="1:20" x14ac:dyDescent="0.25">
      <c r="A968" s="5">
        <v>43625</v>
      </c>
      <c r="B968">
        <v>6.3407999999999998</v>
      </c>
      <c r="C968">
        <v>6.4802999999999997</v>
      </c>
      <c r="D968">
        <v>5.9504999999999999</v>
      </c>
      <c r="E968">
        <v>6.1390000000000002</v>
      </c>
      <c r="F968">
        <v>6342921.0099999998</v>
      </c>
      <c r="G968">
        <v>0</v>
      </c>
      <c r="L968" t="s">
        <v>7</v>
      </c>
      <c r="M968" t="s">
        <v>7</v>
      </c>
      <c r="N968" t="s">
        <v>7</v>
      </c>
      <c r="P968">
        <f t="shared" si="1019"/>
        <v>-0.2884107210268011</v>
      </c>
      <c r="Q968">
        <f t="shared" si="1020"/>
        <v>-1829366.4219101453</v>
      </c>
      <c r="R968">
        <f t="shared" si="1021"/>
        <v>106300706.10507138</v>
      </c>
      <c r="S968">
        <f t="shared" si="1022"/>
        <v>1063.0070610507139</v>
      </c>
      <c r="T968">
        <f t="shared" si="1023"/>
        <v>1.0630070610507139</v>
      </c>
    </row>
    <row r="969" spans="1:20" x14ac:dyDescent="0.25">
      <c r="A969" s="5">
        <v>43624</v>
      </c>
      <c r="B969">
        <v>6.6196000000000002</v>
      </c>
      <c r="C969">
        <v>6.7</v>
      </c>
      <c r="D969">
        <v>6.1848999999999998</v>
      </c>
      <c r="E969">
        <v>6.3407999999999998</v>
      </c>
      <c r="F969">
        <v>4999853.42</v>
      </c>
      <c r="G969">
        <v>0</v>
      </c>
      <c r="L969" t="s">
        <v>7</v>
      </c>
      <c r="M969" t="s">
        <v>7</v>
      </c>
      <c r="N969" t="s">
        <v>7</v>
      </c>
      <c r="P969">
        <f t="shared" si="1019"/>
        <v>-0.39468064453504242</v>
      </c>
      <c r="Q969">
        <f t="shared" si="1020"/>
        <v>-1973345.3703863362</v>
      </c>
      <c r="R969">
        <f t="shared" si="1021"/>
        <v>108130072.52698153</v>
      </c>
      <c r="S969">
        <f t="shared" si="1022"/>
        <v>1081.3007252698153</v>
      </c>
      <c r="T969">
        <f t="shared" si="1023"/>
        <v>1.0813007252698152</v>
      </c>
    </row>
    <row r="970" spans="1:20" x14ac:dyDescent="0.25">
      <c r="A970" s="5">
        <v>43623</v>
      </c>
      <c r="B970">
        <v>6.3581000000000003</v>
      </c>
      <c r="C970">
        <v>6.78</v>
      </c>
      <c r="D970">
        <v>6.2901999999999996</v>
      </c>
      <c r="E970">
        <v>6.6195000000000004</v>
      </c>
      <c r="F970">
        <v>7060072.6799999997</v>
      </c>
      <c r="G970">
        <v>0</v>
      </c>
      <c r="L970" t="s">
        <v>8</v>
      </c>
      <c r="M970" t="s">
        <v>7</v>
      </c>
      <c r="N970" t="s">
        <v>7</v>
      </c>
      <c r="P970">
        <f t="shared" si="1019"/>
        <v>0.344630461412823</v>
      </c>
      <c r="Q970">
        <f t="shared" si="1020"/>
        <v>2433116.1053164657</v>
      </c>
      <c r="R970">
        <f t="shared" si="1021"/>
        <v>110103417.89736786</v>
      </c>
      <c r="S970">
        <f t="shared" si="1022"/>
        <v>1101.0341789736785</v>
      </c>
      <c r="T970">
        <f t="shared" si="1023"/>
        <v>1.1010341789736786</v>
      </c>
    </row>
    <row r="971" spans="1:20" x14ac:dyDescent="0.25">
      <c r="A971" s="5">
        <v>43622</v>
      </c>
      <c r="B971">
        <v>6.4181999999999997</v>
      </c>
      <c r="C971">
        <v>6.4602000000000004</v>
      </c>
      <c r="D971">
        <v>5.9250999999999996</v>
      </c>
      <c r="E971">
        <v>6.3601999999999999</v>
      </c>
      <c r="F971">
        <v>8420899.7699999996</v>
      </c>
      <c r="G971">
        <v>0</v>
      </c>
      <c r="L971" t="s">
        <v>7</v>
      </c>
      <c r="M971" t="s">
        <v>7</v>
      </c>
      <c r="N971" t="s">
        <v>7</v>
      </c>
      <c r="P971">
        <f t="shared" si="1019"/>
        <v>0.62623808633900058</v>
      </c>
      <c r="Q971">
        <f t="shared" si="1020"/>
        <v>5273488.1572173294</v>
      </c>
      <c r="R971">
        <f t="shared" si="1021"/>
        <v>107670301.7920514</v>
      </c>
      <c r="S971">
        <f t="shared" si="1022"/>
        <v>1076.703017920514</v>
      </c>
      <c r="T971">
        <f t="shared" si="1023"/>
        <v>1.0767030179205139</v>
      </c>
    </row>
    <row r="972" spans="1:20" x14ac:dyDescent="0.25">
      <c r="A972" s="5">
        <v>43621</v>
      </c>
      <c r="B972">
        <v>6.2961</v>
      </c>
      <c r="C972">
        <v>6.5250000000000004</v>
      </c>
      <c r="D972">
        <v>6.1353</v>
      </c>
      <c r="E972">
        <v>6.4189999999999996</v>
      </c>
      <c r="F972">
        <v>10145734.869999999</v>
      </c>
      <c r="G972">
        <v>0</v>
      </c>
      <c r="L972" t="s">
        <v>8</v>
      </c>
      <c r="M972" t="s">
        <v>7</v>
      </c>
      <c r="N972" t="s">
        <v>7</v>
      </c>
      <c r="P972">
        <f t="shared" si="1019"/>
        <v>0.4559917885552956</v>
      </c>
      <c r="Q972">
        <f t="shared" si="1020"/>
        <v>4626371.7895791288</v>
      </c>
      <c r="R972">
        <f t="shared" si="1021"/>
        <v>102396813.63483408</v>
      </c>
      <c r="S972">
        <f t="shared" si="1022"/>
        <v>1023.9681363483409</v>
      </c>
      <c r="T972">
        <f t="shared" si="1023"/>
        <v>1.0239681363483408</v>
      </c>
    </row>
    <row r="973" spans="1:20" x14ac:dyDescent="0.25">
      <c r="A973" s="5">
        <v>43620</v>
      </c>
      <c r="B973">
        <v>6.6910999999999996</v>
      </c>
      <c r="C973">
        <v>6.8906999999999998</v>
      </c>
      <c r="D973">
        <v>6.02</v>
      </c>
      <c r="E973">
        <v>6.2942999999999998</v>
      </c>
      <c r="F973">
        <v>18008532.690000001</v>
      </c>
      <c r="G973">
        <v>0</v>
      </c>
      <c r="L973" t="s">
        <v>7</v>
      </c>
      <c r="M973" t="s">
        <v>7</v>
      </c>
      <c r="N973" t="s">
        <v>7</v>
      </c>
      <c r="P973">
        <f t="shared" si="1019"/>
        <v>-0.36993223842885004</v>
      </c>
      <c r="Q973">
        <f t="shared" si="1020"/>
        <v>-6661936.808830821</v>
      </c>
      <c r="R973">
        <f t="shared" si="1021"/>
        <v>97770441.845254958</v>
      </c>
      <c r="S973">
        <f t="shared" si="1022"/>
        <v>977.70441845254959</v>
      </c>
      <c r="T973">
        <f t="shared" si="1023"/>
        <v>0.97770441845254963</v>
      </c>
    </row>
    <row r="974" spans="1:20" x14ac:dyDescent="0.25">
      <c r="A974" s="5">
        <v>43619</v>
      </c>
      <c r="B974">
        <v>7.7229000000000001</v>
      </c>
      <c r="C974">
        <v>7.7309999999999999</v>
      </c>
      <c r="D974">
        <v>6.5884</v>
      </c>
      <c r="E974">
        <v>6.6925999999999997</v>
      </c>
      <c r="F974">
        <v>15539352.35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-0.81760896201645428</v>
      </c>
      <c r="Q974">
        <f t="shared" si="1020"/>
        <v>-12705113.745291449</v>
      </c>
      <c r="R974">
        <f t="shared" si="1021"/>
        <v>104432378.65408579</v>
      </c>
      <c r="S974">
        <f t="shared" si="1022"/>
        <v>1044.3237865408578</v>
      </c>
      <c r="T974">
        <f t="shared" si="1023"/>
        <v>1.0443237865408579</v>
      </c>
    </row>
    <row r="975" spans="1:20" x14ac:dyDescent="0.25">
      <c r="A975" s="5">
        <v>43618</v>
      </c>
      <c r="B975">
        <v>7.7087000000000003</v>
      </c>
      <c r="C975">
        <v>7.9820000000000002</v>
      </c>
      <c r="D975">
        <v>7.4588000000000001</v>
      </c>
      <c r="E975">
        <v>7.7187999999999999</v>
      </c>
      <c r="F975">
        <v>11897278.17</v>
      </c>
      <c r="G975">
        <v>0</v>
      </c>
      <c r="L975" t="s">
        <v>7</v>
      </c>
      <c r="M975" t="s">
        <v>8</v>
      </c>
      <c r="N975" t="s">
        <v>8</v>
      </c>
      <c r="P975">
        <f t="shared" si="1019"/>
        <v>-6.1162079510713591E-3</v>
      </c>
      <c r="Q975">
        <f t="shared" si="1020"/>
        <v>-72766.227339461708</v>
      </c>
      <c r="R975">
        <f t="shared" si="1021"/>
        <v>117137492.39937724</v>
      </c>
      <c r="S975">
        <f t="shared" si="1022"/>
        <v>1171.3749239937724</v>
      </c>
      <c r="T975">
        <f t="shared" si="1023"/>
        <v>1.1713749239937725</v>
      </c>
    </row>
    <row r="976" spans="1:20" x14ac:dyDescent="0.25">
      <c r="A976" s="5">
        <v>43617</v>
      </c>
      <c r="B976">
        <v>8.5617999999999999</v>
      </c>
      <c r="C976">
        <v>8.6388999999999996</v>
      </c>
      <c r="D976">
        <v>7.4370000000000003</v>
      </c>
      <c r="E976">
        <v>7.7027000000000001</v>
      </c>
      <c r="F976">
        <v>18849766.98</v>
      </c>
      <c r="G976">
        <v>0</v>
      </c>
      <c r="L976" t="s">
        <v>7</v>
      </c>
      <c r="M976" t="s">
        <v>8</v>
      </c>
      <c r="N976" t="s">
        <v>8</v>
      </c>
      <c r="P976">
        <f t="shared" si="1019"/>
        <v>-0.55786671104085206</v>
      </c>
      <c r="Q976">
        <f t="shared" si="1020"/>
        <v>-10515657.509019054</v>
      </c>
      <c r="R976">
        <f t="shared" si="1021"/>
        <v>117210258.6267167</v>
      </c>
      <c r="S976">
        <f t="shared" si="1022"/>
        <v>1172.102586267167</v>
      </c>
      <c r="T976">
        <f t="shared" si="1023"/>
        <v>1.172102586267167</v>
      </c>
    </row>
    <row r="977" spans="1:20" x14ac:dyDescent="0.25">
      <c r="A977" s="5">
        <v>43616</v>
      </c>
      <c r="B977">
        <v>7.3</v>
      </c>
      <c r="C977">
        <v>8.6903000000000006</v>
      </c>
      <c r="D977">
        <v>7.1814</v>
      </c>
      <c r="E977">
        <v>8.5645000000000007</v>
      </c>
      <c r="F977">
        <v>17867584.789999999</v>
      </c>
      <c r="G977">
        <v>0</v>
      </c>
      <c r="L977" t="s">
        <v>8</v>
      </c>
      <c r="M977" t="s">
        <v>8</v>
      </c>
      <c r="N977" t="s">
        <v>8</v>
      </c>
      <c r="P977">
        <f t="shared" si="1019"/>
        <v>0.83325601431506413</v>
      </c>
      <c r="Q977">
        <f t="shared" si="1020"/>
        <v>14888272.487551861</v>
      </c>
      <c r="R977">
        <f t="shared" si="1021"/>
        <v>127725916.13573575</v>
      </c>
      <c r="S977">
        <f t="shared" si="1022"/>
        <v>1277.2591613573575</v>
      </c>
      <c r="T977">
        <f t="shared" si="1023"/>
        <v>1.2772591613573574</v>
      </c>
    </row>
    <row r="978" spans="1:20" x14ac:dyDescent="0.25">
      <c r="A978" s="5">
        <v>43615</v>
      </c>
      <c r="B978">
        <v>7.9672000000000001</v>
      </c>
      <c r="C978">
        <v>8.4941999999999993</v>
      </c>
      <c r="D978">
        <v>6.8677999999999999</v>
      </c>
      <c r="E978">
        <v>7.3</v>
      </c>
      <c r="F978">
        <v>19447140.109999999</v>
      </c>
      <c r="G978">
        <v>0</v>
      </c>
      <c r="L978" t="s">
        <v>7</v>
      </c>
      <c r="M978" t="s">
        <v>7</v>
      </c>
      <c r="N978" t="s">
        <v>8</v>
      </c>
      <c r="P978">
        <f t="shared" si="1019"/>
        <v>-0.46851942941465807</v>
      </c>
      <c r="Q978">
        <f t="shared" si="1020"/>
        <v>-9111362.9880841114</v>
      </c>
      <c r="R978">
        <f t="shared" si="1021"/>
        <v>112837643.6481839</v>
      </c>
      <c r="S978">
        <f t="shared" si="1022"/>
        <v>1128.3764364818389</v>
      </c>
      <c r="T978">
        <f t="shared" si="1023"/>
        <v>1.1283764364818389</v>
      </c>
    </row>
    <row r="979" spans="1:20" x14ac:dyDescent="0.25">
      <c r="A979" s="5">
        <v>43614</v>
      </c>
      <c r="B979">
        <v>8.0753000000000004</v>
      </c>
      <c r="C979">
        <v>8.2535000000000007</v>
      </c>
      <c r="D979">
        <v>7.51</v>
      </c>
      <c r="E979">
        <v>7.9657999999999998</v>
      </c>
      <c r="F979">
        <v>8601476.0099999998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0.22609280430396614</v>
      </c>
      <c r="Q979">
        <f t="shared" si="1020"/>
        <v>1944731.8322541895</v>
      </c>
      <c r="R979">
        <f t="shared" si="1021"/>
        <v>121949006.636268</v>
      </c>
      <c r="S979">
        <f t="shared" si="1022"/>
        <v>1219.49006636268</v>
      </c>
      <c r="T979">
        <f t="shared" si="1023"/>
        <v>1.21949006636268</v>
      </c>
    </row>
    <row r="980" spans="1:20" x14ac:dyDescent="0.25">
      <c r="A980" s="5">
        <v>43613</v>
      </c>
      <c r="B980">
        <v>7.9984999999999999</v>
      </c>
      <c r="C980">
        <v>8.2195999999999998</v>
      </c>
      <c r="D980">
        <v>7.6147999999999998</v>
      </c>
      <c r="E980">
        <v>8.0749999999999993</v>
      </c>
      <c r="F980">
        <v>12393464.9</v>
      </c>
      <c r="G980">
        <v>0</v>
      </c>
      <c r="L980" t="s">
        <v>7</v>
      </c>
      <c r="M980" t="s">
        <v>8</v>
      </c>
      <c r="N980" t="s">
        <v>8</v>
      </c>
      <c r="P980">
        <f t="shared" si="1019"/>
        <v>0.52182539682539519</v>
      </c>
      <c r="Q980">
        <f t="shared" si="1020"/>
        <v>6467224.7394841071</v>
      </c>
      <c r="R980">
        <f t="shared" si="1021"/>
        <v>120004274.80401382</v>
      </c>
      <c r="S980">
        <f t="shared" si="1022"/>
        <v>1200.0427480401381</v>
      </c>
      <c r="T980">
        <f t="shared" si="1023"/>
        <v>1.2000427480401381</v>
      </c>
    </row>
    <row r="981" spans="1:20" x14ac:dyDescent="0.25">
      <c r="A981" s="5">
        <v>43612</v>
      </c>
      <c r="B981">
        <v>6.8537999999999997</v>
      </c>
      <c r="C981">
        <v>8.2200000000000006</v>
      </c>
      <c r="D981">
        <v>6.7941000000000003</v>
      </c>
      <c r="E981">
        <v>7.9943999999999997</v>
      </c>
      <c r="F981">
        <v>16433129.5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0.68356827266989151</v>
      </c>
      <c r="Q981">
        <f t="shared" si="1020"/>
        <v>11233165.946875637</v>
      </c>
      <c r="R981">
        <f t="shared" si="1021"/>
        <v>113537050.06452972</v>
      </c>
      <c r="S981">
        <f t="shared" si="1022"/>
        <v>1135.3705006452972</v>
      </c>
      <c r="T981">
        <f t="shared" si="1023"/>
        <v>1.1353705006452972</v>
      </c>
    </row>
    <row r="982" spans="1:20" x14ac:dyDescent="0.25">
      <c r="A982" s="5">
        <v>43611</v>
      </c>
      <c r="B982">
        <v>6.3578999999999999</v>
      </c>
      <c r="C982">
        <v>6.9726999999999997</v>
      </c>
      <c r="D982">
        <v>6.2000999999999999</v>
      </c>
      <c r="E982">
        <v>6.8510999999999997</v>
      </c>
      <c r="F982">
        <v>6722716.0899999999</v>
      </c>
      <c r="G982">
        <v>0</v>
      </c>
      <c r="L982" t="s">
        <v>8</v>
      </c>
      <c r="M982" t="s">
        <v>8</v>
      </c>
      <c r="N982" t="s">
        <v>8</v>
      </c>
      <c r="P982">
        <f t="shared" si="1019"/>
        <v>0.68521874191043242</v>
      </c>
      <c r="Q982">
        <f t="shared" si="1020"/>
        <v>4606531.061410821</v>
      </c>
      <c r="R982">
        <f t="shared" si="1021"/>
        <v>102303884.11765409</v>
      </c>
      <c r="S982">
        <f t="shared" si="1022"/>
        <v>1023.0388411765408</v>
      </c>
      <c r="T982">
        <f t="shared" si="1023"/>
        <v>1.0230388411765408</v>
      </c>
    </row>
    <row r="983" spans="1:20" x14ac:dyDescent="0.25">
      <c r="A983" s="5">
        <v>43610</v>
      </c>
      <c r="B983">
        <v>6.4066000000000001</v>
      </c>
      <c r="C983">
        <v>6.5407000000000002</v>
      </c>
      <c r="D983">
        <v>6.2511000000000001</v>
      </c>
      <c r="E983">
        <v>6.3602999999999996</v>
      </c>
      <c r="F983">
        <v>4550757.26</v>
      </c>
      <c r="G983">
        <v>0</v>
      </c>
      <c r="L983" t="s">
        <v>8</v>
      </c>
      <c r="M983" t="s">
        <v>7</v>
      </c>
      <c r="N983" t="s">
        <v>8</v>
      </c>
      <c r="P983">
        <f t="shared" si="1019"/>
        <v>-0.24585635359116376</v>
      </c>
      <c r="Q983">
        <f t="shared" si="1020"/>
        <v>-1118832.5860221155</v>
      </c>
      <c r="R983">
        <f t="shared" si="1021"/>
        <v>97697353.056243271</v>
      </c>
      <c r="S983">
        <f t="shared" si="1022"/>
        <v>976.97353056243276</v>
      </c>
      <c r="T983">
        <f t="shared" si="1023"/>
        <v>0.97697353056243275</v>
      </c>
    </row>
    <row r="984" spans="1:20" x14ac:dyDescent="0.25">
      <c r="A984" s="5">
        <v>43609</v>
      </c>
      <c r="B984">
        <v>6.0178000000000003</v>
      </c>
      <c r="C984">
        <v>6.5974000000000004</v>
      </c>
      <c r="D984">
        <v>5.9623999999999997</v>
      </c>
      <c r="E984">
        <v>6.4063999999999997</v>
      </c>
      <c r="F984">
        <v>7148160.6699999999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0.39842519685039207</v>
      </c>
      <c r="Q984">
        <f t="shared" si="1020"/>
        <v>2848007.3220629804</v>
      </c>
      <c r="R984">
        <f t="shared" si="1021"/>
        <v>98816185.642265379</v>
      </c>
      <c r="S984">
        <f t="shared" si="1022"/>
        <v>988.16185642265384</v>
      </c>
      <c r="T984">
        <f t="shared" si="1023"/>
        <v>0.98816185642265386</v>
      </c>
    </row>
    <row r="985" spans="1:20" x14ac:dyDescent="0.25">
      <c r="A985" s="5">
        <v>43608</v>
      </c>
      <c r="B985">
        <v>5.9288999999999996</v>
      </c>
      <c r="C985">
        <v>6.1</v>
      </c>
      <c r="D985">
        <v>5.7226999999999997</v>
      </c>
      <c r="E985">
        <v>6.0156999999999998</v>
      </c>
      <c r="F985">
        <v>4244266.8899999997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0.55314073681420717</v>
      </c>
      <c r="Q985">
        <f t="shared" si="1020"/>
        <v>2347676.9147707433</v>
      </c>
      <c r="R985">
        <f t="shared" si="1021"/>
        <v>95968178.320202395</v>
      </c>
      <c r="S985">
        <f t="shared" si="1022"/>
        <v>959.68178320202401</v>
      </c>
      <c r="T985">
        <f t="shared" si="1023"/>
        <v>0.95968178320202402</v>
      </c>
    </row>
    <row r="986" spans="1:20" x14ac:dyDescent="0.25">
      <c r="A986" s="5">
        <v>43607</v>
      </c>
      <c r="B986">
        <v>6.2561</v>
      </c>
      <c r="C986">
        <v>6.3413000000000004</v>
      </c>
      <c r="D986">
        <v>5.7839</v>
      </c>
      <c r="E986">
        <v>5.9284999999999997</v>
      </c>
      <c r="F986">
        <v>6061932.2999999998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-0.4811625403659866</v>
      </c>
      <c r="Q986">
        <f t="shared" si="1020"/>
        <v>-2916774.7449946278</v>
      </c>
      <c r="R986">
        <f t="shared" si="1021"/>
        <v>93620501.405431658</v>
      </c>
      <c r="S986">
        <f t="shared" si="1022"/>
        <v>936.20501405431662</v>
      </c>
      <c r="T986">
        <f t="shared" si="1023"/>
        <v>0.93620501405431666</v>
      </c>
    </row>
    <row r="987" spans="1:20" x14ac:dyDescent="0.25">
      <c r="A987" s="5">
        <v>43606</v>
      </c>
      <c r="B987">
        <v>6.2149999999999999</v>
      </c>
      <c r="C987">
        <v>6.36</v>
      </c>
      <c r="D987">
        <v>6.0743999999999998</v>
      </c>
      <c r="E987">
        <v>6.2588999999999997</v>
      </c>
      <c r="F987">
        <v>4827968.92</v>
      </c>
      <c r="G987">
        <v>0</v>
      </c>
      <c r="L987" t="s">
        <v>7</v>
      </c>
      <c r="M987" t="s">
        <v>7</v>
      </c>
      <c r="N987" t="s">
        <v>8</v>
      </c>
      <c r="P987">
        <f t="shared" si="1019"/>
        <v>0.29201680672268593</v>
      </c>
      <c r="Q987">
        <f t="shared" si="1020"/>
        <v>1409848.0669747747</v>
      </c>
      <c r="R987">
        <f t="shared" si="1021"/>
        <v>96537276.150426283</v>
      </c>
      <c r="S987">
        <f t="shared" si="1022"/>
        <v>965.37276150426283</v>
      </c>
      <c r="T987">
        <f t="shared" si="1023"/>
        <v>0.96537276150426288</v>
      </c>
    </row>
    <row r="988" spans="1:20" x14ac:dyDescent="0.25">
      <c r="A988" s="5">
        <v>43605</v>
      </c>
      <c r="B988">
        <v>6.4577999999999998</v>
      </c>
      <c r="C988">
        <v>6.4625000000000004</v>
      </c>
      <c r="D988">
        <v>5.9809999999999999</v>
      </c>
      <c r="E988">
        <v>6.2144000000000004</v>
      </c>
      <c r="F988">
        <v>6892479.8700000001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-3.0529595015575235E-2</v>
      </c>
      <c r="Q988">
        <f t="shared" si="1020"/>
        <v>-210424.61908410466</v>
      </c>
      <c r="R988">
        <f t="shared" si="1021"/>
        <v>95127428.083451509</v>
      </c>
      <c r="S988">
        <f t="shared" si="1022"/>
        <v>951.27428083451514</v>
      </c>
      <c r="T988">
        <f t="shared" si="1023"/>
        <v>0.95127428083451515</v>
      </c>
    </row>
    <row r="989" spans="1:20" x14ac:dyDescent="0.25">
      <c r="A989" s="5">
        <v>43604</v>
      </c>
      <c r="B989">
        <v>5.8807</v>
      </c>
      <c r="C989">
        <v>6.5819999999999999</v>
      </c>
      <c r="D989">
        <v>5.8701999999999996</v>
      </c>
      <c r="E989">
        <v>6.4581</v>
      </c>
      <c r="F989">
        <v>8530699.9600000009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0.65186850238831173</v>
      </c>
      <c r="Q989">
        <f t="shared" si="1020"/>
        <v>5560894.6072492311</v>
      </c>
      <c r="R989">
        <f t="shared" si="1021"/>
        <v>95337852.702535614</v>
      </c>
      <c r="S989">
        <f t="shared" si="1022"/>
        <v>953.37852702535611</v>
      </c>
      <c r="T989">
        <f t="shared" si="1023"/>
        <v>0.95337852702535608</v>
      </c>
    </row>
    <row r="990" spans="1:20" x14ac:dyDescent="0.25">
      <c r="A990" s="5">
        <v>43603</v>
      </c>
      <c r="B990">
        <v>6.0343</v>
      </c>
      <c r="C990">
        <v>6.08</v>
      </c>
      <c r="D990">
        <v>5.81</v>
      </c>
      <c r="E990">
        <v>5.8813000000000004</v>
      </c>
      <c r="F990">
        <v>5017000.4800000004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-0.47185185185184675</v>
      </c>
      <c r="Q990">
        <f t="shared" si="1020"/>
        <v>-2367280.9672296043</v>
      </c>
      <c r="R990">
        <f t="shared" si="1021"/>
        <v>89776958.095286384</v>
      </c>
      <c r="S990">
        <f t="shared" si="1022"/>
        <v>897.76958095286386</v>
      </c>
      <c r="T990">
        <f t="shared" si="1023"/>
        <v>0.89776958095286385</v>
      </c>
    </row>
    <row r="991" spans="1:20" x14ac:dyDescent="0.25">
      <c r="A991" s="5">
        <v>43602</v>
      </c>
      <c r="B991">
        <v>6.4941000000000004</v>
      </c>
      <c r="C991">
        <v>6.5761000000000003</v>
      </c>
      <c r="D991">
        <v>5.7085999999999997</v>
      </c>
      <c r="E991">
        <v>6.0353000000000003</v>
      </c>
      <c r="F991">
        <v>14700468.560000001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-0.24680115273775116</v>
      </c>
      <c r="Q991">
        <f t="shared" si="1020"/>
        <v>-3628092.586393069</v>
      </c>
      <c r="R991">
        <f t="shared" si="1021"/>
        <v>92144239.062515989</v>
      </c>
      <c r="S991">
        <f t="shared" si="1022"/>
        <v>921.44239062515987</v>
      </c>
      <c r="T991">
        <f t="shared" si="1023"/>
        <v>0.92144239062515987</v>
      </c>
    </row>
    <row r="992" spans="1:20" x14ac:dyDescent="0.25">
      <c r="A992" s="5">
        <v>43601</v>
      </c>
      <c r="B992">
        <v>6.4627999999999997</v>
      </c>
      <c r="C992">
        <v>6.8994999999999997</v>
      </c>
      <c r="D992">
        <v>6.2035999999999998</v>
      </c>
      <c r="E992">
        <v>6.4947999999999997</v>
      </c>
      <c r="F992">
        <v>12660869.17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-0.16309814628538608</v>
      </c>
      <c r="Q992">
        <f t="shared" si="1020"/>
        <v>-2064964.2919887945</v>
      </c>
      <c r="R992">
        <f t="shared" si="1021"/>
        <v>95772331.648909062</v>
      </c>
      <c r="S992">
        <f t="shared" si="1022"/>
        <v>957.72331648909062</v>
      </c>
      <c r="T992">
        <f t="shared" si="1023"/>
        <v>0.95772331648909059</v>
      </c>
    </row>
    <row r="993" spans="1:20" x14ac:dyDescent="0.25">
      <c r="A993" s="5">
        <v>43600</v>
      </c>
      <c r="B993">
        <v>6.0007000000000001</v>
      </c>
      <c r="C993">
        <v>6.5464000000000002</v>
      </c>
      <c r="D993">
        <v>5.95</v>
      </c>
      <c r="E993">
        <v>6.4644000000000004</v>
      </c>
      <c r="F993">
        <v>6195112.3300000001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0.72501676727028896</v>
      </c>
      <c r="Q993">
        <f t="shared" si="1020"/>
        <v>4491560.3143729074</v>
      </c>
      <c r="R993">
        <f t="shared" si="1021"/>
        <v>97837295.940897852</v>
      </c>
      <c r="S993">
        <f t="shared" si="1022"/>
        <v>978.37295940897855</v>
      </c>
      <c r="T993">
        <f t="shared" si="1023"/>
        <v>0.9783729594089785</v>
      </c>
    </row>
    <row r="994" spans="1:20" x14ac:dyDescent="0.25">
      <c r="A994" s="5">
        <v>43599</v>
      </c>
      <c r="B994">
        <v>5.5186999999999999</v>
      </c>
      <c r="C994">
        <v>6.2173999999999996</v>
      </c>
      <c r="D994">
        <v>5.5000999999999998</v>
      </c>
      <c r="E994">
        <v>5.9992000000000001</v>
      </c>
      <c r="F994">
        <v>11014439.83</v>
      </c>
      <c r="G994">
        <v>0</v>
      </c>
      <c r="L994" t="s">
        <v>8</v>
      </c>
      <c r="M994" t="s">
        <v>8</v>
      </c>
      <c r="N994" t="s">
        <v>8</v>
      </c>
      <c r="P994">
        <f t="shared" si="1019"/>
        <v>0.39160741670152083</v>
      </c>
      <c r="Q994">
        <f t="shared" si="1020"/>
        <v>4313336.3282406386</v>
      </c>
      <c r="R994">
        <f t="shared" si="1021"/>
        <v>93345735.62652494</v>
      </c>
      <c r="S994">
        <f t="shared" si="1022"/>
        <v>933.45735626524936</v>
      </c>
      <c r="T994">
        <f t="shared" si="1023"/>
        <v>0.93345735626524939</v>
      </c>
    </row>
    <row r="995" spans="1:20" x14ac:dyDescent="0.25">
      <c r="A995" s="5">
        <v>43598</v>
      </c>
      <c r="B995">
        <v>5.3331</v>
      </c>
      <c r="C995">
        <v>5.7828999999999997</v>
      </c>
      <c r="D995">
        <v>5.2808999999999999</v>
      </c>
      <c r="E995">
        <v>5.5185000000000004</v>
      </c>
      <c r="F995">
        <v>6279479.2199999997</v>
      </c>
      <c r="G995">
        <v>0</v>
      </c>
      <c r="L995" t="s">
        <v>8</v>
      </c>
      <c r="M995" t="s">
        <v>8</v>
      </c>
      <c r="N995" t="s">
        <v>8</v>
      </c>
      <c r="P995">
        <f t="shared" si="1019"/>
        <v>-5.3386454183264612E-2</v>
      </c>
      <c r="Q995">
        <f t="shared" si="1020"/>
        <v>-335239.12967329216</v>
      </c>
      <c r="R995">
        <f t="shared" si="1021"/>
        <v>89032399.298284307</v>
      </c>
      <c r="S995">
        <f t="shared" si="1022"/>
        <v>890.32399298284304</v>
      </c>
      <c r="T995">
        <f t="shared" si="1023"/>
        <v>0.89032399298284304</v>
      </c>
    </row>
    <row r="996" spans="1:20" x14ac:dyDescent="0.25">
      <c r="A996" s="5">
        <v>43597</v>
      </c>
      <c r="B996">
        <v>5.4309000000000003</v>
      </c>
      <c r="C996">
        <v>5.7560000000000002</v>
      </c>
      <c r="D996">
        <v>5.1710000000000003</v>
      </c>
      <c r="E996">
        <v>5.3319000000000001</v>
      </c>
      <c r="F996">
        <v>9646294.0600000005</v>
      </c>
      <c r="G996">
        <v>0</v>
      </c>
      <c r="L996" t="s">
        <v>7</v>
      </c>
      <c r="M996" t="s">
        <v>8</v>
      </c>
      <c r="N996" t="s">
        <v>8</v>
      </c>
      <c r="P996">
        <f t="shared" si="1019"/>
        <v>-0.44991452991453051</v>
      </c>
      <c r="Q996">
        <f t="shared" si="1020"/>
        <v>-4340007.857422228</v>
      </c>
      <c r="R996">
        <f t="shared" si="1021"/>
        <v>89367638.427957594</v>
      </c>
      <c r="S996">
        <f t="shared" si="1022"/>
        <v>893.67638427957593</v>
      </c>
      <c r="T996">
        <f t="shared" si="1023"/>
        <v>0.89367638427957596</v>
      </c>
    </row>
    <row r="997" spans="1:20" x14ac:dyDescent="0.25">
      <c r="A997" s="5">
        <v>43596</v>
      </c>
      <c r="B997">
        <v>4.8144</v>
      </c>
      <c r="C997">
        <v>5.7602000000000002</v>
      </c>
      <c r="D997">
        <v>4.8144</v>
      </c>
      <c r="E997">
        <v>5.4124999999999996</v>
      </c>
      <c r="F997">
        <v>12663907.619999999</v>
      </c>
      <c r="G997">
        <v>0</v>
      </c>
      <c r="L997" t="s">
        <v>8</v>
      </c>
      <c r="M997" t="s">
        <v>8</v>
      </c>
      <c r="N997" t="s">
        <v>8</v>
      </c>
      <c r="P997">
        <f t="shared" si="1019"/>
        <v>0.26474941848170758</v>
      </c>
      <c r="Q997">
        <f t="shared" si="1020"/>
        <v>3352762.1781010651</v>
      </c>
      <c r="R997">
        <f t="shared" si="1021"/>
        <v>93707646.285379827</v>
      </c>
      <c r="S997">
        <f t="shared" si="1022"/>
        <v>937.07646285379826</v>
      </c>
      <c r="T997">
        <f t="shared" si="1023"/>
        <v>0.93707646285379831</v>
      </c>
    </row>
    <row r="998" spans="1:20" x14ac:dyDescent="0.25">
      <c r="A998" s="5">
        <v>43595</v>
      </c>
      <c r="B998">
        <v>4.8498999999999999</v>
      </c>
      <c r="C998">
        <v>4.9545000000000003</v>
      </c>
      <c r="D998">
        <v>4.5705999999999998</v>
      </c>
      <c r="E998">
        <v>4.8133999999999997</v>
      </c>
      <c r="F998">
        <v>5683603.3799999999</v>
      </c>
      <c r="G998">
        <v>0</v>
      </c>
      <c r="L998" t="s">
        <v>7</v>
      </c>
      <c r="M998" t="s">
        <v>7</v>
      </c>
      <c r="N998" t="s">
        <v>8</v>
      </c>
      <c r="P998">
        <f t="shared" si="1019"/>
        <v>0.26491273769210494</v>
      </c>
      <c r="Q998">
        <f t="shared" si="1020"/>
        <v>1505658.931351901</v>
      </c>
      <c r="R998">
        <f t="shared" si="1021"/>
        <v>90354884.107278764</v>
      </c>
      <c r="S998">
        <f t="shared" si="1022"/>
        <v>903.5488410727877</v>
      </c>
      <c r="T998">
        <f t="shared" si="1023"/>
        <v>0.90354884107278766</v>
      </c>
    </row>
    <row r="999" spans="1:20" x14ac:dyDescent="0.25">
      <c r="A999" s="5">
        <v>43594</v>
      </c>
      <c r="B999">
        <v>4.8993000000000002</v>
      </c>
      <c r="C999">
        <v>5</v>
      </c>
      <c r="D999">
        <v>4.7830000000000004</v>
      </c>
      <c r="E999">
        <v>4.8499999999999996</v>
      </c>
      <c r="F999">
        <v>3180153.16</v>
      </c>
      <c r="G999">
        <v>0</v>
      </c>
      <c r="L999" t="s">
        <v>8</v>
      </c>
      <c r="M999" t="s">
        <v>7</v>
      </c>
      <c r="N999" t="s">
        <v>8</v>
      </c>
      <c r="P999">
        <f t="shared" si="1019"/>
        <v>-0.38248847926267837</v>
      </c>
      <c r="Q999">
        <f t="shared" si="1020"/>
        <v>-1216371.9459908011</v>
      </c>
      <c r="R999">
        <f t="shared" si="1021"/>
        <v>88849225.175926864</v>
      </c>
      <c r="S999">
        <f t="shared" si="1022"/>
        <v>888.4922517592687</v>
      </c>
      <c r="T999">
        <f t="shared" si="1023"/>
        <v>0.88849225175926871</v>
      </c>
    </row>
    <row r="1000" spans="1:20" x14ac:dyDescent="0.25">
      <c r="A1000" s="5">
        <v>43593</v>
      </c>
      <c r="B1000">
        <v>4.8483999999999998</v>
      </c>
      <c r="C1000">
        <v>4.9381000000000004</v>
      </c>
      <c r="D1000">
        <v>4.7558999999999996</v>
      </c>
      <c r="E1000">
        <v>4.9000000000000004</v>
      </c>
      <c r="F1000">
        <v>3239903.53</v>
      </c>
      <c r="G1000">
        <v>0</v>
      </c>
      <c r="L1000" t="s">
        <v>8</v>
      </c>
      <c r="M1000" t="s">
        <v>7</v>
      </c>
      <c r="N1000" t="s">
        <v>8</v>
      </c>
      <c r="P1000">
        <f t="shared" si="1019"/>
        <v>0.58177826564215307</v>
      </c>
      <c r="Q1000">
        <f t="shared" si="1020"/>
        <v>1884905.4565312893</v>
      </c>
      <c r="R1000">
        <f t="shared" si="1021"/>
        <v>90065597.121917665</v>
      </c>
      <c r="S1000">
        <f t="shared" si="1022"/>
        <v>900.65597121917665</v>
      </c>
      <c r="T1000">
        <f t="shared" si="1023"/>
        <v>0.90065597121917662</v>
      </c>
    </row>
    <row r="1001" spans="1:20" x14ac:dyDescent="0.25">
      <c r="A1001" s="5">
        <v>43592</v>
      </c>
      <c r="B1001">
        <v>4.8935000000000004</v>
      </c>
      <c r="C1001">
        <v>5.0599999999999996</v>
      </c>
      <c r="D1001">
        <v>4.8049999999999997</v>
      </c>
      <c r="E1001">
        <v>4.8491999999999997</v>
      </c>
      <c r="F1001">
        <v>5194763.13</v>
      </c>
      <c r="G1001">
        <v>0</v>
      </c>
      <c r="L1001" t="s">
        <v>8</v>
      </c>
      <c r="M1001" t="s">
        <v>7</v>
      </c>
      <c r="N1001" t="s">
        <v>8</v>
      </c>
      <c r="P1001">
        <f t="shared" si="1019"/>
        <v>-0.6533333333333331</v>
      </c>
      <c r="Q1001">
        <f t="shared" si="1020"/>
        <v>-3393911.9115999988</v>
      </c>
      <c r="R1001">
        <f t="shared" si="1021"/>
        <v>88180691.665386379</v>
      </c>
      <c r="S1001">
        <f t="shared" si="1022"/>
        <v>881.80691665386382</v>
      </c>
      <c r="T1001">
        <f t="shared" si="1023"/>
        <v>0.88180691665386379</v>
      </c>
    </row>
    <row r="1002" spans="1:20" x14ac:dyDescent="0.25">
      <c r="A1002" s="5">
        <v>43591</v>
      </c>
      <c r="B1002">
        <v>4.8807999999999998</v>
      </c>
      <c r="C1002">
        <v>4.9903000000000004</v>
      </c>
      <c r="D1002">
        <v>4.6367000000000003</v>
      </c>
      <c r="E1002">
        <v>4.8940000000000001</v>
      </c>
      <c r="F1002">
        <v>5344850.46</v>
      </c>
      <c r="G1002">
        <v>0</v>
      </c>
      <c r="L1002" t="s">
        <v>7</v>
      </c>
      <c r="M1002" t="s">
        <v>7</v>
      </c>
      <c r="N1002" t="s">
        <v>8</v>
      </c>
      <c r="P1002">
        <f t="shared" si="1019"/>
        <v>0.45531674208144662</v>
      </c>
      <c r="Q1002">
        <f t="shared" si="1020"/>
        <v>2433599.8983597215</v>
      </c>
      <c r="R1002">
        <f t="shared" si="1021"/>
        <v>91574603.576986372</v>
      </c>
      <c r="S1002">
        <f t="shared" si="1022"/>
        <v>915.74603576986374</v>
      </c>
      <c r="T1002">
        <f t="shared" si="1023"/>
        <v>0.91574603576986369</v>
      </c>
    </row>
    <row r="1003" spans="1:20" x14ac:dyDescent="0.25">
      <c r="A1003" s="5">
        <v>43590</v>
      </c>
      <c r="B1003">
        <v>4.9489999999999998</v>
      </c>
      <c r="C1003">
        <v>5.0162000000000004</v>
      </c>
      <c r="D1003">
        <v>4.8308999999999997</v>
      </c>
      <c r="E1003">
        <v>4.8789999999999996</v>
      </c>
      <c r="F1003">
        <v>3289735.46</v>
      </c>
      <c r="G1003">
        <v>0</v>
      </c>
      <c r="L1003" t="s">
        <v>7</v>
      </c>
      <c r="M1003" t="s">
        <v>7</v>
      </c>
      <c r="N1003" t="s">
        <v>8</v>
      </c>
      <c r="P1003">
        <f t="shared" si="1019"/>
        <v>-0.48084187803562189</v>
      </c>
      <c r="Q1003">
        <f t="shared" si="1020"/>
        <v>-1581842.5768267806</v>
      </c>
      <c r="R1003">
        <f t="shared" si="1021"/>
        <v>89141003.678626657</v>
      </c>
      <c r="S1003">
        <f t="shared" si="1022"/>
        <v>891.41003678626657</v>
      </c>
      <c r="T1003">
        <f t="shared" si="1023"/>
        <v>0.89141003678626662</v>
      </c>
    </row>
    <row r="1004" spans="1:20" x14ac:dyDescent="0.25">
      <c r="A1004" s="5">
        <v>43589</v>
      </c>
      <c r="B1004">
        <v>5.0834000000000001</v>
      </c>
      <c r="C1004">
        <v>5.1954000000000002</v>
      </c>
      <c r="D1004">
        <v>4.7699999999999996</v>
      </c>
      <c r="E1004">
        <v>4.9471999999999996</v>
      </c>
      <c r="F1004">
        <v>6212326.0499999998</v>
      </c>
      <c r="G1004">
        <v>0</v>
      </c>
      <c r="L1004" t="s">
        <v>7</v>
      </c>
      <c r="M1004" t="s">
        <v>7</v>
      </c>
      <c r="N1004" t="s">
        <v>8</v>
      </c>
      <c r="P1004">
        <f t="shared" si="1019"/>
        <v>-0.16690173953925835</v>
      </c>
      <c r="Q1004">
        <f t="shared" si="1020"/>
        <v>-1036848.0243300496</v>
      </c>
      <c r="R1004">
        <f t="shared" si="1021"/>
        <v>90722846.255453438</v>
      </c>
      <c r="S1004">
        <f t="shared" si="1022"/>
        <v>907.22846255453442</v>
      </c>
      <c r="T1004">
        <f t="shared" si="1023"/>
        <v>0.90722846255453438</v>
      </c>
    </row>
    <row r="1005" spans="1:20" x14ac:dyDescent="0.25">
      <c r="A1005" s="5">
        <v>43588</v>
      </c>
      <c r="B1005">
        <v>4.7821999999999996</v>
      </c>
      <c r="C1005">
        <v>5.2099000000000002</v>
      </c>
      <c r="D1005">
        <v>4.7553000000000001</v>
      </c>
      <c r="E1005">
        <v>5.0841000000000003</v>
      </c>
      <c r="F1005">
        <v>6934418.4500000002</v>
      </c>
      <c r="G1005">
        <v>0</v>
      </c>
      <c r="L1005" t="s">
        <v>8</v>
      </c>
      <c r="M1005" t="s">
        <v>7</v>
      </c>
      <c r="N1005" t="s">
        <v>8</v>
      </c>
      <c r="P1005">
        <f t="shared" si="1019"/>
        <v>0.44654641443026888</v>
      </c>
      <c r="Q1005">
        <f t="shared" si="1020"/>
        <v>3096539.6950066029</v>
      </c>
      <c r="R1005">
        <f t="shared" si="1021"/>
        <v>91759694.279783487</v>
      </c>
      <c r="S1005">
        <f t="shared" si="1022"/>
        <v>917.59694279783491</v>
      </c>
      <c r="T1005">
        <f t="shared" si="1023"/>
        <v>0.91759694279783488</v>
      </c>
    </row>
    <row r="1006" spans="1:20" x14ac:dyDescent="0.25">
      <c r="A1006" s="5">
        <v>43587</v>
      </c>
      <c r="B1006">
        <v>4.7633000000000001</v>
      </c>
      <c r="C1006">
        <v>4.82</v>
      </c>
      <c r="D1006">
        <v>4.6220999999999997</v>
      </c>
      <c r="E1006">
        <v>4.7830000000000004</v>
      </c>
      <c r="F1006">
        <v>3808800.03</v>
      </c>
      <c r="G1006">
        <v>0</v>
      </c>
      <c r="L1006" t="s">
        <v>8</v>
      </c>
      <c r="M1006" t="s">
        <v>7</v>
      </c>
      <c r="N1006" t="s">
        <v>8</v>
      </c>
      <c r="P1006">
        <f t="shared" si="1019"/>
        <v>0.62607377463365532</v>
      </c>
      <c r="Q1006">
        <f t="shared" si="1020"/>
        <v>2384589.8116068793</v>
      </c>
      <c r="R1006">
        <f t="shared" si="1021"/>
        <v>88663154.584776878</v>
      </c>
      <c r="S1006">
        <f t="shared" si="1022"/>
        <v>886.63154584776873</v>
      </c>
      <c r="T1006">
        <f t="shared" si="1023"/>
        <v>0.88663154584776871</v>
      </c>
    </row>
    <row r="1007" spans="1:20" x14ac:dyDescent="0.25">
      <c r="A1007" s="5">
        <v>43586</v>
      </c>
      <c r="B1007">
        <v>4.8170000000000002</v>
      </c>
      <c r="C1007">
        <v>4.8673999999999999</v>
      </c>
      <c r="D1007">
        <v>4.6642000000000001</v>
      </c>
      <c r="E1007">
        <v>4.7617000000000003</v>
      </c>
      <c r="F1007">
        <v>3282629.37</v>
      </c>
      <c r="G1007">
        <v>0</v>
      </c>
      <c r="L1007" t="s">
        <v>8</v>
      </c>
      <c r="M1007" t="s">
        <v>7</v>
      </c>
      <c r="N1007" t="s">
        <v>8</v>
      </c>
      <c r="P1007">
        <f t="shared" si="1019"/>
        <v>-4.0354330708659195E-2</v>
      </c>
      <c r="Q1007">
        <f t="shared" si="1020"/>
        <v>-132468.31119093759</v>
      </c>
      <c r="R1007">
        <f t="shared" si="1021"/>
        <v>86278564.773169994</v>
      </c>
      <c r="S1007">
        <f t="shared" si="1022"/>
        <v>862.7856477316999</v>
      </c>
      <c r="T1007">
        <f t="shared" si="1023"/>
        <v>0.86278564773169986</v>
      </c>
    </row>
    <row r="1008" spans="1:20" x14ac:dyDescent="0.25">
      <c r="A1008" s="5">
        <v>43585</v>
      </c>
      <c r="B1008">
        <v>4.5126999999999997</v>
      </c>
      <c r="C1008">
        <v>4.8499999999999996</v>
      </c>
      <c r="D1008">
        <v>4.5098000000000003</v>
      </c>
      <c r="E1008">
        <v>4.8159000000000001</v>
      </c>
      <c r="F1008">
        <v>4605826.46</v>
      </c>
      <c r="G1008">
        <v>0</v>
      </c>
      <c r="L1008" t="s">
        <v>8</v>
      </c>
      <c r="M1008" t="s">
        <v>7</v>
      </c>
      <c r="N1008" t="s">
        <v>8</v>
      </c>
      <c r="P1008">
        <f t="shared" si="1019"/>
        <v>0.79952968841857941</v>
      </c>
      <c r="Q1008">
        <f t="shared" si="1020"/>
        <v>3682494.9944738485</v>
      </c>
      <c r="R1008">
        <f t="shared" si="1021"/>
        <v>86411033.084360927</v>
      </c>
      <c r="S1008">
        <f t="shared" si="1022"/>
        <v>864.11033084360929</v>
      </c>
      <c r="T1008">
        <f t="shared" si="1023"/>
        <v>0.86411033084360933</v>
      </c>
    </row>
    <row r="1009" spans="1:20" x14ac:dyDescent="0.25">
      <c r="A1009" s="5">
        <v>43584</v>
      </c>
      <c r="B1009">
        <v>4.7453000000000003</v>
      </c>
      <c r="C1009">
        <v>4.7569999999999997</v>
      </c>
      <c r="D1009">
        <v>4.45</v>
      </c>
      <c r="E1009">
        <v>4.5137999999999998</v>
      </c>
      <c r="F1009">
        <v>4119026.71</v>
      </c>
      <c r="G1009">
        <v>0</v>
      </c>
      <c r="L1009" t="s">
        <v>7</v>
      </c>
      <c r="M1009" t="s">
        <v>7</v>
      </c>
      <c r="N1009" t="s">
        <v>8</v>
      </c>
      <c r="P1009">
        <f t="shared" si="1019"/>
        <v>-0.58436482084690722</v>
      </c>
      <c r="Q1009">
        <f t="shared" si="1020"/>
        <v>-2407014.3054527757</v>
      </c>
      <c r="R1009">
        <f t="shared" si="1021"/>
        <v>82728538.089887083</v>
      </c>
      <c r="S1009">
        <f t="shared" si="1022"/>
        <v>827.28538089887081</v>
      </c>
      <c r="T1009">
        <f t="shared" si="1023"/>
        <v>0.82728538089887083</v>
      </c>
    </row>
    <row r="1010" spans="1:20" x14ac:dyDescent="0.25">
      <c r="A1010" s="5">
        <v>43583</v>
      </c>
      <c r="B1010">
        <v>4.7404000000000002</v>
      </c>
      <c r="C1010">
        <v>4.7973999999999997</v>
      </c>
      <c r="D1010">
        <v>4.6333000000000002</v>
      </c>
      <c r="E1010">
        <v>4.7438000000000002</v>
      </c>
      <c r="F1010">
        <v>2251382.35</v>
      </c>
      <c r="G1010">
        <v>0</v>
      </c>
      <c r="L1010" t="s">
        <v>7</v>
      </c>
      <c r="M1010" t="s">
        <v>7</v>
      </c>
      <c r="N1010" t="s">
        <v>8</v>
      </c>
      <c r="P1010">
        <f t="shared" si="1019"/>
        <v>0.34673979280926753</v>
      </c>
      <c r="Q1010">
        <f t="shared" si="1020"/>
        <v>780643.8495734419</v>
      </c>
      <c r="R1010">
        <f t="shared" si="1021"/>
        <v>85135552.395339862</v>
      </c>
      <c r="S1010">
        <f t="shared" si="1022"/>
        <v>851.35552395339857</v>
      </c>
      <c r="T1010">
        <f t="shared" si="1023"/>
        <v>0.85135552395339853</v>
      </c>
    </row>
    <row r="1011" spans="1:20" x14ac:dyDescent="0.25">
      <c r="A1011" s="5">
        <v>43582</v>
      </c>
      <c r="B1011">
        <v>4.7927999999999997</v>
      </c>
      <c r="C1011">
        <v>4.8361999999999998</v>
      </c>
      <c r="D1011">
        <v>4.6959</v>
      </c>
      <c r="E1011">
        <v>4.7403000000000004</v>
      </c>
      <c r="F1011">
        <v>2341913.67</v>
      </c>
      <c r="G1011">
        <v>0</v>
      </c>
      <c r="L1011" t="s">
        <v>8</v>
      </c>
      <c r="M1011" t="s">
        <v>7</v>
      </c>
      <c r="N1011" t="s">
        <v>8</v>
      </c>
      <c r="P1011">
        <f t="shared" si="1019"/>
        <v>-0.36707056307910935</v>
      </c>
      <c r="Q1011">
        <f t="shared" si="1020"/>
        <v>-859647.56952956342</v>
      </c>
      <c r="R1011">
        <f t="shared" si="1021"/>
        <v>84354908.545766413</v>
      </c>
      <c r="S1011">
        <f t="shared" si="1022"/>
        <v>843.54908545766409</v>
      </c>
      <c r="T1011">
        <f t="shared" si="1023"/>
        <v>0.84354908545766405</v>
      </c>
    </row>
    <row r="1012" spans="1:20" x14ac:dyDescent="0.25">
      <c r="A1012" s="5">
        <v>43581</v>
      </c>
      <c r="B1012">
        <v>4.6089000000000002</v>
      </c>
      <c r="C1012">
        <v>4.9736000000000002</v>
      </c>
      <c r="D1012">
        <v>4.5259999999999998</v>
      </c>
      <c r="E1012">
        <v>4.7925000000000004</v>
      </c>
      <c r="F1012">
        <v>8195243.1799999997</v>
      </c>
      <c r="G1012">
        <v>0</v>
      </c>
      <c r="L1012" t="s">
        <v>8</v>
      </c>
      <c r="M1012" t="s">
        <v>7</v>
      </c>
      <c r="N1012" t="s">
        <v>8</v>
      </c>
      <c r="P1012">
        <f t="shared" si="1019"/>
        <v>0.19079535299374603</v>
      </c>
      <c r="Q1012">
        <f t="shared" si="1020"/>
        <v>1563614.3153976896</v>
      </c>
      <c r="R1012">
        <f t="shared" si="1021"/>
        <v>85214556.115295976</v>
      </c>
      <c r="S1012">
        <f t="shared" si="1022"/>
        <v>852.14556115295977</v>
      </c>
      <c r="T1012">
        <f t="shared" si="1023"/>
        <v>0.85214556115295981</v>
      </c>
    </row>
    <row r="1013" spans="1:20" x14ac:dyDescent="0.25">
      <c r="A1013" s="5">
        <v>43580</v>
      </c>
      <c r="B1013">
        <v>4.7736999999999998</v>
      </c>
      <c r="C1013">
        <v>4.8463000000000003</v>
      </c>
      <c r="D1013">
        <v>4.5225999999999997</v>
      </c>
      <c r="E1013">
        <v>4.6112000000000002</v>
      </c>
      <c r="F1013">
        <v>7340337.9000000004</v>
      </c>
      <c r="G1013">
        <v>0</v>
      </c>
      <c r="L1013" t="s">
        <v>7</v>
      </c>
      <c r="M1013" t="s">
        <v>7</v>
      </c>
      <c r="N1013" t="s">
        <v>8</v>
      </c>
      <c r="P1013">
        <f t="shared" si="1019"/>
        <v>-0.45257954896508923</v>
      </c>
      <c r="Q1013">
        <f t="shared" si="1020"/>
        <v>-3322086.8160333503</v>
      </c>
      <c r="R1013">
        <f t="shared" si="1021"/>
        <v>83650941.799898282</v>
      </c>
      <c r="S1013">
        <f t="shared" si="1022"/>
        <v>836.50941799898283</v>
      </c>
      <c r="T1013">
        <f t="shared" si="1023"/>
        <v>0.83650941799898282</v>
      </c>
    </row>
    <row r="1014" spans="1:20" x14ac:dyDescent="0.25">
      <c r="A1014" s="5">
        <v>43579</v>
      </c>
      <c r="B1014">
        <v>5.1006</v>
      </c>
      <c r="C1014">
        <v>5.1430999999999996</v>
      </c>
      <c r="D1014">
        <v>4.5599999999999996</v>
      </c>
      <c r="E1014">
        <v>4.7729999999999997</v>
      </c>
      <c r="F1014">
        <v>10048980.02</v>
      </c>
      <c r="G1014">
        <v>0</v>
      </c>
      <c r="L1014" t="s">
        <v>7</v>
      </c>
      <c r="M1014" t="s">
        <v>7</v>
      </c>
      <c r="N1014" t="s">
        <v>8</v>
      </c>
      <c r="P1014">
        <f t="shared" si="1019"/>
        <v>-0.26942205453609985</v>
      </c>
      <c r="Q1014">
        <f t="shared" si="1020"/>
        <v>-2707416.8429806177</v>
      </c>
      <c r="R1014">
        <f t="shared" si="1021"/>
        <v>86973028.61593163</v>
      </c>
      <c r="S1014">
        <f t="shared" si="1022"/>
        <v>869.73028615931628</v>
      </c>
      <c r="T1014">
        <f t="shared" si="1023"/>
        <v>0.86973028615931625</v>
      </c>
    </row>
    <row r="1015" spans="1:20" x14ac:dyDescent="0.25">
      <c r="A1015" s="5">
        <v>43578</v>
      </c>
      <c r="B1015">
        <v>5.2184999999999997</v>
      </c>
      <c r="C1015">
        <v>5.3697999999999997</v>
      </c>
      <c r="D1015">
        <v>5.07</v>
      </c>
      <c r="E1015">
        <v>5.1032999999999999</v>
      </c>
      <c r="F1015">
        <v>4908584.2300000004</v>
      </c>
      <c r="G1015">
        <v>0</v>
      </c>
      <c r="L1015" t="s">
        <v>8</v>
      </c>
      <c r="M1015" t="s">
        <v>7</v>
      </c>
      <c r="N1015" t="s">
        <v>8</v>
      </c>
      <c r="P1015">
        <f t="shared" si="1019"/>
        <v>-0.77785190126751347</v>
      </c>
      <c r="Q1015">
        <f t="shared" si="1020"/>
        <v>-3818151.575837234</v>
      </c>
      <c r="R1015">
        <f t="shared" si="1021"/>
        <v>89680445.458912253</v>
      </c>
      <c r="S1015">
        <f t="shared" si="1022"/>
        <v>896.80445458912254</v>
      </c>
      <c r="T1015">
        <f t="shared" si="1023"/>
        <v>0.8968044545891225</v>
      </c>
    </row>
    <row r="1016" spans="1:20" x14ac:dyDescent="0.25">
      <c r="A1016" s="5">
        <v>43577</v>
      </c>
      <c r="B1016">
        <v>5.2</v>
      </c>
      <c r="C1016">
        <v>5.2878999999999996</v>
      </c>
      <c r="D1016">
        <v>5.0843999999999996</v>
      </c>
      <c r="E1016">
        <v>5.2186000000000003</v>
      </c>
      <c r="F1016">
        <v>4249609.21</v>
      </c>
      <c r="G1016">
        <v>0</v>
      </c>
      <c r="L1016" t="s">
        <v>8</v>
      </c>
      <c r="M1016" t="s">
        <v>7</v>
      </c>
      <c r="N1016" t="s">
        <v>8</v>
      </c>
      <c r="P1016">
        <f t="shared" si="1019"/>
        <v>0.31891891891892632</v>
      </c>
      <c r="Q1016">
        <f t="shared" si="1020"/>
        <v>1355280.7750811125</v>
      </c>
      <c r="R1016">
        <f t="shared" si="1021"/>
        <v>93498597.034749493</v>
      </c>
      <c r="S1016">
        <f t="shared" si="1022"/>
        <v>934.98597034749491</v>
      </c>
      <c r="T1016">
        <f t="shared" si="1023"/>
        <v>0.93498597034749487</v>
      </c>
    </row>
    <row r="1017" spans="1:20" x14ac:dyDescent="0.25">
      <c r="A1017" s="5">
        <v>43576</v>
      </c>
      <c r="B1017">
        <v>5.4261999999999997</v>
      </c>
      <c r="C1017">
        <v>5.45</v>
      </c>
      <c r="D1017">
        <v>4.9070999999999998</v>
      </c>
      <c r="E1017">
        <v>5.1986999999999997</v>
      </c>
      <c r="F1017">
        <v>6621468.9400000004</v>
      </c>
      <c r="G1017">
        <v>0</v>
      </c>
      <c r="L1017" t="s">
        <v>7</v>
      </c>
      <c r="M1017" t="s">
        <v>7</v>
      </c>
      <c r="N1017" t="s">
        <v>8</v>
      </c>
      <c r="P1017">
        <f t="shared" si="1019"/>
        <v>7.4230981764596263E-2</v>
      </c>
      <c r="Q1017">
        <f t="shared" si="1020"/>
        <v>491518.14013998059</v>
      </c>
      <c r="R1017">
        <f t="shared" si="1021"/>
        <v>92143316.25966838</v>
      </c>
      <c r="S1017">
        <f t="shared" si="1022"/>
        <v>921.43316259668381</v>
      </c>
      <c r="T1017">
        <f t="shared" si="1023"/>
        <v>0.92143316259668384</v>
      </c>
    </row>
    <row r="1018" spans="1:20" x14ac:dyDescent="0.25">
      <c r="A1018" s="5">
        <v>43575</v>
      </c>
      <c r="B1018">
        <v>5.4546000000000001</v>
      </c>
      <c r="C1018">
        <v>5.4996</v>
      </c>
      <c r="D1018">
        <v>5.3650000000000002</v>
      </c>
      <c r="E1018">
        <v>5.4271000000000003</v>
      </c>
      <c r="F1018">
        <v>2499246.17</v>
      </c>
      <c r="G1018">
        <v>0</v>
      </c>
      <c r="L1018" t="s">
        <v>7</v>
      </c>
      <c r="M1018" t="s">
        <v>8</v>
      </c>
      <c r="N1018" t="s">
        <v>8</v>
      </c>
      <c r="P1018">
        <f t="shared" si="1019"/>
        <v>-7.7265973254084366E-2</v>
      </c>
      <c r="Q1018">
        <f t="shared" si="1020"/>
        <v>-193106.68772659279</v>
      </c>
      <c r="R1018">
        <f t="shared" si="1021"/>
        <v>91651798.119528398</v>
      </c>
      <c r="S1018">
        <f t="shared" si="1022"/>
        <v>916.51798119528394</v>
      </c>
      <c r="T1018">
        <f t="shared" si="1023"/>
        <v>0.91651798119528394</v>
      </c>
    </row>
    <row r="1019" spans="1:20" x14ac:dyDescent="0.25">
      <c r="A1019" s="5">
        <v>43574</v>
      </c>
      <c r="B1019">
        <v>5.4682000000000004</v>
      </c>
      <c r="C1019">
        <v>5.4783999999999997</v>
      </c>
      <c r="D1019">
        <v>5.3356000000000003</v>
      </c>
      <c r="E1019">
        <v>5.4546000000000001</v>
      </c>
      <c r="F1019">
        <v>2992148.97</v>
      </c>
      <c r="G1019">
        <v>0</v>
      </c>
      <c r="L1019" t="s">
        <v>7</v>
      </c>
      <c r="M1019" t="s">
        <v>8</v>
      </c>
      <c r="N1019" t="s">
        <v>8</v>
      </c>
      <c r="P1019">
        <f t="shared" si="1019"/>
        <v>0.66666666666667085</v>
      </c>
      <c r="Q1019">
        <f t="shared" si="1020"/>
        <v>1994765.9800000126</v>
      </c>
      <c r="R1019">
        <f t="shared" si="1021"/>
        <v>91844904.807254985</v>
      </c>
      <c r="S1019">
        <f t="shared" si="1022"/>
        <v>918.44904807254989</v>
      </c>
      <c r="T1019">
        <f t="shared" si="1023"/>
        <v>0.9184490480725499</v>
      </c>
    </row>
    <row r="1020" spans="1:20" x14ac:dyDescent="0.25">
      <c r="A1020" s="5">
        <v>43573</v>
      </c>
      <c r="B1020">
        <v>5.4183000000000003</v>
      </c>
      <c r="C1020">
        <v>5.5469999999999997</v>
      </c>
      <c r="D1020">
        <v>5.4082999999999997</v>
      </c>
      <c r="E1020">
        <v>5.4653999999999998</v>
      </c>
      <c r="F1020">
        <v>4362293.3499999996</v>
      </c>
      <c r="G1020">
        <v>0</v>
      </c>
      <c r="L1020" t="s">
        <v>7</v>
      </c>
      <c r="M1020" t="s">
        <v>8</v>
      </c>
      <c r="N1020" t="s">
        <v>8</v>
      </c>
      <c r="P1020">
        <f t="shared" si="1019"/>
        <v>-0.17664023071376883</v>
      </c>
      <c r="Q1020">
        <f t="shared" si="1020"/>
        <v>-770556.50378513942</v>
      </c>
      <c r="R1020">
        <f t="shared" si="1021"/>
        <v>89850138.827254966</v>
      </c>
      <c r="S1020">
        <f t="shared" si="1022"/>
        <v>898.50138827254966</v>
      </c>
      <c r="T1020">
        <f t="shared" si="1023"/>
        <v>0.89850138827254966</v>
      </c>
    </row>
    <row r="1021" spans="1:20" x14ac:dyDescent="0.25">
      <c r="A1021" s="5">
        <v>43572</v>
      </c>
      <c r="B1021">
        <v>5.4870999999999999</v>
      </c>
      <c r="C1021">
        <v>5.5499000000000001</v>
      </c>
      <c r="D1021">
        <v>5.3514999999999997</v>
      </c>
      <c r="E1021">
        <v>5.4153000000000002</v>
      </c>
      <c r="F1021">
        <v>3704667.9</v>
      </c>
      <c r="G1021">
        <v>0</v>
      </c>
      <c r="L1021" t="s">
        <v>7</v>
      </c>
      <c r="M1021" t="s">
        <v>8</v>
      </c>
      <c r="N1021" t="s">
        <v>8</v>
      </c>
      <c r="P1021">
        <f t="shared" si="1019"/>
        <v>-0.35685483870967327</v>
      </c>
      <c r="Q1021">
        <f t="shared" si="1020"/>
        <v>-1322028.6659274041</v>
      </c>
      <c r="R1021">
        <f t="shared" si="1021"/>
        <v>90620695.331040099</v>
      </c>
      <c r="S1021">
        <f t="shared" si="1022"/>
        <v>906.20695331040099</v>
      </c>
      <c r="T1021">
        <f t="shared" si="1023"/>
        <v>0.90620695331040102</v>
      </c>
    </row>
    <row r="1022" spans="1:20" x14ac:dyDescent="0.25">
      <c r="A1022" s="5">
        <v>43571</v>
      </c>
      <c r="B1022">
        <v>5.3262999999999998</v>
      </c>
      <c r="C1022">
        <v>5.5164</v>
      </c>
      <c r="D1022">
        <v>5.2748999999999997</v>
      </c>
      <c r="E1022">
        <v>5.49</v>
      </c>
      <c r="F1022">
        <v>4632515.82</v>
      </c>
      <c r="G1022">
        <v>0</v>
      </c>
      <c r="L1022" t="s">
        <v>7</v>
      </c>
      <c r="M1022" t="s">
        <v>8</v>
      </c>
      <c r="N1022" t="s">
        <v>8</v>
      </c>
      <c r="P1022">
        <f t="shared" si="1019"/>
        <v>0.78136645962733142</v>
      </c>
      <c r="Q1022">
        <f t="shared" si="1020"/>
        <v>3619692.4854410044</v>
      </c>
      <c r="R1022">
        <f t="shared" si="1021"/>
        <v>91942723.996967509</v>
      </c>
      <c r="S1022">
        <f t="shared" si="1022"/>
        <v>919.42723996967504</v>
      </c>
      <c r="T1022">
        <f t="shared" si="1023"/>
        <v>0.91942723996967501</v>
      </c>
    </row>
    <row r="1023" spans="1:20" x14ac:dyDescent="0.25">
      <c r="A1023" s="5">
        <v>43570</v>
      </c>
      <c r="B1023">
        <v>5.5420999999999996</v>
      </c>
      <c r="C1023">
        <v>5.6086999999999998</v>
      </c>
      <c r="D1023">
        <v>5.2279</v>
      </c>
      <c r="E1023">
        <v>5.3234000000000004</v>
      </c>
      <c r="F1023">
        <v>6061124.0099999998</v>
      </c>
      <c r="G1023">
        <v>0</v>
      </c>
      <c r="L1023" t="s">
        <v>8</v>
      </c>
      <c r="M1023" t="s">
        <v>8</v>
      </c>
      <c r="N1023" t="s">
        <v>8</v>
      </c>
      <c r="P1023">
        <f t="shared" ref="P1023:P1086" si="1024">IF(C1023=D1023,0,((E1023-D1023)-(C1023-E1023))/(C1023-D1023))</f>
        <v>-0.498424369747897</v>
      </c>
      <c r="Q1023">
        <f t="shared" ref="Q1023:Q1086" si="1025">F1023*P1023</f>
        <v>-3021011.9146480961</v>
      </c>
      <c r="R1023">
        <f t="shared" ref="R1023:R1086" si="1026">R1024+Q1023</f>
        <v>88323031.51152651</v>
      </c>
      <c r="S1023">
        <f t="shared" ref="S1023:S1086" si="1027">R1023/100000</f>
        <v>883.23031511526506</v>
      </c>
      <c r="T1023">
        <f t="shared" ref="T1023:T1086" si="1028">S1023/1000</f>
        <v>0.88323031511526506</v>
      </c>
    </row>
    <row r="1024" spans="1:20" x14ac:dyDescent="0.25">
      <c r="A1024" s="5">
        <v>43569</v>
      </c>
      <c r="B1024">
        <v>5.2857000000000003</v>
      </c>
      <c r="C1024">
        <v>5.57</v>
      </c>
      <c r="D1024">
        <v>5.2152000000000003</v>
      </c>
      <c r="E1024">
        <v>5.5422000000000002</v>
      </c>
      <c r="F1024">
        <v>3755963.39</v>
      </c>
      <c r="G1024">
        <v>0</v>
      </c>
      <c r="L1024" t="s">
        <v>8</v>
      </c>
      <c r="M1024" t="s">
        <v>8</v>
      </c>
      <c r="N1024" t="s">
        <v>8</v>
      </c>
      <c r="P1024">
        <f t="shared" si="1024"/>
        <v>0.84329199549041689</v>
      </c>
      <c r="Q1024">
        <f t="shared" si="1025"/>
        <v>3167373.8621420511</v>
      </c>
      <c r="R1024">
        <f t="shared" si="1026"/>
        <v>91344043.426174611</v>
      </c>
      <c r="S1024">
        <f t="shared" si="1027"/>
        <v>913.44043426174608</v>
      </c>
      <c r="T1024">
        <f t="shared" si="1028"/>
        <v>0.91344043426174604</v>
      </c>
    </row>
    <row r="1025" spans="1:20" x14ac:dyDescent="0.25">
      <c r="A1025" s="5">
        <v>43568</v>
      </c>
      <c r="B1025">
        <v>5.3304999999999998</v>
      </c>
      <c r="C1025">
        <v>5.3979999999999997</v>
      </c>
      <c r="D1025">
        <v>5.1855000000000002</v>
      </c>
      <c r="E1025">
        <v>5.2857000000000003</v>
      </c>
      <c r="F1025">
        <v>3078670.45</v>
      </c>
      <c r="G1025">
        <v>0</v>
      </c>
      <c r="L1025" t="s">
        <v>8</v>
      </c>
      <c r="M1025" t="s">
        <v>8</v>
      </c>
      <c r="N1025" t="s">
        <v>8</v>
      </c>
      <c r="P1025">
        <f t="shared" si="1024"/>
        <v>-5.6941176470585241E-2</v>
      </c>
      <c r="Q1025">
        <f t="shared" si="1025"/>
        <v>-175303.11738822609</v>
      </c>
      <c r="R1025">
        <f t="shared" si="1026"/>
        <v>88176669.564032555</v>
      </c>
      <c r="S1025">
        <f t="shared" si="1027"/>
        <v>881.76669564032557</v>
      </c>
      <c r="T1025">
        <f t="shared" si="1028"/>
        <v>0.88176669564032562</v>
      </c>
    </row>
    <row r="1026" spans="1:20" x14ac:dyDescent="0.25">
      <c r="A1026" s="5">
        <v>43567</v>
      </c>
      <c r="B1026">
        <v>5.2788000000000004</v>
      </c>
      <c r="C1026">
        <v>5.44</v>
      </c>
      <c r="D1026">
        <v>5.0275999999999996</v>
      </c>
      <c r="E1026">
        <v>5.3312999999999997</v>
      </c>
      <c r="F1026">
        <v>8600254.4499999993</v>
      </c>
      <c r="G1026">
        <v>0</v>
      </c>
      <c r="L1026" t="s">
        <v>8</v>
      </c>
      <c r="M1026" t="s">
        <v>8</v>
      </c>
      <c r="N1026" t="s">
        <v>8</v>
      </c>
      <c r="P1026">
        <f t="shared" si="1024"/>
        <v>0.47284190106692298</v>
      </c>
      <c r="Q1026">
        <f t="shared" si="1025"/>
        <v>4066560.6637972635</v>
      </c>
      <c r="R1026">
        <f t="shared" si="1026"/>
        <v>88351972.681420788</v>
      </c>
      <c r="S1026">
        <f t="shared" si="1027"/>
        <v>883.51972681420784</v>
      </c>
      <c r="T1026">
        <f t="shared" si="1028"/>
        <v>0.88351972681420787</v>
      </c>
    </row>
    <row r="1027" spans="1:20" x14ac:dyDescent="0.25">
      <c r="A1027" s="5">
        <v>43566</v>
      </c>
      <c r="B1027">
        <v>5.8425000000000002</v>
      </c>
      <c r="C1027">
        <v>5.8472999999999997</v>
      </c>
      <c r="D1027">
        <v>5.05</v>
      </c>
      <c r="E1027">
        <v>5.2778</v>
      </c>
      <c r="F1027">
        <v>16559879.59</v>
      </c>
      <c r="G1027">
        <v>0</v>
      </c>
      <c r="L1027" t="s">
        <v>7</v>
      </c>
      <c r="M1027" t="s">
        <v>8</v>
      </c>
      <c r="N1027" t="s">
        <v>8</v>
      </c>
      <c r="P1027">
        <f t="shared" si="1024"/>
        <v>-0.42857142857142794</v>
      </c>
      <c r="Q1027">
        <f t="shared" si="1025"/>
        <v>-7097091.2528571319</v>
      </c>
      <c r="R1027">
        <f t="shared" si="1026"/>
        <v>84285412.017623529</v>
      </c>
      <c r="S1027">
        <f t="shared" si="1027"/>
        <v>842.85412017623526</v>
      </c>
      <c r="T1027">
        <f t="shared" si="1028"/>
        <v>0.84285412017623529</v>
      </c>
    </row>
    <row r="1028" spans="1:20" x14ac:dyDescent="0.25">
      <c r="A1028" s="5">
        <v>43565</v>
      </c>
      <c r="B1028">
        <v>5.5223000000000004</v>
      </c>
      <c r="C1028">
        <v>5.9729999999999999</v>
      </c>
      <c r="D1028">
        <v>5.5044000000000004</v>
      </c>
      <c r="E1028">
        <v>5.8417000000000003</v>
      </c>
      <c r="F1028">
        <v>14373790.859999999</v>
      </c>
      <c r="G1028">
        <v>0</v>
      </c>
      <c r="L1028" t="s">
        <v>8</v>
      </c>
      <c r="M1028" t="s">
        <v>8</v>
      </c>
      <c r="N1028" t="s">
        <v>8</v>
      </c>
      <c r="P1028">
        <f t="shared" si="1024"/>
        <v>0.43960734101579307</v>
      </c>
      <c r="Q1028">
        <f t="shared" si="1025"/>
        <v>6318823.9802817097</v>
      </c>
      <c r="R1028">
        <f t="shared" si="1026"/>
        <v>91382503.270480663</v>
      </c>
      <c r="S1028">
        <f t="shared" si="1027"/>
        <v>913.82503270480663</v>
      </c>
      <c r="T1028">
        <f t="shared" si="1028"/>
        <v>0.91382503270480664</v>
      </c>
    </row>
    <row r="1029" spans="1:20" x14ac:dyDescent="0.25">
      <c r="A1029" s="5">
        <v>43564</v>
      </c>
      <c r="B1029">
        <v>5.5006000000000004</v>
      </c>
      <c r="C1029">
        <v>5.6223000000000001</v>
      </c>
      <c r="D1029">
        <v>5.2611999999999997</v>
      </c>
      <c r="E1029">
        <v>5.5231000000000003</v>
      </c>
      <c r="F1029">
        <v>9046713.1999999993</v>
      </c>
      <c r="G1029">
        <v>0</v>
      </c>
      <c r="L1029" t="s">
        <v>7</v>
      </c>
      <c r="M1029" t="s">
        <v>7</v>
      </c>
      <c r="N1029" t="s">
        <v>8</v>
      </c>
      <c r="P1029">
        <f t="shared" si="1024"/>
        <v>0.45056770977568755</v>
      </c>
      <c r="Q1029">
        <f t="shared" si="1025"/>
        <v>4076156.8475214811</v>
      </c>
      <c r="R1029">
        <f t="shared" si="1026"/>
        <v>85063679.290198952</v>
      </c>
      <c r="S1029">
        <f t="shared" si="1027"/>
        <v>850.63679290198957</v>
      </c>
      <c r="T1029">
        <f t="shared" si="1028"/>
        <v>0.85063679290198957</v>
      </c>
    </row>
    <row r="1030" spans="1:20" x14ac:dyDescent="0.25">
      <c r="A1030" s="5">
        <v>43563</v>
      </c>
      <c r="B1030">
        <v>5.4173999999999998</v>
      </c>
      <c r="C1030">
        <v>5.6654</v>
      </c>
      <c r="D1030">
        <v>5.1977000000000002</v>
      </c>
      <c r="E1030">
        <v>5.5003000000000002</v>
      </c>
      <c r="F1030">
        <v>11160092.220000001</v>
      </c>
      <c r="G1030">
        <v>0</v>
      </c>
      <c r="L1030" t="s">
        <v>8</v>
      </c>
      <c r="M1030" t="s">
        <v>7</v>
      </c>
      <c r="N1030" t="s">
        <v>8</v>
      </c>
      <c r="P1030">
        <f t="shared" si="1024"/>
        <v>0.29399187513363317</v>
      </c>
      <c r="Q1030">
        <f t="shared" si="1025"/>
        <v>3280976.4384220713</v>
      </c>
      <c r="R1030">
        <f t="shared" si="1026"/>
        <v>80987522.442677468</v>
      </c>
      <c r="S1030">
        <f t="shared" si="1027"/>
        <v>809.87522442677471</v>
      </c>
      <c r="T1030">
        <f t="shared" si="1028"/>
        <v>0.80987522442677473</v>
      </c>
    </row>
    <row r="1031" spans="1:20" x14ac:dyDescent="0.25">
      <c r="A1031" s="5">
        <v>43562</v>
      </c>
      <c r="B1031">
        <v>5.3274999999999997</v>
      </c>
      <c r="C1031">
        <v>5.4950000000000001</v>
      </c>
      <c r="D1031">
        <v>5.2415000000000003</v>
      </c>
      <c r="E1031">
        <v>5.4207000000000001</v>
      </c>
      <c r="F1031">
        <v>7355425.71</v>
      </c>
      <c r="G1031">
        <v>0</v>
      </c>
      <c r="L1031" t="s">
        <v>7</v>
      </c>
      <c r="M1031" t="s">
        <v>7</v>
      </c>
      <c r="N1031" t="s">
        <v>8</v>
      </c>
      <c r="P1031">
        <f t="shared" si="1024"/>
        <v>0.41380670611439779</v>
      </c>
      <c r="Q1031">
        <f t="shared" si="1025"/>
        <v>3043724.4851242555</v>
      </c>
      <c r="R1031">
        <f t="shared" si="1026"/>
        <v>77706546.004255399</v>
      </c>
      <c r="S1031">
        <f t="shared" si="1027"/>
        <v>777.06546004255404</v>
      </c>
      <c r="T1031">
        <f t="shared" si="1028"/>
        <v>0.77706546004255406</v>
      </c>
    </row>
    <row r="1032" spans="1:20" x14ac:dyDescent="0.25">
      <c r="A1032" s="5">
        <v>43561</v>
      </c>
      <c r="B1032">
        <v>5.3117999999999999</v>
      </c>
      <c r="C1032">
        <v>5.6802999999999999</v>
      </c>
      <c r="D1032">
        <v>5.0701000000000001</v>
      </c>
      <c r="E1032">
        <v>5.3288000000000002</v>
      </c>
      <c r="F1032">
        <v>9351227.6099999994</v>
      </c>
      <c r="G1032">
        <v>0</v>
      </c>
      <c r="L1032" t="s">
        <v>8</v>
      </c>
      <c r="M1032" t="s">
        <v>7</v>
      </c>
      <c r="N1032" t="s">
        <v>8</v>
      </c>
      <c r="P1032">
        <f t="shared" si="1024"/>
        <v>-0.15208128482464695</v>
      </c>
      <c r="Q1032">
        <f t="shared" si="1025"/>
        <v>-1422146.7096165125</v>
      </c>
      <c r="R1032">
        <f t="shared" si="1026"/>
        <v>74662821.519131139</v>
      </c>
      <c r="S1032">
        <f t="shared" si="1027"/>
        <v>746.62821519131137</v>
      </c>
      <c r="T1032">
        <f t="shared" si="1028"/>
        <v>0.7466282151913114</v>
      </c>
    </row>
    <row r="1033" spans="1:20" x14ac:dyDescent="0.25">
      <c r="A1033" s="5">
        <v>43560</v>
      </c>
      <c r="B1033">
        <v>5.0670999999999999</v>
      </c>
      <c r="C1033">
        <v>5.3710000000000004</v>
      </c>
      <c r="D1033">
        <v>5.0670999999999999</v>
      </c>
      <c r="E1033">
        <v>5.3097000000000003</v>
      </c>
      <c r="F1033">
        <v>8065667.5199999996</v>
      </c>
      <c r="G1033">
        <v>0</v>
      </c>
      <c r="L1033" t="s">
        <v>8</v>
      </c>
      <c r="M1033" t="s">
        <v>7</v>
      </c>
      <c r="N1033" t="s">
        <v>8</v>
      </c>
      <c r="P1033">
        <f t="shared" si="1024"/>
        <v>0.59657782165185891</v>
      </c>
      <c r="Q1033">
        <f t="shared" si="1025"/>
        <v>4811798.3592497511</v>
      </c>
      <c r="R1033">
        <f t="shared" si="1026"/>
        <v>76084968.228747651</v>
      </c>
      <c r="S1033">
        <f t="shared" si="1027"/>
        <v>760.84968228747653</v>
      </c>
      <c r="T1033">
        <f t="shared" si="1028"/>
        <v>0.76084968228747651</v>
      </c>
    </row>
    <row r="1034" spans="1:20" x14ac:dyDescent="0.25">
      <c r="A1034" s="5">
        <v>43559</v>
      </c>
      <c r="B1034">
        <v>5.2088999999999999</v>
      </c>
      <c r="C1034">
        <v>5.3246000000000002</v>
      </c>
      <c r="D1034">
        <v>4.8345000000000002</v>
      </c>
      <c r="E1034">
        <v>5.0650000000000004</v>
      </c>
      <c r="F1034">
        <v>13444751.369999999</v>
      </c>
      <c r="G1034">
        <v>0</v>
      </c>
      <c r="L1034" t="s">
        <v>7</v>
      </c>
      <c r="M1034" t="s">
        <v>7</v>
      </c>
      <c r="N1034" t="s">
        <v>8</v>
      </c>
      <c r="P1034">
        <f t="shared" si="1024"/>
        <v>-5.9375637624973845E-2</v>
      </c>
      <c r="Q1034">
        <f t="shared" si="1025"/>
        <v>-798290.68530299061</v>
      </c>
      <c r="R1034">
        <f t="shared" si="1026"/>
        <v>71273169.869497895</v>
      </c>
      <c r="S1034">
        <f t="shared" si="1027"/>
        <v>712.73169869497895</v>
      </c>
      <c r="T1034">
        <f t="shared" si="1028"/>
        <v>0.71273169869497899</v>
      </c>
    </row>
    <row r="1035" spans="1:20" x14ac:dyDescent="0.25">
      <c r="A1035" s="5">
        <v>43558</v>
      </c>
      <c r="B1035">
        <v>5.0220000000000002</v>
      </c>
      <c r="C1035">
        <v>5.9109999999999996</v>
      </c>
      <c r="D1035">
        <v>4.7111000000000001</v>
      </c>
      <c r="E1035">
        <v>5.2088999999999999</v>
      </c>
      <c r="F1035">
        <v>24710380.98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-0.17026418868239021</v>
      </c>
      <c r="Q1035">
        <f t="shared" si="1025"/>
        <v>-4207292.969592466</v>
      </c>
      <c r="R1035">
        <f t="shared" si="1026"/>
        <v>72071460.554800883</v>
      </c>
      <c r="S1035">
        <f t="shared" si="1027"/>
        <v>720.71460554800888</v>
      </c>
      <c r="T1035">
        <f t="shared" si="1028"/>
        <v>0.72071460554800892</v>
      </c>
    </row>
    <row r="1036" spans="1:20" x14ac:dyDescent="0.25">
      <c r="A1036" s="5">
        <v>43557</v>
      </c>
      <c r="B1036">
        <v>4.2042000000000002</v>
      </c>
      <c r="C1036">
        <v>5.0888999999999998</v>
      </c>
      <c r="D1036">
        <v>4.1540999999999997</v>
      </c>
      <c r="E1036">
        <v>5.0232000000000001</v>
      </c>
      <c r="F1036">
        <v>17527784.390000001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0.85943517329910213</v>
      </c>
      <c r="Q1036">
        <f t="shared" si="1025"/>
        <v>15063994.414768947</v>
      </c>
      <c r="R1036">
        <f t="shared" si="1026"/>
        <v>76278753.52439335</v>
      </c>
      <c r="S1036">
        <f t="shared" si="1027"/>
        <v>762.78753524393346</v>
      </c>
      <c r="T1036">
        <f t="shared" si="1028"/>
        <v>0.7627875352439335</v>
      </c>
    </row>
    <row r="1037" spans="1:20" x14ac:dyDescent="0.25">
      <c r="A1037" s="5">
        <v>43556</v>
      </c>
      <c r="B1037">
        <v>4.1894999999999998</v>
      </c>
      <c r="C1037">
        <v>4.2535999999999996</v>
      </c>
      <c r="D1037">
        <v>4.1382000000000003</v>
      </c>
      <c r="E1037">
        <v>4.2042999999999999</v>
      </c>
      <c r="F1037">
        <v>5752360.2000000002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0.1455805892547663</v>
      </c>
      <c r="Q1037">
        <f t="shared" si="1025"/>
        <v>837431.9875216654</v>
      </c>
      <c r="R1037">
        <f t="shared" si="1026"/>
        <v>61214759.109624408</v>
      </c>
      <c r="S1037">
        <f t="shared" si="1027"/>
        <v>612.14759109624413</v>
      </c>
      <c r="T1037">
        <f t="shared" si="1028"/>
        <v>0.61214759109624417</v>
      </c>
    </row>
    <row r="1038" spans="1:20" x14ac:dyDescent="0.25">
      <c r="A1038" s="5">
        <v>43555</v>
      </c>
      <c r="B1038">
        <v>4.1501999999999999</v>
      </c>
      <c r="C1038">
        <v>4.2557</v>
      </c>
      <c r="D1038">
        <v>4.0788000000000002</v>
      </c>
      <c r="E1038">
        <v>4.1893000000000002</v>
      </c>
      <c r="F1038">
        <v>4909980.9400000004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0.24929338609383997</v>
      </c>
      <c r="Q1038">
        <f t="shared" si="1025"/>
        <v>1224025.7741888154</v>
      </c>
      <c r="R1038">
        <f t="shared" si="1026"/>
        <v>60377327.122102745</v>
      </c>
      <c r="S1038">
        <f t="shared" si="1027"/>
        <v>603.77327122102747</v>
      </c>
      <c r="T1038">
        <f t="shared" si="1028"/>
        <v>0.60377327122102742</v>
      </c>
    </row>
    <row r="1039" spans="1:20" x14ac:dyDescent="0.25">
      <c r="A1039" s="5">
        <v>43554</v>
      </c>
      <c r="B1039">
        <v>4.3022999999999998</v>
      </c>
      <c r="C1039">
        <v>4.3231999999999999</v>
      </c>
      <c r="D1039">
        <v>3.9868999999999999</v>
      </c>
      <c r="E1039">
        <v>4.1501999999999999</v>
      </c>
      <c r="F1039">
        <v>7223240.8799999999</v>
      </c>
      <c r="G1039">
        <v>0</v>
      </c>
      <c r="L1039" t="s">
        <v>7</v>
      </c>
      <c r="M1039" t="s">
        <v>8</v>
      </c>
      <c r="N1039" t="s">
        <v>8</v>
      </c>
      <c r="P1039">
        <f t="shared" si="1024"/>
        <v>-2.8843294677371515E-2</v>
      </c>
      <c r="Q1039">
        <f t="shared" si="1025"/>
        <v>-208342.06522747633</v>
      </c>
      <c r="R1039">
        <f t="shared" si="1026"/>
        <v>59153301.347913928</v>
      </c>
      <c r="S1039">
        <f t="shared" si="1027"/>
        <v>591.5330134791393</v>
      </c>
      <c r="T1039">
        <f t="shared" si="1028"/>
        <v>0.59153301347913934</v>
      </c>
    </row>
    <row r="1040" spans="1:20" x14ac:dyDescent="0.25">
      <c r="A1040" s="5">
        <v>43553</v>
      </c>
      <c r="B1040">
        <v>4.2439999999999998</v>
      </c>
      <c r="C1040">
        <v>4.4059999999999997</v>
      </c>
      <c r="D1040">
        <v>4.2088000000000001</v>
      </c>
      <c r="E1040">
        <v>4.3019999999999996</v>
      </c>
      <c r="F1040">
        <v>7848828.29</v>
      </c>
      <c r="G1040">
        <v>0</v>
      </c>
      <c r="L1040" t="s">
        <v>8</v>
      </c>
      <c r="M1040" t="s">
        <v>8</v>
      </c>
      <c r="N1040" t="s">
        <v>8</v>
      </c>
      <c r="P1040">
        <f t="shared" si="1024"/>
        <v>-5.4766734279921951E-2</v>
      </c>
      <c r="Q1040">
        <f t="shared" si="1025"/>
        <v>-429854.69336716417</v>
      </c>
      <c r="R1040">
        <f t="shared" si="1026"/>
        <v>59361643.413141407</v>
      </c>
      <c r="S1040">
        <f t="shared" si="1027"/>
        <v>593.61643413141405</v>
      </c>
      <c r="T1040">
        <f t="shared" si="1028"/>
        <v>0.59361643413141407</v>
      </c>
    </row>
    <row r="1041" spans="1:20" x14ac:dyDescent="0.25">
      <c r="A1041" s="5">
        <v>43552</v>
      </c>
      <c r="B1041">
        <v>4.2556000000000003</v>
      </c>
      <c r="C1041">
        <v>4.3197999999999999</v>
      </c>
      <c r="D1041">
        <v>4.1657000000000002</v>
      </c>
      <c r="E1041">
        <v>4.2442000000000002</v>
      </c>
      <c r="F1041">
        <v>7697251.9299999997</v>
      </c>
      <c r="G1041">
        <v>0</v>
      </c>
      <c r="L1041" t="s">
        <v>8</v>
      </c>
      <c r="M1041" t="s">
        <v>8</v>
      </c>
      <c r="N1041" t="s">
        <v>8</v>
      </c>
      <c r="P1041">
        <f t="shared" si="1024"/>
        <v>1.8818948734590221E-2</v>
      </c>
      <c r="Q1041">
        <f t="shared" si="1025"/>
        <v>144854.18946789563</v>
      </c>
      <c r="R1041">
        <f t="shared" si="1026"/>
        <v>59791498.106508568</v>
      </c>
      <c r="S1041">
        <f t="shared" si="1027"/>
        <v>597.91498106508573</v>
      </c>
      <c r="T1041">
        <f t="shared" si="1028"/>
        <v>0.59791498106508567</v>
      </c>
    </row>
    <row r="1042" spans="1:20" x14ac:dyDescent="0.25">
      <c r="A1042" s="5">
        <v>43551</v>
      </c>
      <c r="B1042">
        <v>3.7439</v>
      </c>
      <c r="C1042">
        <v>4.343</v>
      </c>
      <c r="D1042">
        <v>3.7160000000000002</v>
      </c>
      <c r="E1042">
        <v>4.2538999999999998</v>
      </c>
      <c r="F1042">
        <v>17230440.010000002</v>
      </c>
      <c r="G1042">
        <v>0</v>
      </c>
      <c r="L1042" t="s">
        <v>8</v>
      </c>
      <c r="M1042" t="s">
        <v>8</v>
      </c>
      <c r="N1042" t="s">
        <v>8</v>
      </c>
      <c r="P1042">
        <f t="shared" si="1024"/>
        <v>0.71578947368420986</v>
      </c>
      <c r="Q1042">
        <f t="shared" si="1025"/>
        <v>12333367.586105254</v>
      </c>
      <c r="R1042">
        <f t="shared" si="1026"/>
        <v>59646643.917040676</v>
      </c>
      <c r="S1042">
        <f t="shared" si="1027"/>
        <v>596.46643917040672</v>
      </c>
      <c r="T1042">
        <f t="shared" si="1028"/>
        <v>0.59646643917040676</v>
      </c>
    </row>
    <row r="1043" spans="1:20" x14ac:dyDescent="0.25">
      <c r="A1043" s="5">
        <v>43550</v>
      </c>
      <c r="B1043">
        <v>3.65</v>
      </c>
      <c r="C1043">
        <v>3.7690000000000001</v>
      </c>
      <c r="D1043">
        <v>3.5914000000000001</v>
      </c>
      <c r="E1043">
        <v>3.7439</v>
      </c>
      <c r="F1043">
        <v>6076446.8600000003</v>
      </c>
      <c r="G1043">
        <v>0</v>
      </c>
      <c r="L1043" t="s">
        <v>8</v>
      </c>
      <c r="M1043" t="s">
        <v>8</v>
      </c>
      <c r="N1043" t="s">
        <v>7</v>
      </c>
      <c r="P1043">
        <f t="shared" si="1024"/>
        <v>0.71734234234234096</v>
      </c>
      <c r="Q1043">
        <f t="shared" si="1025"/>
        <v>4358892.6236711629</v>
      </c>
      <c r="R1043">
        <f t="shared" si="1026"/>
        <v>47313276.330935419</v>
      </c>
      <c r="S1043">
        <f t="shared" si="1027"/>
        <v>473.13276330935417</v>
      </c>
      <c r="T1043">
        <f t="shared" si="1028"/>
        <v>0.47313276330935417</v>
      </c>
    </row>
    <row r="1044" spans="1:20" x14ac:dyDescent="0.25">
      <c r="A1044" s="5">
        <v>43549</v>
      </c>
      <c r="B1044">
        <v>3.6314000000000002</v>
      </c>
      <c r="C1044">
        <v>3.6757</v>
      </c>
      <c r="D1044">
        <v>3.5714000000000001</v>
      </c>
      <c r="E1044">
        <v>3.65</v>
      </c>
      <c r="F1044">
        <v>6356654.2000000002</v>
      </c>
      <c r="G1044">
        <v>0</v>
      </c>
      <c r="L1044" t="s">
        <v>7</v>
      </c>
      <c r="M1044" t="s">
        <v>8</v>
      </c>
      <c r="N1044" t="s">
        <v>7</v>
      </c>
      <c r="P1044">
        <f t="shared" si="1024"/>
        <v>0.50719079578139792</v>
      </c>
      <c r="Q1044">
        <f t="shared" si="1025"/>
        <v>3224036.5022051656</v>
      </c>
      <c r="R1044">
        <f t="shared" si="1026"/>
        <v>42954383.707264252</v>
      </c>
      <c r="S1044">
        <f t="shared" si="1027"/>
        <v>429.54383707264253</v>
      </c>
      <c r="T1044">
        <f t="shared" si="1028"/>
        <v>0.42954383707264254</v>
      </c>
    </row>
    <row r="1045" spans="1:20" x14ac:dyDescent="0.25">
      <c r="A1045" s="5">
        <v>43548</v>
      </c>
      <c r="B1045">
        <v>3.6642999999999999</v>
      </c>
      <c r="C1045">
        <v>3.6642999999999999</v>
      </c>
      <c r="D1045">
        <v>3.5821999999999998</v>
      </c>
      <c r="E1045">
        <v>3.6314000000000002</v>
      </c>
      <c r="F1045">
        <v>3919667.95</v>
      </c>
      <c r="G1045">
        <v>0</v>
      </c>
      <c r="L1045" t="s">
        <v>7</v>
      </c>
      <c r="M1045" t="s">
        <v>8</v>
      </c>
      <c r="N1045" t="s">
        <v>7</v>
      </c>
      <c r="P1045">
        <f t="shared" si="1024"/>
        <v>0.19853836784410031</v>
      </c>
      <c r="Q1045">
        <f t="shared" si="1025"/>
        <v>778204.47728383064</v>
      </c>
      <c r="R1045">
        <f t="shared" si="1026"/>
        <v>39730347.205059089</v>
      </c>
      <c r="S1045">
        <f t="shared" si="1027"/>
        <v>397.30347205059087</v>
      </c>
      <c r="T1045">
        <f t="shared" si="1028"/>
        <v>0.39730347205059086</v>
      </c>
    </row>
    <row r="1046" spans="1:20" x14ac:dyDescent="0.25">
      <c r="A1046" s="5">
        <v>43547</v>
      </c>
      <c r="B1046">
        <v>3.6137000000000001</v>
      </c>
      <c r="C1046">
        <v>3.7067000000000001</v>
      </c>
      <c r="D1046">
        <v>3.5985</v>
      </c>
      <c r="E1046">
        <v>3.6646999999999998</v>
      </c>
      <c r="F1046">
        <v>4302369.88</v>
      </c>
      <c r="G1046">
        <v>0</v>
      </c>
      <c r="L1046" t="s">
        <v>7</v>
      </c>
      <c r="M1046" t="s">
        <v>8</v>
      </c>
      <c r="N1046" t="s">
        <v>7</v>
      </c>
      <c r="P1046">
        <f t="shared" si="1024"/>
        <v>0.2236598890942656</v>
      </c>
      <c r="Q1046">
        <f t="shared" si="1025"/>
        <v>962267.57020330871</v>
      </c>
      <c r="R1046">
        <f t="shared" si="1026"/>
        <v>38952142.727775261</v>
      </c>
      <c r="S1046">
        <f t="shared" si="1027"/>
        <v>389.52142727775259</v>
      </c>
      <c r="T1046">
        <f t="shared" si="1028"/>
        <v>0.38952142727775257</v>
      </c>
    </row>
    <row r="1047" spans="1:20" x14ac:dyDescent="0.25">
      <c r="A1047" s="5">
        <v>43546</v>
      </c>
      <c r="B1047">
        <v>3.6192000000000002</v>
      </c>
      <c r="C1047">
        <v>3.6537000000000002</v>
      </c>
      <c r="D1047">
        <v>3.5670999999999999</v>
      </c>
      <c r="E1047">
        <v>3.6175999999999999</v>
      </c>
      <c r="F1047">
        <v>3671989.04</v>
      </c>
      <c r="G1047">
        <v>0</v>
      </c>
      <c r="L1047" t="s">
        <v>7</v>
      </c>
      <c r="M1047" t="s">
        <v>8</v>
      </c>
      <c r="N1047" t="s">
        <v>7</v>
      </c>
      <c r="P1047">
        <f t="shared" si="1024"/>
        <v>0.16628175519630148</v>
      </c>
      <c r="Q1047">
        <f t="shared" si="1025"/>
        <v>610584.78263278212</v>
      </c>
      <c r="R1047">
        <f t="shared" si="1026"/>
        <v>37989875.157571949</v>
      </c>
      <c r="S1047">
        <f t="shared" si="1027"/>
        <v>379.89875157571947</v>
      </c>
      <c r="T1047">
        <f t="shared" si="1028"/>
        <v>0.37989875157571945</v>
      </c>
    </row>
    <row r="1048" spans="1:20" x14ac:dyDescent="0.25">
      <c r="A1048" s="5">
        <v>43545</v>
      </c>
      <c r="B1048">
        <v>3.71</v>
      </c>
      <c r="C1048">
        <v>3.72</v>
      </c>
      <c r="D1048">
        <v>3.4912000000000001</v>
      </c>
      <c r="E1048">
        <v>3.6185</v>
      </c>
      <c r="F1048">
        <v>5755727.1299999999</v>
      </c>
      <c r="G1048">
        <v>0</v>
      </c>
      <c r="L1048" t="s">
        <v>7</v>
      </c>
      <c r="M1048" t="s">
        <v>8</v>
      </c>
      <c r="N1048" t="s">
        <v>7</v>
      </c>
      <c r="P1048">
        <f t="shared" si="1024"/>
        <v>0.11276223776223693</v>
      </c>
      <c r="Q1048">
        <f t="shared" si="1025"/>
        <v>649028.67112761759</v>
      </c>
      <c r="R1048">
        <f t="shared" si="1026"/>
        <v>37379290.374939166</v>
      </c>
      <c r="S1048">
        <f t="shared" si="1027"/>
        <v>373.79290374939166</v>
      </c>
      <c r="T1048">
        <f t="shared" si="1028"/>
        <v>0.37379290374939167</v>
      </c>
    </row>
    <row r="1049" spans="1:20" x14ac:dyDescent="0.25">
      <c r="A1049" s="5">
        <v>43544</v>
      </c>
      <c r="B1049">
        <v>3.7265999999999999</v>
      </c>
      <c r="C1049">
        <v>3.7376999999999998</v>
      </c>
      <c r="D1049">
        <v>3.5310000000000001</v>
      </c>
      <c r="E1049">
        <v>3.71</v>
      </c>
      <c r="F1049">
        <v>6793232.0899999999</v>
      </c>
      <c r="G1049">
        <v>0</v>
      </c>
      <c r="L1049" t="s">
        <v>7</v>
      </c>
      <c r="M1049" t="s">
        <v>8</v>
      </c>
      <c r="N1049" t="s">
        <v>7</v>
      </c>
      <c r="P1049">
        <f t="shared" si="1024"/>
        <v>0.73197871311078977</v>
      </c>
      <c r="Q1049">
        <f t="shared" si="1025"/>
        <v>4972501.283101121</v>
      </c>
      <c r="R1049">
        <f t="shared" si="1026"/>
        <v>36730261.703811549</v>
      </c>
      <c r="S1049">
        <f t="shared" si="1027"/>
        <v>367.3026170381155</v>
      </c>
      <c r="T1049">
        <f t="shared" si="1028"/>
        <v>0.36730261703811551</v>
      </c>
    </row>
    <row r="1050" spans="1:20" x14ac:dyDescent="0.25">
      <c r="A1050" s="5">
        <v>43543</v>
      </c>
      <c r="B1050">
        <v>3.706</v>
      </c>
      <c r="C1050">
        <v>3.7443</v>
      </c>
      <c r="D1050">
        <v>3.6722000000000001</v>
      </c>
      <c r="E1050">
        <v>3.7265999999999999</v>
      </c>
      <c r="F1050">
        <v>4635389.8499999996</v>
      </c>
      <c r="G1050">
        <v>0</v>
      </c>
      <c r="L1050" t="s">
        <v>8</v>
      </c>
      <c r="M1050" t="s">
        <v>8</v>
      </c>
      <c r="N1050" t="s">
        <v>7</v>
      </c>
      <c r="P1050">
        <f t="shared" si="1024"/>
        <v>0.50901525658806956</v>
      </c>
      <c r="Q1050">
        <f t="shared" si="1025"/>
        <v>2359484.1538834833</v>
      </c>
      <c r="R1050">
        <f t="shared" si="1026"/>
        <v>31757760.420710426</v>
      </c>
      <c r="S1050">
        <f t="shared" si="1027"/>
        <v>317.57760420710429</v>
      </c>
      <c r="T1050">
        <f t="shared" si="1028"/>
        <v>0.31757760420710429</v>
      </c>
    </row>
    <row r="1051" spans="1:20" x14ac:dyDescent="0.25">
      <c r="A1051" s="5">
        <v>43542</v>
      </c>
      <c r="B1051">
        <v>3.7366000000000001</v>
      </c>
      <c r="C1051">
        <v>3.7953999999999999</v>
      </c>
      <c r="D1051">
        <v>3.6760999999999999</v>
      </c>
      <c r="E1051">
        <v>3.7065999999999999</v>
      </c>
      <c r="F1051">
        <v>5746385.4000000004</v>
      </c>
      <c r="G1051">
        <v>0</v>
      </c>
      <c r="L1051" t="s">
        <v>8</v>
      </c>
      <c r="M1051" t="s">
        <v>8</v>
      </c>
      <c r="N1051" t="s">
        <v>7</v>
      </c>
      <c r="P1051">
        <f t="shared" si="1024"/>
        <v>-0.48868398994132473</v>
      </c>
      <c r="Q1051">
        <f t="shared" si="1025"/>
        <v>-2808166.5450125756</v>
      </c>
      <c r="R1051">
        <f t="shared" si="1026"/>
        <v>29398276.266826943</v>
      </c>
      <c r="S1051">
        <f t="shared" si="1027"/>
        <v>293.9827626682694</v>
      </c>
      <c r="T1051">
        <f t="shared" si="1028"/>
        <v>0.29398276266826939</v>
      </c>
    </row>
    <row r="1052" spans="1:20" x14ac:dyDescent="0.25">
      <c r="A1052" s="5">
        <v>43541</v>
      </c>
      <c r="B1052">
        <v>3.7974000000000001</v>
      </c>
      <c r="C1052">
        <v>3.8029999999999999</v>
      </c>
      <c r="D1052">
        <v>3.7155</v>
      </c>
      <c r="E1052">
        <v>3.7376</v>
      </c>
      <c r="F1052">
        <v>3745249.4</v>
      </c>
      <c r="G1052">
        <v>0</v>
      </c>
      <c r="L1052" t="s">
        <v>8</v>
      </c>
      <c r="M1052" t="s">
        <v>8</v>
      </c>
      <c r="N1052" t="s">
        <v>7</v>
      </c>
      <c r="P1052">
        <f t="shared" si="1024"/>
        <v>-0.49485714285714216</v>
      </c>
      <c r="Q1052">
        <f t="shared" si="1025"/>
        <v>-1853363.417371426</v>
      </c>
      <c r="R1052">
        <f t="shared" si="1026"/>
        <v>32206442.811839517</v>
      </c>
      <c r="S1052">
        <f t="shared" si="1027"/>
        <v>322.0644281183952</v>
      </c>
      <c r="T1052">
        <f t="shared" si="1028"/>
        <v>0.3220644281183952</v>
      </c>
    </row>
    <row r="1053" spans="1:20" x14ac:dyDescent="0.25">
      <c r="A1053" s="5">
        <v>43540</v>
      </c>
      <c r="B1053">
        <v>3.6861000000000002</v>
      </c>
      <c r="C1053">
        <v>3.8475000000000001</v>
      </c>
      <c r="D1053">
        <v>3.677</v>
      </c>
      <c r="E1053">
        <v>3.7991000000000001</v>
      </c>
      <c r="F1053">
        <v>8969648.7899999991</v>
      </c>
      <c r="G1053">
        <v>0</v>
      </c>
      <c r="L1053" t="s">
        <v>8</v>
      </c>
      <c r="M1053" t="s">
        <v>8</v>
      </c>
      <c r="N1053" t="s">
        <v>7</v>
      </c>
      <c r="P1053">
        <f t="shared" si="1024"/>
        <v>0.43225806451612936</v>
      </c>
      <c r="Q1053">
        <f t="shared" si="1025"/>
        <v>3877203.0253548413</v>
      </c>
      <c r="R1053">
        <f t="shared" si="1026"/>
        <v>34059806.229210943</v>
      </c>
      <c r="S1053">
        <f t="shared" si="1027"/>
        <v>340.59806229210943</v>
      </c>
      <c r="T1053">
        <f t="shared" si="1028"/>
        <v>0.34059806229210943</v>
      </c>
    </row>
    <row r="1054" spans="1:20" x14ac:dyDescent="0.25">
      <c r="A1054" s="5">
        <v>43539</v>
      </c>
      <c r="B1054">
        <v>3.5785999999999998</v>
      </c>
      <c r="C1054">
        <v>3.7227999999999999</v>
      </c>
      <c r="D1054">
        <v>3.5670000000000002</v>
      </c>
      <c r="E1054">
        <v>3.6865000000000001</v>
      </c>
      <c r="F1054">
        <v>6815599.6399999997</v>
      </c>
      <c r="G1054">
        <v>0</v>
      </c>
      <c r="L1054" t="s">
        <v>8</v>
      </c>
      <c r="M1054" t="s">
        <v>8</v>
      </c>
      <c r="N1054" t="s">
        <v>7</v>
      </c>
      <c r="P1054">
        <f t="shared" si="1024"/>
        <v>0.53401797175866694</v>
      </c>
      <c r="Q1054">
        <f t="shared" si="1025"/>
        <v>3639652.6960719004</v>
      </c>
      <c r="R1054">
        <f t="shared" si="1026"/>
        <v>30182603.203856103</v>
      </c>
      <c r="S1054">
        <f t="shared" si="1027"/>
        <v>301.82603203856104</v>
      </c>
      <c r="T1054">
        <f t="shared" si="1028"/>
        <v>0.30182603203856107</v>
      </c>
    </row>
    <row r="1055" spans="1:20" x14ac:dyDescent="0.25">
      <c r="A1055" s="5">
        <v>43538</v>
      </c>
      <c r="B1055">
        <v>3.5632000000000001</v>
      </c>
      <c r="C1055">
        <v>3.649</v>
      </c>
      <c r="D1055">
        <v>3.4821</v>
      </c>
      <c r="E1055">
        <v>3.5785999999999998</v>
      </c>
      <c r="F1055">
        <v>5786220.5599999996</v>
      </c>
      <c r="G1055">
        <v>0</v>
      </c>
      <c r="L1055" t="s">
        <v>7</v>
      </c>
      <c r="M1055" t="s">
        <v>8</v>
      </c>
      <c r="N1055" t="s">
        <v>7</v>
      </c>
      <c r="P1055">
        <f t="shared" si="1024"/>
        <v>0.15638106650688771</v>
      </c>
      <c r="Q1055">
        <f t="shared" si="1025"/>
        <v>904855.34221688099</v>
      </c>
      <c r="R1055">
        <f t="shared" si="1026"/>
        <v>26542950.507784203</v>
      </c>
      <c r="S1055">
        <f t="shared" si="1027"/>
        <v>265.42950507784201</v>
      </c>
      <c r="T1055">
        <f t="shared" si="1028"/>
        <v>0.26542950507784202</v>
      </c>
    </row>
    <row r="1056" spans="1:20" x14ac:dyDescent="0.25">
      <c r="A1056" s="5">
        <v>43537</v>
      </c>
      <c r="B1056">
        <v>3.6434000000000002</v>
      </c>
      <c r="C1056">
        <v>3.6520000000000001</v>
      </c>
      <c r="D1056">
        <v>3.4687999999999999</v>
      </c>
      <c r="E1056">
        <v>3.5632000000000001</v>
      </c>
      <c r="F1056">
        <v>5561050.1100000003</v>
      </c>
      <c r="G1056">
        <v>0</v>
      </c>
      <c r="L1056" t="s">
        <v>7</v>
      </c>
      <c r="M1056" t="s">
        <v>8</v>
      </c>
      <c r="N1056" t="s">
        <v>7</v>
      </c>
      <c r="P1056">
        <f t="shared" si="1024"/>
        <v>3.0567685589521089E-2</v>
      </c>
      <c r="Q1056">
        <f t="shared" si="1025"/>
        <v>169988.43131005167</v>
      </c>
      <c r="R1056">
        <f t="shared" si="1026"/>
        <v>25638095.16556732</v>
      </c>
      <c r="S1056">
        <f t="shared" si="1027"/>
        <v>256.38095165567319</v>
      </c>
      <c r="T1056">
        <f t="shared" si="1028"/>
        <v>0.25638095165567321</v>
      </c>
    </row>
    <row r="1057" spans="1:20" x14ac:dyDescent="0.25">
      <c r="A1057" s="5">
        <v>43536</v>
      </c>
      <c r="B1057">
        <v>3.5636000000000001</v>
      </c>
      <c r="C1057">
        <v>3.6911999999999998</v>
      </c>
      <c r="D1057">
        <v>3.5101</v>
      </c>
      <c r="E1057">
        <v>3.6415999999999999</v>
      </c>
      <c r="F1057">
        <v>5259530.76</v>
      </c>
      <c r="G1057">
        <v>0</v>
      </c>
      <c r="L1057" t="s">
        <v>7</v>
      </c>
      <c r="M1057" t="s">
        <v>8</v>
      </c>
      <c r="N1057" t="s">
        <v>7</v>
      </c>
      <c r="P1057">
        <f t="shared" si="1024"/>
        <v>0.45223633351739462</v>
      </c>
      <c r="Q1057">
        <f t="shared" si="1025"/>
        <v>2378550.9069243558</v>
      </c>
      <c r="R1057">
        <f t="shared" si="1026"/>
        <v>25468106.73425727</v>
      </c>
      <c r="S1057">
        <f t="shared" si="1027"/>
        <v>254.6810673425727</v>
      </c>
      <c r="T1057">
        <f t="shared" si="1028"/>
        <v>0.25468106734257268</v>
      </c>
    </row>
    <row r="1058" spans="1:20" x14ac:dyDescent="0.25">
      <c r="A1058" s="5">
        <v>43535</v>
      </c>
      <c r="B1058">
        <v>3.6947999999999999</v>
      </c>
      <c r="C1058">
        <v>3.7284000000000002</v>
      </c>
      <c r="D1058">
        <v>3.4910000000000001</v>
      </c>
      <c r="E1058">
        <v>3.5638000000000001</v>
      </c>
      <c r="F1058">
        <v>8446929.0399999991</v>
      </c>
      <c r="G1058">
        <v>0</v>
      </c>
      <c r="L1058" t="s">
        <v>7</v>
      </c>
      <c r="M1058" t="s">
        <v>8</v>
      </c>
      <c r="N1058" t="s">
        <v>7</v>
      </c>
      <c r="P1058">
        <f t="shared" si="1024"/>
        <v>-0.38668913226621771</v>
      </c>
      <c r="Q1058">
        <f t="shared" si="1025"/>
        <v>-3266335.6607919149</v>
      </c>
      <c r="R1058">
        <f t="shared" si="1026"/>
        <v>23089555.827332914</v>
      </c>
      <c r="S1058">
        <f t="shared" si="1027"/>
        <v>230.89555827332913</v>
      </c>
      <c r="T1058">
        <f t="shared" si="1028"/>
        <v>0.23089555827332914</v>
      </c>
    </row>
    <row r="1059" spans="1:20" x14ac:dyDescent="0.25">
      <c r="A1059" s="5">
        <v>43534</v>
      </c>
      <c r="B1059">
        <v>3.7544</v>
      </c>
      <c r="C1059">
        <v>3.7599</v>
      </c>
      <c r="D1059">
        <v>3.6455000000000002</v>
      </c>
      <c r="E1059">
        <v>3.6934999999999998</v>
      </c>
      <c r="F1059">
        <v>4325239.12</v>
      </c>
      <c r="G1059">
        <v>0</v>
      </c>
      <c r="L1059" t="s">
        <v>8</v>
      </c>
      <c r="M1059" t="s">
        <v>8</v>
      </c>
      <c r="N1059" t="s">
        <v>7</v>
      </c>
      <c r="P1059">
        <f t="shared" si="1024"/>
        <v>-0.16083916083916666</v>
      </c>
      <c r="Q1059">
        <f t="shared" si="1025"/>
        <v>-695667.8304895357</v>
      </c>
      <c r="R1059">
        <f t="shared" si="1026"/>
        <v>26355891.488124829</v>
      </c>
      <c r="S1059">
        <f t="shared" si="1027"/>
        <v>263.55891488124831</v>
      </c>
      <c r="T1059">
        <f t="shared" si="1028"/>
        <v>0.26355891488124833</v>
      </c>
    </row>
    <row r="1060" spans="1:20" x14ac:dyDescent="0.25">
      <c r="A1060" s="5">
        <v>43533</v>
      </c>
      <c r="B1060">
        <v>3.5899000000000001</v>
      </c>
      <c r="C1060">
        <v>3.8191999999999999</v>
      </c>
      <c r="D1060">
        <v>3.5758000000000001</v>
      </c>
      <c r="E1060">
        <v>3.7544</v>
      </c>
      <c r="F1060">
        <v>8648421.9199999999</v>
      </c>
      <c r="G1060">
        <v>0</v>
      </c>
      <c r="L1060" t="s">
        <v>8</v>
      </c>
      <c r="M1060" t="s">
        <v>8</v>
      </c>
      <c r="N1060" t="s">
        <v>7</v>
      </c>
      <c r="P1060">
        <f t="shared" si="1024"/>
        <v>0.46754313886606402</v>
      </c>
      <c r="Q1060">
        <f t="shared" si="1025"/>
        <v>4043510.3307148721</v>
      </c>
      <c r="R1060">
        <f t="shared" si="1026"/>
        <v>27051559.318614364</v>
      </c>
      <c r="S1060">
        <f t="shared" si="1027"/>
        <v>270.51559318614363</v>
      </c>
      <c r="T1060">
        <f t="shared" si="1028"/>
        <v>0.27051559318614365</v>
      </c>
    </row>
    <row r="1061" spans="1:20" x14ac:dyDescent="0.25">
      <c r="A1061" s="5">
        <v>43532</v>
      </c>
      <c r="B1061">
        <v>3.7570000000000001</v>
      </c>
      <c r="C1061">
        <v>3.8</v>
      </c>
      <c r="D1061">
        <v>3.4834999999999998</v>
      </c>
      <c r="E1061">
        <v>3.5897000000000001</v>
      </c>
      <c r="F1061">
        <v>10750051.279999999</v>
      </c>
      <c r="G1061">
        <v>0</v>
      </c>
      <c r="L1061" t="s">
        <v>7</v>
      </c>
      <c r="M1061" t="s">
        <v>8</v>
      </c>
      <c r="N1061" t="s">
        <v>7</v>
      </c>
      <c r="P1061">
        <f t="shared" si="1024"/>
        <v>-0.32890995260663319</v>
      </c>
      <c r="Q1061">
        <f t="shared" si="1025"/>
        <v>-3535798.8570236764</v>
      </c>
      <c r="R1061">
        <f t="shared" si="1026"/>
        <v>23008048.987899493</v>
      </c>
      <c r="S1061">
        <f t="shared" si="1027"/>
        <v>230.08048987899494</v>
      </c>
      <c r="T1061">
        <f t="shared" si="1028"/>
        <v>0.23008048987899493</v>
      </c>
    </row>
    <row r="1062" spans="1:20" x14ac:dyDescent="0.25">
      <c r="A1062" s="5">
        <v>43531</v>
      </c>
      <c r="B1062">
        <v>3.7328999999999999</v>
      </c>
      <c r="C1062">
        <v>3.9</v>
      </c>
      <c r="D1062">
        <v>3.6840999999999999</v>
      </c>
      <c r="E1062">
        <v>3.7570999999999999</v>
      </c>
      <c r="F1062">
        <v>10071541.779999999</v>
      </c>
      <c r="G1062">
        <v>0</v>
      </c>
      <c r="L1062" t="s">
        <v>8</v>
      </c>
      <c r="M1062" t="s">
        <v>8</v>
      </c>
      <c r="N1062" t="s">
        <v>7</v>
      </c>
      <c r="P1062">
        <f t="shared" si="1024"/>
        <v>-0.32376100046317774</v>
      </c>
      <c r="Q1062">
        <f t="shared" si="1025"/>
        <v>-3260772.442899494</v>
      </c>
      <c r="R1062">
        <f t="shared" si="1026"/>
        <v>26543847.844923168</v>
      </c>
      <c r="S1062">
        <f t="shared" si="1027"/>
        <v>265.4384784492317</v>
      </c>
      <c r="T1062">
        <f t="shared" si="1028"/>
        <v>0.26543847844923169</v>
      </c>
    </row>
    <row r="1063" spans="1:20" x14ac:dyDescent="0.25">
      <c r="A1063" s="5">
        <v>43530</v>
      </c>
      <c r="B1063">
        <v>3.7494000000000001</v>
      </c>
      <c r="C1063">
        <v>3.8877000000000002</v>
      </c>
      <c r="D1063">
        <v>3.577</v>
      </c>
      <c r="E1063">
        <v>3.7328999999999999</v>
      </c>
      <c r="F1063">
        <v>12303713.42</v>
      </c>
      <c r="G1063">
        <v>0</v>
      </c>
      <c r="L1063" t="s">
        <v>8</v>
      </c>
      <c r="M1063" t="s">
        <v>8</v>
      </c>
      <c r="N1063" t="s">
        <v>7</v>
      </c>
      <c r="P1063">
        <f t="shared" si="1024"/>
        <v>3.5403926617304671E-3</v>
      </c>
      <c r="Q1063">
        <f t="shared" si="1025"/>
        <v>43559.976704202665</v>
      </c>
      <c r="R1063">
        <f t="shared" si="1026"/>
        <v>29804620.287822664</v>
      </c>
      <c r="S1063">
        <f t="shared" si="1027"/>
        <v>298.04620287822667</v>
      </c>
      <c r="T1063">
        <f t="shared" si="1028"/>
        <v>0.29804620287822664</v>
      </c>
    </row>
    <row r="1064" spans="1:20" x14ac:dyDescent="0.25">
      <c r="A1064" s="5">
        <v>43529</v>
      </c>
      <c r="B1064">
        <v>3.2328999999999999</v>
      </c>
      <c r="C1064">
        <v>3.7988</v>
      </c>
      <c r="D1064">
        <v>3.202</v>
      </c>
      <c r="E1064">
        <v>3.7481</v>
      </c>
      <c r="F1064">
        <v>15869796.960000001</v>
      </c>
      <c r="G1064">
        <v>0</v>
      </c>
      <c r="L1064" t="s">
        <v>8</v>
      </c>
      <c r="M1064" t="s">
        <v>8</v>
      </c>
      <c r="N1064" t="s">
        <v>7</v>
      </c>
      <c r="P1064">
        <f t="shared" si="1024"/>
        <v>0.83009383378016099</v>
      </c>
      <c r="Q1064">
        <f t="shared" si="1025"/>
        <v>13173420.599839145</v>
      </c>
      <c r="R1064">
        <f t="shared" si="1026"/>
        <v>29761060.311118461</v>
      </c>
      <c r="S1064">
        <f t="shared" si="1027"/>
        <v>297.61060311118462</v>
      </c>
      <c r="T1064">
        <f t="shared" si="1028"/>
        <v>0.29761060311118459</v>
      </c>
    </row>
    <row r="1065" spans="1:20" x14ac:dyDescent="0.25">
      <c r="A1065" s="5">
        <v>43528</v>
      </c>
      <c r="B1065">
        <v>3.5158999999999998</v>
      </c>
      <c r="C1065">
        <v>3.5415000000000001</v>
      </c>
      <c r="D1065">
        <v>3.1</v>
      </c>
      <c r="E1065">
        <v>3.2321</v>
      </c>
      <c r="F1065">
        <v>10886454.08</v>
      </c>
      <c r="G1065">
        <v>0</v>
      </c>
      <c r="L1065" t="s">
        <v>7</v>
      </c>
      <c r="M1065" t="s">
        <v>7</v>
      </c>
      <c r="N1065" t="s">
        <v>7</v>
      </c>
      <c r="P1065">
        <f t="shared" si="1024"/>
        <v>-0.40158550396376042</v>
      </c>
      <c r="Q1065">
        <f t="shared" si="1025"/>
        <v>-4371842.1480951356</v>
      </c>
      <c r="R1065">
        <f t="shared" si="1026"/>
        <v>16587639.711279318</v>
      </c>
      <c r="S1065">
        <f t="shared" si="1027"/>
        <v>165.87639711279317</v>
      </c>
      <c r="T1065">
        <f t="shared" si="1028"/>
        <v>0.16587639711279317</v>
      </c>
    </row>
    <row r="1066" spans="1:20" x14ac:dyDescent="0.25">
      <c r="A1066" s="5">
        <v>43527</v>
      </c>
      <c r="B1066">
        <v>3.4767000000000001</v>
      </c>
      <c r="C1066">
        <v>3.5949</v>
      </c>
      <c r="D1066">
        <v>3.4742000000000002</v>
      </c>
      <c r="E1066">
        <v>3.5158</v>
      </c>
      <c r="F1066">
        <v>4412889.1900000004</v>
      </c>
      <c r="G1066">
        <v>0</v>
      </c>
      <c r="L1066" t="s">
        <v>7</v>
      </c>
      <c r="M1066" t="s">
        <v>7</v>
      </c>
      <c r="N1066" t="s">
        <v>8</v>
      </c>
      <c r="P1066">
        <f t="shared" si="1024"/>
        <v>-0.31068765534382892</v>
      </c>
      <c r="Q1066">
        <f t="shared" si="1025"/>
        <v>-1371030.1957332285</v>
      </c>
      <c r="R1066">
        <f t="shared" si="1026"/>
        <v>20959481.859374452</v>
      </c>
      <c r="S1066">
        <f t="shared" si="1027"/>
        <v>209.59481859374452</v>
      </c>
      <c r="T1066">
        <f t="shared" si="1028"/>
        <v>0.20959481859374451</v>
      </c>
    </row>
    <row r="1067" spans="1:20" x14ac:dyDescent="0.25">
      <c r="A1067" s="5">
        <v>43526</v>
      </c>
      <c r="B1067">
        <v>3.4668000000000001</v>
      </c>
      <c r="C1067">
        <v>3.5312999999999999</v>
      </c>
      <c r="D1067">
        <v>3.4220000000000002</v>
      </c>
      <c r="E1067">
        <v>3.4752999999999998</v>
      </c>
      <c r="F1067">
        <v>5610936.0199999996</v>
      </c>
      <c r="G1067">
        <v>0</v>
      </c>
      <c r="L1067" t="s">
        <v>7</v>
      </c>
      <c r="M1067" t="s">
        <v>7</v>
      </c>
      <c r="N1067" t="s">
        <v>8</v>
      </c>
      <c r="P1067">
        <f t="shared" si="1024"/>
        <v>-2.4702653247944881E-2</v>
      </c>
      <c r="Q1067">
        <f t="shared" si="1025"/>
        <v>-138605.00689846391</v>
      </c>
      <c r="R1067">
        <f t="shared" si="1026"/>
        <v>22330512.055107679</v>
      </c>
      <c r="S1067">
        <f t="shared" si="1027"/>
        <v>223.30512055107678</v>
      </c>
      <c r="T1067">
        <f t="shared" si="1028"/>
        <v>0.22330512055107679</v>
      </c>
    </row>
    <row r="1068" spans="1:20" x14ac:dyDescent="0.25">
      <c r="A1068" s="5">
        <v>43525</v>
      </c>
      <c r="B1068">
        <v>3.4977</v>
      </c>
      <c r="C1068">
        <v>3.6835</v>
      </c>
      <c r="D1068">
        <v>3.4064000000000001</v>
      </c>
      <c r="E1068">
        <v>3.4672999999999998</v>
      </c>
      <c r="F1068">
        <v>8074950.46</v>
      </c>
      <c r="G1068">
        <v>0</v>
      </c>
      <c r="L1068" t="s">
        <v>7</v>
      </c>
      <c r="M1068" t="s">
        <v>7</v>
      </c>
      <c r="N1068" t="s">
        <v>8</v>
      </c>
      <c r="P1068">
        <f t="shared" si="1024"/>
        <v>-0.56044749188018939</v>
      </c>
      <c r="Q1068">
        <f t="shared" si="1025"/>
        <v>-4525585.7323637819</v>
      </c>
      <c r="R1068">
        <f t="shared" si="1026"/>
        <v>22469117.062006142</v>
      </c>
      <c r="S1068">
        <f t="shared" si="1027"/>
        <v>224.69117062006143</v>
      </c>
      <c r="T1068">
        <f t="shared" si="1028"/>
        <v>0.22469117062006141</v>
      </c>
    </row>
    <row r="1069" spans="1:20" x14ac:dyDescent="0.25">
      <c r="A1069" s="5">
        <v>43524</v>
      </c>
      <c r="B1069">
        <v>3.5026000000000002</v>
      </c>
      <c r="C1069">
        <v>3.6438999999999999</v>
      </c>
      <c r="D1069">
        <v>3.4359999999999999</v>
      </c>
      <c r="E1069">
        <v>3.4971000000000001</v>
      </c>
      <c r="F1069">
        <v>7021064.46</v>
      </c>
      <c r="G1069">
        <v>0</v>
      </c>
      <c r="L1069" t="s">
        <v>8</v>
      </c>
      <c r="M1069" t="s">
        <v>7</v>
      </c>
      <c r="N1069" t="s">
        <v>8</v>
      </c>
      <c r="P1069">
        <f t="shared" si="1024"/>
        <v>-0.41221741221741065</v>
      </c>
      <c r="Q1069">
        <f t="shared" si="1025"/>
        <v>-2894205.0227128319</v>
      </c>
      <c r="R1069">
        <f t="shared" si="1026"/>
        <v>26994702.794369925</v>
      </c>
      <c r="S1069">
        <f t="shared" si="1027"/>
        <v>269.94702794369925</v>
      </c>
      <c r="T1069">
        <f t="shared" si="1028"/>
        <v>0.26994702794369924</v>
      </c>
    </row>
    <row r="1070" spans="1:20" x14ac:dyDescent="0.25">
      <c r="A1070" s="5">
        <v>43523</v>
      </c>
      <c r="B1070">
        <v>3.4323999999999999</v>
      </c>
      <c r="C1070">
        <v>3.5545</v>
      </c>
      <c r="D1070">
        <v>3.32</v>
      </c>
      <c r="E1070">
        <v>3.5021</v>
      </c>
      <c r="F1070">
        <v>7547003.71</v>
      </c>
      <c r="G1070">
        <v>0</v>
      </c>
      <c r="L1070" t="s">
        <v>7</v>
      </c>
      <c r="M1070" t="s">
        <v>7</v>
      </c>
      <c r="N1070" t="s">
        <v>8</v>
      </c>
      <c r="P1070">
        <f t="shared" si="1024"/>
        <v>0.55309168443496826</v>
      </c>
      <c r="Q1070">
        <f t="shared" si="1025"/>
        <v>4174184.9944008547</v>
      </c>
      <c r="R1070">
        <f t="shared" si="1026"/>
        <v>29888907.817082755</v>
      </c>
      <c r="S1070">
        <f t="shared" si="1027"/>
        <v>298.88907817082753</v>
      </c>
      <c r="T1070">
        <f t="shared" si="1028"/>
        <v>0.29888907817082755</v>
      </c>
    </row>
    <row r="1071" spans="1:20" x14ac:dyDescent="0.25">
      <c r="A1071" s="5">
        <v>43522</v>
      </c>
      <c r="B1071">
        <v>3.5430999999999999</v>
      </c>
      <c r="C1071">
        <v>3.5581999999999998</v>
      </c>
      <c r="D1071">
        <v>3.3001</v>
      </c>
      <c r="E1071">
        <v>3.4318</v>
      </c>
      <c r="F1071">
        <v>9333008.3499999996</v>
      </c>
      <c r="G1071">
        <v>0</v>
      </c>
      <c r="L1071" t="s">
        <v>8</v>
      </c>
      <c r="M1071" t="s">
        <v>7</v>
      </c>
      <c r="N1071" t="s">
        <v>8</v>
      </c>
      <c r="P1071">
        <f t="shared" si="1024"/>
        <v>2.0534676481984065E-2</v>
      </c>
      <c r="Q1071">
        <f t="shared" si="1025"/>
        <v>191650.3070709059</v>
      </c>
      <c r="R1071">
        <f t="shared" si="1026"/>
        <v>25714722.8226819</v>
      </c>
      <c r="S1071">
        <f t="shared" si="1027"/>
        <v>257.14722822681898</v>
      </c>
      <c r="T1071">
        <f t="shared" si="1028"/>
        <v>0.25714722822681896</v>
      </c>
    </row>
    <row r="1072" spans="1:20" x14ac:dyDescent="0.25">
      <c r="A1072" s="5">
        <v>43521</v>
      </c>
      <c r="B1072">
        <v>3.5327000000000002</v>
      </c>
      <c r="C1072">
        <v>3.7130000000000001</v>
      </c>
      <c r="D1072">
        <v>3.2658</v>
      </c>
      <c r="E1072">
        <v>3.5461</v>
      </c>
      <c r="F1072">
        <v>15538358.939999999</v>
      </c>
      <c r="G1072">
        <v>0</v>
      </c>
      <c r="L1072" t="s">
        <v>7</v>
      </c>
      <c r="M1072" t="s">
        <v>7</v>
      </c>
      <c r="N1072" t="s">
        <v>8</v>
      </c>
      <c r="P1072">
        <f t="shared" si="1024"/>
        <v>0.25357781753130576</v>
      </c>
      <c r="Q1072">
        <f t="shared" si="1025"/>
        <v>3940183.1480232533</v>
      </c>
      <c r="R1072">
        <f t="shared" si="1026"/>
        <v>25523072.515610993</v>
      </c>
      <c r="S1072">
        <f t="shared" si="1027"/>
        <v>255.23072515610994</v>
      </c>
      <c r="T1072">
        <f t="shared" si="1028"/>
        <v>0.25523072515610995</v>
      </c>
    </row>
    <row r="1073" spans="1:20" x14ac:dyDescent="0.25">
      <c r="A1073" s="5">
        <v>43520</v>
      </c>
      <c r="B1073">
        <v>4.2434000000000003</v>
      </c>
      <c r="C1073">
        <v>4.4416000000000002</v>
      </c>
      <c r="D1073">
        <v>3.4</v>
      </c>
      <c r="E1073">
        <v>3.5289000000000001</v>
      </c>
      <c r="F1073">
        <v>19522125.210000001</v>
      </c>
      <c r="G1073">
        <v>0</v>
      </c>
      <c r="L1073" t="s">
        <v>8</v>
      </c>
      <c r="M1073" t="s">
        <v>8</v>
      </c>
      <c r="N1073" t="s">
        <v>8</v>
      </c>
      <c r="P1073">
        <f t="shared" si="1024"/>
        <v>-0.7524961597542239</v>
      </c>
      <c r="Q1073">
        <f t="shared" si="1025"/>
        <v>-14690324.250766123</v>
      </c>
      <c r="R1073">
        <f t="shared" si="1026"/>
        <v>21582889.367587738</v>
      </c>
      <c r="S1073">
        <f t="shared" si="1027"/>
        <v>215.82889367587737</v>
      </c>
      <c r="T1073">
        <f t="shared" si="1028"/>
        <v>0.21582889367587738</v>
      </c>
    </row>
    <row r="1074" spans="1:20" x14ac:dyDescent="0.25">
      <c r="A1074" s="5">
        <v>43519</v>
      </c>
      <c r="B1074">
        <v>3.8458999999999999</v>
      </c>
      <c r="C1074">
        <v>4.3139000000000003</v>
      </c>
      <c r="D1074">
        <v>3.7799</v>
      </c>
      <c r="E1074">
        <v>4.2450000000000001</v>
      </c>
      <c r="F1074">
        <v>8765378.7200000007</v>
      </c>
      <c r="G1074">
        <v>0</v>
      </c>
      <c r="L1074" t="s">
        <v>8</v>
      </c>
      <c r="M1074" t="s">
        <v>8</v>
      </c>
      <c r="N1074" t="s">
        <v>8</v>
      </c>
      <c r="P1074">
        <f t="shared" si="1024"/>
        <v>0.74194756554307062</v>
      </c>
      <c r="Q1074">
        <f t="shared" si="1025"/>
        <v>6503451.4023670368</v>
      </c>
      <c r="R1074">
        <f t="shared" si="1026"/>
        <v>36273213.618353859</v>
      </c>
      <c r="S1074">
        <f t="shared" si="1027"/>
        <v>362.73213618353861</v>
      </c>
      <c r="T1074">
        <f t="shared" si="1028"/>
        <v>0.36273213618353861</v>
      </c>
    </row>
    <row r="1075" spans="1:20" x14ac:dyDescent="0.25">
      <c r="A1075" s="5">
        <v>43518</v>
      </c>
      <c r="B1075">
        <v>3.8035000000000001</v>
      </c>
      <c r="C1075">
        <v>3.9089999999999998</v>
      </c>
      <c r="D1075">
        <v>3.73</v>
      </c>
      <c r="E1075">
        <v>3.8411</v>
      </c>
      <c r="F1075">
        <v>10110935.880000001</v>
      </c>
      <c r="G1075">
        <v>0</v>
      </c>
      <c r="L1075" t="s">
        <v>7</v>
      </c>
      <c r="M1075" t="s">
        <v>8</v>
      </c>
      <c r="N1075" t="s">
        <v>8</v>
      </c>
      <c r="P1075">
        <f t="shared" si="1024"/>
        <v>0.24134078212290597</v>
      </c>
      <c r="Q1075">
        <f t="shared" si="1025"/>
        <v>2440181.1732737529</v>
      </c>
      <c r="R1075">
        <f t="shared" si="1026"/>
        <v>29769762.215986818</v>
      </c>
      <c r="S1075">
        <f t="shared" si="1027"/>
        <v>297.69762215986816</v>
      </c>
      <c r="T1075">
        <f t="shared" si="1028"/>
        <v>0.29769762215986817</v>
      </c>
    </row>
    <row r="1076" spans="1:20" x14ac:dyDescent="0.25">
      <c r="A1076" s="5">
        <v>43517</v>
      </c>
      <c r="B1076">
        <v>3.9095</v>
      </c>
      <c r="C1076">
        <v>3.9287000000000001</v>
      </c>
      <c r="D1076">
        <v>3.6345000000000001</v>
      </c>
      <c r="E1076">
        <v>3.8035000000000001</v>
      </c>
      <c r="F1076">
        <v>11037523.050000001</v>
      </c>
      <c r="G1076">
        <v>0</v>
      </c>
      <c r="L1076" t="s">
        <v>7</v>
      </c>
      <c r="M1076" t="s">
        <v>8</v>
      </c>
      <c r="N1076" t="s">
        <v>8</v>
      </c>
      <c r="P1076">
        <f t="shared" si="1024"/>
        <v>0.14887831407206004</v>
      </c>
      <c r="Q1076">
        <f t="shared" si="1025"/>
        <v>1643247.8232155021</v>
      </c>
      <c r="R1076">
        <f t="shared" si="1026"/>
        <v>27329581.042713065</v>
      </c>
      <c r="S1076">
        <f t="shared" si="1027"/>
        <v>273.29581042713068</v>
      </c>
      <c r="T1076">
        <f t="shared" si="1028"/>
        <v>0.27329581042713069</v>
      </c>
    </row>
    <row r="1077" spans="1:20" x14ac:dyDescent="0.25">
      <c r="A1077" s="5">
        <v>43516</v>
      </c>
      <c r="B1077">
        <v>3.5215000000000001</v>
      </c>
      <c r="C1077">
        <v>3.9449999999999998</v>
      </c>
      <c r="D1077">
        <v>3.4554</v>
      </c>
      <c r="E1077">
        <v>3.9076</v>
      </c>
      <c r="F1077">
        <v>17147702.579999998</v>
      </c>
      <c r="G1077">
        <v>0</v>
      </c>
      <c r="L1077" t="s">
        <v>8</v>
      </c>
      <c r="M1077" t="s">
        <v>8</v>
      </c>
      <c r="N1077" t="s">
        <v>8</v>
      </c>
      <c r="P1077">
        <f t="shared" si="1024"/>
        <v>0.84722222222222265</v>
      </c>
      <c r="Q1077">
        <f t="shared" si="1025"/>
        <v>14527914.685833339</v>
      </c>
      <c r="R1077">
        <f t="shared" si="1026"/>
        <v>25686333.219497561</v>
      </c>
      <c r="S1077">
        <f t="shared" si="1027"/>
        <v>256.86333219497561</v>
      </c>
      <c r="T1077">
        <f t="shared" si="1028"/>
        <v>0.25686333219497559</v>
      </c>
    </row>
    <row r="1078" spans="1:20" x14ac:dyDescent="0.25">
      <c r="A1078" s="5">
        <v>43515</v>
      </c>
      <c r="B1078">
        <v>3.4763000000000002</v>
      </c>
      <c r="C1078">
        <v>3.7989999999999999</v>
      </c>
      <c r="D1078">
        <v>3.46</v>
      </c>
      <c r="E1078">
        <v>3.5224000000000002</v>
      </c>
      <c r="F1078">
        <v>21074867.079999998</v>
      </c>
      <c r="G1078">
        <v>0</v>
      </c>
      <c r="L1078" t="s">
        <v>8</v>
      </c>
      <c r="M1078" t="s">
        <v>8</v>
      </c>
      <c r="N1078" t="s">
        <v>8</v>
      </c>
      <c r="P1078">
        <f t="shared" si="1024"/>
        <v>-0.63185840707964458</v>
      </c>
      <c r="Q1078">
        <f t="shared" si="1025"/>
        <v>-13316331.94258404</v>
      </c>
      <c r="R1078">
        <f t="shared" si="1026"/>
        <v>11158418.533664221</v>
      </c>
      <c r="S1078">
        <f t="shared" si="1027"/>
        <v>111.58418533664221</v>
      </c>
      <c r="T1078">
        <f t="shared" si="1028"/>
        <v>0.1115841853366422</v>
      </c>
    </row>
    <row r="1079" spans="1:20" x14ac:dyDescent="0.25">
      <c r="A1079" s="5">
        <v>43514</v>
      </c>
      <c r="B1079">
        <v>2.8761999999999999</v>
      </c>
      <c r="C1079">
        <v>3.49</v>
      </c>
      <c r="D1079">
        <v>2.8601000000000001</v>
      </c>
      <c r="E1079">
        <v>3.4763999999999999</v>
      </c>
      <c r="F1079">
        <v>17539014.800000001</v>
      </c>
      <c r="G1079">
        <v>0</v>
      </c>
      <c r="L1079" t="s">
        <v>8</v>
      </c>
      <c r="M1079" t="s">
        <v>8</v>
      </c>
      <c r="N1079" t="s">
        <v>8</v>
      </c>
      <c r="P1079">
        <f t="shared" si="1024"/>
        <v>0.95681854262581278</v>
      </c>
      <c r="Q1079">
        <f t="shared" si="1025"/>
        <v>16781654.580028564</v>
      </c>
      <c r="R1079">
        <f t="shared" si="1026"/>
        <v>24474750.476248261</v>
      </c>
      <c r="S1079">
        <f t="shared" si="1027"/>
        <v>244.74750476248261</v>
      </c>
      <c r="T1079">
        <f t="shared" si="1028"/>
        <v>0.24474750476248261</v>
      </c>
    </row>
    <row r="1080" spans="1:20" x14ac:dyDescent="0.25">
      <c r="A1080" s="5">
        <v>43513</v>
      </c>
      <c r="B1080">
        <v>2.7858999999999998</v>
      </c>
      <c r="C1080">
        <v>2.9163000000000001</v>
      </c>
      <c r="D1080">
        <v>2.7774999999999999</v>
      </c>
      <c r="E1080">
        <v>2.8761999999999999</v>
      </c>
      <c r="F1080">
        <v>5431277.9000000004</v>
      </c>
      <c r="G1080">
        <v>0</v>
      </c>
      <c r="L1080" t="s">
        <v>8</v>
      </c>
      <c r="M1080" t="s">
        <v>8</v>
      </c>
      <c r="N1080" t="s">
        <v>8</v>
      </c>
      <c r="P1080">
        <f t="shared" si="1024"/>
        <v>0.42219020172910415</v>
      </c>
      <c r="Q1080">
        <f t="shared" si="1025"/>
        <v>2293032.3122478253</v>
      </c>
      <c r="R1080">
        <f t="shared" si="1026"/>
        <v>7693095.8962196968</v>
      </c>
      <c r="S1080">
        <f t="shared" si="1027"/>
        <v>76.930958962196968</v>
      </c>
      <c r="T1080">
        <f t="shared" si="1028"/>
        <v>7.6930958962196969E-2</v>
      </c>
    </row>
    <row r="1081" spans="1:20" x14ac:dyDescent="0.25">
      <c r="A1081" s="5">
        <v>43512</v>
      </c>
      <c r="B1081">
        <v>2.7930999999999999</v>
      </c>
      <c r="C1081">
        <v>2.8932000000000002</v>
      </c>
      <c r="D1081">
        <v>2.7755000000000001</v>
      </c>
      <c r="E1081">
        <v>2.7873000000000001</v>
      </c>
      <c r="F1081">
        <v>3196504.29</v>
      </c>
      <c r="G1081">
        <v>0</v>
      </c>
      <c r="L1081" t="s">
        <v>7</v>
      </c>
      <c r="M1081" t="s">
        <v>8</v>
      </c>
      <c r="N1081" t="s">
        <v>8</v>
      </c>
      <c r="P1081">
        <f t="shared" si="1024"/>
        <v>-0.79949022939677117</v>
      </c>
      <c r="Q1081">
        <f t="shared" si="1025"/>
        <v>-2555573.9480798631</v>
      </c>
      <c r="R1081">
        <f t="shared" si="1026"/>
        <v>5400063.5839718711</v>
      </c>
      <c r="S1081">
        <f t="shared" si="1027"/>
        <v>54.000635839718711</v>
      </c>
      <c r="T1081">
        <f t="shared" si="1028"/>
        <v>5.4000635839718709E-2</v>
      </c>
    </row>
    <row r="1082" spans="1:20" x14ac:dyDescent="0.25">
      <c r="A1082" s="5">
        <v>43511</v>
      </c>
      <c r="B1082">
        <v>2.7427999999999999</v>
      </c>
      <c r="C1082">
        <v>2.8696999999999999</v>
      </c>
      <c r="D1082">
        <v>2.7391000000000001</v>
      </c>
      <c r="E1082">
        <v>2.7928000000000002</v>
      </c>
      <c r="F1082">
        <v>4622600.8600000003</v>
      </c>
      <c r="G1082">
        <v>0</v>
      </c>
      <c r="L1082" t="s">
        <v>7</v>
      </c>
      <c r="M1082" t="s">
        <v>8</v>
      </c>
      <c r="N1082" t="s">
        <v>8</v>
      </c>
      <c r="P1082">
        <f t="shared" si="1024"/>
        <v>-0.17764165390505127</v>
      </c>
      <c r="Q1082">
        <f t="shared" si="1025"/>
        <v>-821166.46211331245</v>
      </c>
      <c r="R1082">
        <f t="shared" si="1026"/>
        <v>7955637.5320517337</v>
      </c>
      <c r="S1082">
        <f t="shared" si="1027"/>
        <v>79.556375320517333</v>
      </c>
      <c r="T1082">
        <f t="shared" si="1028"/>
        <v>7.9556375320517334E-2</v>
      </c>
    </row>
    <row r="1083" spans="1:20" x14ac:dyDescent="0.25">
      <c r="A1083" s="5">
        <v>43510</v>
      </c>
      <c r="B1083">
        <v>2.8565</v>
      </c>
      <c r="C1083">
        <v>2.8894000000000002</v>
      </c>
      <c r="D1083">
        <v>2.7101000000000002</v>
      </c>
      <c r="E1083">
        <v>2.7427000000000001</v>
      </c>
      <c r="F1083">
        <v>4507205.7300000004</v>
      </c>
      <c r="G1083">
        <v>0</v>
      </c>
      <c r="L1083" t="s">
        <v>7</v>
      </c>
      <c r="M1083" t="s">
        <v>8</v>
      </c>
      <c r="N1083" t="s">
        <v>8</v>
      </c>
      <c r="P1083">
        <f t="shared" si="1024"/>
        <v>-0.6363636363636368</v>
      </c>
      <c r="Q1083">
        <f t="shared" si="1025"/>
        <v>-2868221.8281818205</v>
      </c>
      <c r="R1083">
        <f t="shared" si="1026"/>
        <v>8776803.9941650461</v>
      </c>
      <c r="S1083">
        <f t="shared" si="1027"/>
        <v>87.768039941650457</v>
      </c>
      <c r="T1083">
        <f t="shared" si="1028"/>
        <v>8.7768039941650458E-2</v>
      </c>
    </row>
    <row r="1084" spans="1:20" x14ac:dyDescent="0.25">
      <c r="A1084" s="5">
        <v>43509</v>
      </c>
      <c r="B1084">
        <v>2.9474999999999998</v>
      </c>
      <c r="C1084">
        <v>2.9973000000000001</v>
      </c>
      <c r="D1084">
        <v>2.8027000000000002</v>
      </c>
      <c r="E1084">
        <v>2.8563999999999998</v>
      </c>
      <c r="F1084">
        <v>6485268.1200000001</v>
      </c>
      <c r="G1084">
        <v>0</v>
      </c>
      <c r="L1084" t="s">
        <v>8</v>
      </c>
      <c r="M1084" t="s">
        <v>8</v>
      </c>
      <c r="N1084" t="s">
        <v>8</v>
      </c>
      <c r="P1084">
        <f t="shared" si="1024"/>
        <v>-0.44809866392600545</v>
      </c>
      <c r="Q1084">
        <f t="shared" si="1025"/>
        <v>-2906039.9797739172</v>
      </c>
      <c r="R1084">
        <f t="shared" si="1026"/>
        <v>11645025.822346866</v>
      </c>
      <c r="S1084">
        <f t="shared" si="1027"/>
        <v>116.45025822346867</v>
      </c>
      <c r="T1084">
        <f t="shared" si="1028"/>
        <v>0.11645025822346866</v>
      </c>
    </row>
    <row r="1085" spans="1:20" x14ac:dyDescent="0.25">
      <c r="A1085" s="5">
        <v>43508</v>
      </c>
      <c r="B1085">
        <v>2.7492999999999999</v>
      </c>
      <c r="C1085">
        <v>3.0171000000000001</v>
      </c>
      <c r="D1085">
        <v>2.7088999999999999</v>
      </c>
      <c r="E1085">
        <v>2.9464999999999999</v>
      </c>
      <c r="F1085">
        <v>7730088.2999999998</v>
      </c>
      <c r="G1085">
        <v>0</v>
      </c>
      <c r="L1085" t="s">
        <v>8</v>
      </c>
      <c r="M1085" t="s">
        <v>8</v>
      </c>
      <c r="N1085" t="s">
        <v>8</v>
      </c>
      <c r="P1085">
        <f t="shared" si="1024"/>
        <v>0.54185593770278939</v>
      </c>
      <c r="Q1085">
        <f t="shared" si="1025"/>
        <v>4188594.2443218608</v>
      </c>
      <c r="R1085">
        <f t="shared" si="1026"/>
        <v>14551065.802120782</v>
      </c>
      <c r="S1085">
        <f t="shared" si="1027"/>
        <v>145.51065802120783</v>
      </c>
      <c r="T1085">
        <f t="shared" si="1028"/>
        <v>0.14551065802120783</v>
      </c>
    </row>
    <row r="1086" spans="1:20" x14ac:dyDescent="0.25">
      <c r="A1086" s="5">
        <v>43507</v>
      </c>
      <c r="B1086">
        <v>2.8401000000000001</v>
      </c>
      <c r="C1086">
        <v>2.8477999999999999</v>
      </c>
      <c r="D1086">
        <v>2.6825999999999999</v>
      </c>
      <c r="E1086">
        <v>2.75</v>
      </c>
      <c r="F1086">
        <v>5768338.9699999997</v>
      </c>
      <c r="G1086">
        <v>0</v>
      </c>
      <c r="L1086" t="s">
        <v>7</v>
      </c>
      <c r="M1086" t="s">
        <v>8</v>
      </c>
      <c r="N1086" t="s">
        <v>8</v>
      </c>
      <c r="P1086">
        <f t="shared" si="1024"/>
        <v>-0.18401937046004696</v>
      </c>
      <c r="Q1086">
        <f t="shared" si="1025"/>
        <v>-1061486.1058595558</v>
      </c>
      <c r="R1086">
        <f t="shared" si="1026"/>
        <v>10362471.557798922</v>
      </c>
      <c r="S1086">
        <f t="shared" si="1027"/>
        <v>103.62471557798922</v>
      </c>
      <c r="T1086">
        <f t="shared" si="1028"/>
        <v>0.10362471557798922</v>
      </c>
    </row>
    <row r="1087" spans="1:20" x14ac:dyDescent="0.25">
      <c r="A1087" s="5">
        <v>43506</v>
      </c>
      <c r="B1087">
        <v>2.7707000000000002</v>
      </c>
      <c r="C1087">
        <v>2.86</v>
      </c>
      <c r="D1087">
        <v>2.6484000000000001</v>
      </c>
      <c r="E1087">
        <v>2.8393000000000002</v>
      </c>
      <c r="F1087">
        <v>6446491.0300000003</v>
      </c>
      <c r="G1087">
        <v>0</v>
      </c>
      <c r="L1087" t="s">
        <v>8</v>
      </c>
      <c r="M1087" t="s">
        <v>8</v>
      </c>
      <c r="N1087" t="s">
        <v>8</v>
      </c>
      <c r="P1087">
        <f t="shared" ref="P1087:P1090" si="1029">IF(C1087=D1087,0,((E1087-D1087)-(C1087-E1087))/(C1087-D1087))</f>
        <v>0.80434782608695898</v>
      </c>
      <c r="Q1087">
        <f t="shared" ref="Q1087:Q1090" si="1030">F1087*P1087</f>
        <v>5185221.0458695814</v>
      </c>
      <c r="R1087">
        <f t="shared" ref="R1087:R1090" si="1031">R1088+Q1087</f>
        <v>11423957.663658477</v>
      </c>
      <c r="S1087">
        <f t="shared" ref="S1087:S1090" si="1032">R1087/100000</f>
        <v>114.23957663658477</v>
      </c>
      <c r="T1087">
        <f t="shared" ref="T1087:T1090" si="1033">S1087/1000</f>
        <v>0.11423957663658477</v>
      </c>
    </row>
    <row r="1088" spans="1:20" x14ac:dyDescent="0.25">
      <c r="A1088" s="5">
        <v>43505</v>
      </c>
      <c r="B1088">
        <v>2.7212999999999998</v>
      </c>
      <c r="C1088">
        <v>2.831</v>
      </c>
      <c r="D1088">
        <v>2.6741999999999999</v>
      </c>
      <c r="E1088">
        <v>2.7717999999999998</v>
      </c>
      <c r="F1088">
        <v>6111348.7300000004</v>
      </c>
      <c r="G1088">
        <v>0</v>
      </c>
      <c r="L1088" t="s">
        <v>8</v>
      </c>
      <c r="M1088" t="s">
        <v>8</v>
      </c>
      <c r="N1088" t="s">
        <v>8</v>
      </c>
      <c r="P1088">
        <f t="shared" si="1029"/>
        <v>0.24489795918367191</v>
      </c>
      <c r="Q1088">
        <f t="shared" si="1030"/>
        <v>1496656.8318367254</v>
      </c>
      <c r="R1088">
        <f t="shared" si="1031"/>
        <v>6238736.6177888969</v>
      </c>
      <c r="S1088">
        <f t="shared" si="1032"/>
        <v>62.387366177888971</v>
      </c>
      <c r="T1088">
        <f t="shared" si="1033"/>
        <v>6.2387366177888974E-2</v>
      </c>
    </row>
    <row r="1089" spans="1:20" x14ac:dyDescent="0.25">
      <c r="A1089" s="5">
        <v>43504</v>
      </c>
      <c r="B1089">
        <v>2.3407</v>
      </c>
      <c r="C1089">
        <v>2.806</v>
      </c>
      <c r="D1089">
        <v>2.3248000000000002</v>
      </c>
      <c r="E1089">
        <v>2.7219000000000002</v>
      </c>
      <c r="F1089">
        <v>9123081.2300000004</v>
      </c>
      <c r="G1089">
        <v>0</v>
      </c>
      <c r="L1089" t="s">
        <v>8</v>
      </c>
      <c r="M1089" t="s">
        <v>8</v>
      </c>
      <c r="N1089" t="s">
        <v>8</v>
      </c>
      <c r="P1089">
        <f t="shared" si="1029"/>
        <v>0.65045719035744032</v>
      </c>
      <c r="Q1089">
        <f t="shared" si="1030"/>
        <v>5934173.7842685012</v>
      </c>
      <c r="R1089">
        <f t="shared" si="1031"/>
        <v>4742079.7859521713</v>
      </c>
      <c r="S1089">
        <f t="shared" si="1032"/>
        <v>47.420797859521713</v>
      </c>
      <c r="T1089">
        <f t="shared" si="1033"/>
        <v>4.7420797859521711E-2</v>
      </c>
    </row>
    <row r="1090" spans="1:20" x14ac:dyDescent="0.25">
      <c r="A1090" s="5">
        <v>43503</v>
      </c>
      <c r="B1090">
        <v>2.3426999999999998</v>
      </c>
      <c r="C1090">
        <v>2.44</v>
      </c>
      <c r="D1090">
        <v>2.3224</v>
      </c>
      <c r="E1090">
        <v>2.3414999999999999</v>
      </c>
      <c r="F1090">
        <v>1765620.33</v>
      </c>
      <c r="G1090">
        <v>0</v>
      </c>
      <c r="P1090">
        <f t="shared" si="1029"/>
        <v>-0.67517006802721247</v>
      </c>
      <c r="Q1090">
        <f t="shared" si="1030"/>
        <v>-1192093.9983163294</v>
      </c>
      <c r="R1090">
        <f t="shared" si="1031"/>
        <v>-1192093.9983163294</v>
      </c>
      <c r="S1090">
        <f t="shared" si="1032"/>
        <v>-11.920939983163294</v>
      </c>
      <c r="T1090">
        <f t="shared" si="1033"/>
        <v>-1.1920939983163294E-2</v>
      </c>
    </row>
    <row r="1091" spans="1:20" x14ac:dyDescent="0.25">
      <c r="A1091" s="5"/>
      <c r="C1091"/>
      <c r="D1091"/>
    </row>
    <row r="1092" spans="1:20" x14ac:dyDescent="0.25">
      <c r="A1092" s="5"/>
      <c r="C1092"/>
      <c r="D1092"/>
    </row>
    <row r="1093" spans="1:20" x14ac:dyDescent="0.25">
      <c r="A1093" s="5"/>
      <c r="C1093"/>
      <c r="D1093"/>
    </row>
    <row r="1094" spans="1:20" x14ac:dyDescent="0.25">
      <c r="A1094" s="5"/>
      <c r="C1094"/>
      <c r="D1094"/>
    </row>
    <row r="1095" spans="1:20" x14ac:dyDescent="0.25">
      <c r="A1095" s="5"/>
      <c r="C1095"/>
      <c r="D1095"/>
    </row>
    <row r="1096" spans="1:20" x14ac:dyDescent="0.25">
      <c r="A1096" s="5"/>
      <c r="C1096"/>
      <c r="D1096"/>
    </row>
    <row r="1097" spans="1:20" x14ac:dyDescent="0.25">
      <c r="A1097" s="5"/>
      <c r="C1097"/>
      <c r="D1097"/>
    </row>
    <row r="1098" spans="1:20" x14ac:dyDescent="0.25">
      <c r="A1098" s="5"/>
      <c r="C1098"/>
      <c r="D1098"/>
    </row>
    <row r="1099" spans="1:20" x14ac:dyDescent="0.25">
      <c r="A1099" s="5"/>
      <c r="C1099"/>
      <c r="D1099"/>
    </row>
    <row r="1100" spans="1:20" x14ac:dyDescent="0.25">
      <c r="A1100" s="5"/>
      <c r="C1100"/>
      <c r="D1100"/>
    </row>
    <row r="1101" spans="1:20" x14ac:dyDescent="0.25">
      <c r="A1101" s="5"/>
      <c r="C1101"/>
      <c r="D1101"/>
    </row>
    <row r="1102" spans="1:20" x14ac:dyDescent="0.25">
      <c r="A1102" s="5"/>
      <c r="C1102"/>
      <c r="D1102"/>
    </row>
    <row r="1103" spans="1:20" x14ac:dyDescent="0.25">
      <c r="A1103" s="5"/>
      <c r="C1103"/>
      <c r="D1103"/>
    </row>
    <row r="1104" spans="1:20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X547" sqref="OX54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$A$546</v>
      </c>
      <c r="D111" s="1" t="str">
        <f>ADDRESS(C121-1,D121,1,1)</f>
        <v>$OX$546</v>
      </c>
      <c r="E111"/>
    </row>
    <row r="112" spans="1:5" x14ac:dyDescent="0.25">
      <c r="A112" s="7">
        <v>12164.144957890772</v>
      </c>
      <c r="C112" s="1" t="str">
        <f>ADDRESS(C121,1,1,1)</f>
        <v>$A$547</v>
      </c>
      <c r="D112" s="1" t="str">
        <f>ADDRESS(C121,D121-1,1,1)</f>
        <v>$OW$547</v>
      </c>
      <c r="E112"/>
    </row>
    <row r="113" spans="1:5" x14ac:dyDescent="0.25">
      <c r="A113" s="7">
        <v>11925.63231165762</v>
      </c>
      <c r="C113" s="1" t="str">
        <f>ADDRESS(C121+1,1,1,1)</f>
        <v>$A$548</v>
      </c>
      <c r="D113" s="1" t="str">
        <f>ADDRESS(C121-1,D121+1,1,1)</f>
        <v>$OY$546</v>
      </c>
    </row>
    <row r="114" spans="1:5" x14ac:dyDescent="0.25">
      <c r="A114" s="7">
        <v>11691.796383978059</v>
      </c>
      <c r="C114" s="1" t="str">
        <f>ADDRESS(C121,D121,1,1)</f>
        <v>$OX$547</v>
      </c>
      <c r="D114" s="1" t="str">
        <f>ADDRESS(C121+1,D121+1,1,1)</f>
        <v>$OY$548</v>
      </c>
    </row>
    <row r="115" spans="1:5" x14ac:dyDescent="0.25">
      <c r="A115" s="7">
        <v>11462.545474488292</v>
      </c>
      <c r="C115" s="1" t="str">
        <f>ADDRESS(C121+1,D121,1,1)</f>
        <v>$OX$548</v>
      </c>
    </row>
    <row r="116" spans="1:5" x14ac:dyDescent="0.25">
      <c r="A116" s="7">
        <v>11237.789680870874</v>
      </c>
      <c r="C116" s="1">
        <f>C117-1</f>
        <v>546</v>
      </c>
    </row>
    <row r="117" spans="1:5" x14ac:dyDescent="0.25">
      <c r="A117" s="7">
        <v>11017.440863598895</v>
      </c>
      <c r="C117" s="1">
        <f>C121</f>
        <v>547</v>
      </c>
      <c r="D117" s="1">
        <f>D121</f>
        <v>414</v>
      </c>
    </row>
    <row r="118" spans="1:5" x14ac:dyDescent="0.25">
      <c r="A118" s="7">
        <v>10801.412611371465</v>
      </c>
      <c r="C118" s="1">
        <f>C117+1</f>
        <v>548</v>
      </c>
      <c r="D118" s="1">
        <f>D117+1</f>
        <v>415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547</v>
      </c>
      <c r="D121" s="19">
        <v>414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R547</v>
      </c>
      <c r="D123" s="1" t="str">
        <f>"C"&amp;D121</f>
        <v>C414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2.208039663614854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306" x14ac:dyDescent="0.25">
      <c r="A449" s="7">
        <v>15.375303708145482</v>
      </c>
      <c r="B449"/>
      <c r="C449"/>
      <c r="D449"/>
      <c r="E449"/>
    </row>
    <row r="450" spans="1:306" x14ac:dyDescent="0.25">
      <c r="A450" s="7">
        <v>15.073827164848511</v>
      </c>
      <c r="B450"/>
      <c r="C450"/>
      <c r="D450"/>
      <c r="E450"/>
    </row>
    <row r="451" spans="1:306" x14ac:dyDescent="0.25">
      <c r="A451" s="7">
        <v>14.77826192632207</v>
      </c>
      <c r="B451"/>
      <c r="C451"/>
      <c r="D451"/>
      <c r="E451"/>
      <c r="KQ451" s="27" t="s">
        <v>8</v>
      </c>
    </row>
    <row r="452" spans="1:306" x14ac:dyDescent="0.25">
      <c r="A452" s="7">
        <v>14.488492084629481</v>
      </c>
      <c r="B452"/>
      <c r="C452"/>
      <c r="D452"/>
      <c r="E452"/>
      <c r="KQ452" s="27" t="s">
        <v>8</v>
      </c>
      <c r="KR452" s="27" t="s">
        <v>7</v>
      </c>
    </row>
    <row r="453" spans="1:306" x14ac:dyDescent="0.25">
      <c r="A453" s="7">
        <v>14.204404004538707</v>
      </c>
      <c r="B453"/>
      <c r="C453"/>
      <c r="D453"/>
      <c r="E453"/>
      <c r="KQ453" s="27" t="s">
        <v>8</v>
      </c>
      <c r="KR453" s="27" t="s">
        <v>7</v>
      </c>
    </row>
    <row r="454" spans="1:306" x14ac:dyDescent="0.25">
      <c r="A454" s="7">
        <v>13.925886278959517</v>
      </c>
      <c r="B454"/>
      <c r="C454"/>
      <c r="D454"/>
      <c r="E454"/>
      <c r="KQ454" s="27" t="s">
        <v>8</v>
      </c>
      <c r="KR454" s="27" t="s">
        <v>7</v>
      </c>
    </row>
    <row r="455" spans="1:306" x14ac:dyDescent="0.25">
      <c r="A455" s="7">
        <v>13.652829685254428</v>
      </c>
      <c r="B455"/>
      <c r="C455"/>
      <c r="D455"/>
      <c r="E455"/>
      <c r="KQ455" s="27" t="s">
        <v>8</v>
      </c>
      <c r="KR455" s="27" t="s">
        <v>7</v>
      </c>
    </row>
    <row r="456" spans="1:306" x14ac:dyDescent="0.25">
      <c r="A456" s="7">
        <v>13.385127142406303</v>
      </c>
      <c r="B456"/>
      <c r="C456"/>
      <c r="D456"/>
      <c r="E456"/>
      <c r="KQ456" s="27" t="s">
        <v>8</v>
      </c>
      <c r="KR456" s="27" t="s">
        <v>7</v>
      </c>
    </row>
    <row r="457" spans="1:306" x14ac:dyDescent="0.25">
      <c r="A457" s="7">
        <v>13.122673669025787</v>
      </c>
      <c r="B457"/>
      <c r="C457"/>
      <c r="D457"/>
      <c r="E457"/>
      <c r="KO457" s="27" t="s">
        <v>8</v>
      </c>
      <c r="KQ457" s="27" t="s">
        <v>8</v>
      </c>
      <c r="KR457" s="27" t="s">
        <v>7</v>
      </c>
    </row>
    <row r="458" spans="1:306" x14ac:dyDescent="0.25">
      <c r="A458" s="7">
        <v>12.865366342182144</v>
      </c>
      <c r="B458"/>
      <c r="C458"/>
      <c r="D458"/>
      <c r="E458"/>
      <c r="KO458" s="27" t="s">
        <v>8</v>
      </c>
      <c r="KP458" s="27" t="s">
        <v>7</v>
      </c>
      <c r="KQ458" s="27" t="s">
        <v>8</v>
      </c>
      <c r="KR458" s="27" t="s">
        <v>7</v>
      </c>
    </row>
    <row r="459" spans="1:306" x14ac:dyDescent="0.25">
      <c r="A459" s="7">
        <v>12.613104257041318</v>
      </c>
      <c r="B459"/>
      <c r="C459"/>
      <c r="D459"/>
      <c r="E459"/>
      <c r="KO459" s="27" t="s">
        <v>8</v>
      </c>
      <c r="KP459" s="27" t="s">
        <v>7</v>
      </c>
      <c r="KQ459" s="27" t="s">
        <v>8</v>
      </c>
      <c r="KR459" s="27" t="s">
        <v>7</v>
      </c>
    </row>
    <row r="460" spans="1:306" x14ac:dyDescent="0.25">
      <c r="A460" s="7">
        <v>12.36578848729541</v>
      </c>
      <c r="B460"/>
      <c r="C460"/>
      <c r="D460"/>
      <c r="E460"/>
      <c r="KO460" s="27" t="s">
        <v>8</v>
      </c>
      <c r="KP460" s="27" t="s">
        <v>7</v>
      </c>
      <c r="KQ460" s="27" t="s">
        <v>8</v>
      </c>
      <c r="KR460" s="27" t="s">
        <v>7</v>
      </c>
    </row>
    <row r="461" spans="1:306" x14ac:dyDescent="0.25">
      <c r="A461" s="7">
        <v>12.123322046368049</v>
      </c>
      <c r="B461"/>
      <c r="C461"/>
      <c r="D461"/>
      <c r="E461"/>
      <c r="KO461" s="27" t="s">
        <v>8</v>
      </c>
      <c r="KP461" s="27" t="s">
        <v>7</v>
      </c>
      <c r="KQ461" s="27" t="s">
        <v>8</v>
      </c>
      <c r="KR461" s="27" t="s">
        <v>7</v>
      </c>
    </row>
    <row r="462" spans="1:306" x14ac:dyDescent="0.25">
      <c r="A462" s="7">
        <v>11.88560984938044</v>
      </c>
      <c r="B462"/>
      <c r="C462"/>
      <c r="D462"/>
      <c r="E462"/>
      <c r="KO462" s="27" t="s">
        <v>8</v>
      </c>
      <c r="KP462" s="27" t="s">
        <v>7</v>
      </c>
      <c r="KQ462" s="27" t="s">
        <v>8</v>
      </c>
      <c r="KR462" s="27" t="s">
        <v>7</v>
      </c>
      <c r="KS462" s="27" t="s">
        <v>8</v>
      </c>
    </row>
    <row r="463" spans="1:306" x14ac:dyDescent="0.25">
      <c r="A463" s="7">
        <v>11.652558675863176</v>
      </c>
      <c r="B463"/>
      <c r="C463"/>
      <c r="D463"/>
      <c r="E463"/>
      <c r="KO463" s="27" t="s">
        <v>8</v>
      </c>
      <c r="KP463" s="27" t="s">
        <v>7</v>
      </c>
      <c r="KQ463" s="27" t="s">
        <v>8</v>
      </c>
      <c r="KR463" s="27" t="s">
        <v>7</v>
      </c>
      <c r="KS463" s="27" t="s">
        <v>8</v>
      </c>
      <c r="KT463" s="27" t="s">
        <v>7</v>
      </c>
    </row>
    <row r="464" spans="1:306" x14ac:dyDescent="0.25">
      <c r="A464" s="7">
        <v>11.424077133199193</v>
      </c>
      <c r="B464"/>
      <c r="C464"/>
      <c r="D464"/>
      <c r="E464"/>
      <c r="KO464" s="27" t="s">
        <v>8</v>
      </c>
      <c r="KP464" s="27" t="s">
        <v>7</v>
      </c>
      <c r="KQ464" s="27" t="s">
        <v>8</v>
      </c>
      <c r="KR464" s="27" t="s">
        <v>7</v>
      </c>
      <c r="KS464" s="27" t="s">
        <v>8</v>
      </c>
      <c r="KT464" s="27" t="s">
        <v>7</v>
      </c>
    </row>
    <row r="465" spans="1:308" x14ac:dyDescent="0.25">
      <c r="A465" s="7">
        <v>11.200075620783522</v>
      </c>
      <c r="B465"/>
      <c r="C465"/>
      <c r="D465"/>
      <c r="E465"/>
      <c r="KO465" s="27" t="s">
        <v>8</v>
      </c>
      <c r="KP465" s="27" t="s">
        <v>7</v>
      </c>
      <c r="KQ465" s="27" t="s">
        <v>8</v>
      </c>
      <c r="KR465" s="27" t="s">
        <v>7</v>
      </c>
      <c r="KS465" s="27" t="s">
        <v>8</v>
      </c>
      <c r="KT465" s="27" t="s">
        <v>7</v>
      </c>
    </row>
    <row r="466" spans="1:308" x14ac:dyDescent="0.25">
      <c r="A466" s="7">
        <v>10.980466294885806</v>
      </c>
      <c r="B466"/>
      <c r="C466"/>
      <c r="D466"/>
      <c r="E466"/>
      <c r="KO466" s="27" t="s">
        <v>8</v>
      </c>
      <c r="KP466" s="27" t="s">
        <v>7</v>
      </c>
      <c r="KQ466" s="27" t="s">
        <v>8</v>
      </c>
      <c r="KR466" s="27" t="s">
        <v>7</v>
      </c>
      <c r="KS466" s="27" t="s">
        <v>8</v>
      </c>
      <c r="KT466" s="27" t="s">
        <v>7</v>
      </c>
    </row>
    <row r="467" spans="1:308" x14ac:dyDescent="0.25">
      <c r="A467" s="7">
        <v>10.765163034201771</v>
      </c>
      <c r="B467"/>
      <c r="C467"/>
      <c r="D467"/>
      <c r="E467"/>
      <c r="KO467" s="27" t="s">
        <v>8</v>
      </c>
      <c r="KP467" s="27" t="s">
        <v>7</v>
      </c>
      <c r="KQ467" s="27" t="s">
        <v>8</v>
      </c>
      <c r="KR467" s="27" t="s">
        <v>7</v>
      </c>
      <c r="KS467" s="27" t="s">
        <v>8</v>
      </c>
      <c r="KT467" s="27" t="s">
        <v>7</v>
      </c>
    </row>
    <row r="468" spans="1:308" x14ac:dyDescent="0.25">
      <c r="A468" s="7">
        <v>10.554081406080169</v>
      </c>
      <c r="B468"/>
      <c r="C468"/>
      <c r="D468"/>
      <c r="E468"/>
      <c r="KO468" s="27" t="s">
        <v>8</v>
      </c>
      <c r="KP468" s="27" t="s">
        <v>7</v>
      </c>
      <c r="KQ468" s="27" t="s">
        <v>8</v>
      </c>
      <c r="KR468" s="27" t="s">
        <v>7</v>
      </c>
      <c r="KS468" s="27" t="s">
        <v>8</v>
      </c>
      <c r="KT468" s="27" t="s">
        <v>7</v>
      </c>
    </row>
    <row r="469" spans="1:308" x14ac:dyDescent="0.25">
      <c r="A469" s="7">
        <v>10.34713863341193</v>
      </c>
      <c r="B469"/>
      <c r="C469"/>
      <c r="D469"/>
      <c r="E469"/>
      <c r="KO469" s="27" t="s">
        <v>8</v>
      </c>
      <c r="KP469" s="27" t="s">
        <v>7</v>
      </c>
      <c r="KQ469" s="27" t="s">
        <v>8</v>
      </c>
      <c r="KR469" s="27" t="s">
        <v>7</v>
      </c>
      <c r="KS469" s="27" t="s">
        <v>8</v>
      </c>
      <c r="KT469" s="27" t="s">
        <v>7</v>
      </c>
    </row>
    <row r="470" spans="1:308" x14ac:dyDescent="0.25">
      <c r="A470" s="7">
        <v>10.14425356216856</v>
      </c>
      <c r="B470"/>
      <c r="C470"/>
      <c r="D470"/>
      <c r="E470"/>
      <c r="KO470" s="27" t="s">
        <v>8</v>
      </c>
      <c r="KP470" s="27" t="s">
        <v>7</v>
      </c>
      <c r="KQ470" s="27" t="s">
        <v>8</v>
      </c>
      <c r="KR470" s="27" t="s">
        <v>7</v>
      </c>
      <c r="KS470" s="27" t="s">
        <v>8</v>
      </c>
      <c r="KT470" s="27" t="s">
        <v>7</v>
      </c>
    </row>
    <row r="471" spans="1:308" x14ac:dyDescent="0.25">
      <c r="A471" s="7">
        <v>9.9453466295770188</v>
      </c>
      <c r="B471"/>
      <c r="C471"/>
      <c r="D471"/>
      <c r="E471"/>
      <c r="KO471" s="27" t="s">
        <v>8</v>
      </c>
      <c r="KP471" s="27" t="s">
        <v>7</v>
      </c>
      <c r="KQ471" s="27" t="s">
        <v>8</v>
      </c>
      <c r="KR471" s="27" t="s">
        <v>7</v>
      </c>
      <c r="KS471" s="27" t="s">
        <v>8</v>
      </c>
      <c r="KT471" s="27" t="s">
        <v>7</v>
      </c>
      <c r="KU471" s="27" t="s">
        <v>8</v>
      </c>
    </row>
    <row r="472" spans="1:308" x14ac:dyDescent="0.25">
      <c r="A472" s="7">
        <v>9.7503398329186464</v>
      </c>
      <c r="B472"/>
      <c r="C472"/>
      <c r="D472"/>
      <c r="E472"/>
      <c r="KO472" s="27" t="s">
        <v>8</v>
      </c>
      <c r="KP472" s="27" t="s">
        <v>7</v>
      </c>
      <c r="KQ472" s="27" t="s">
        <v>8</v>
      </c>
      <c r="KR472" s="27" t="s">
        <v>7</v>
      </c>
      <c r="KS472" s="27" t="s">
        <v>8</v>
      </c>
      <c r="KT472" s="27" t="s">
        <v>7</v>
      </c>
      <c r="KU472" s="27" t="s">
        <v>8</v>
      </c>
      <c r="KV472" s="27" t="s">
        <v>7</v>
      </c>
    </row>
    <row r="473" spans="1:308" x14ac:dyDescent="0.25">
      <c r="A473" s="7">
        <v>9.5591566989398498</v>
      </c>
      <c r="B473"/>
      <c r="C473"/>
      <c r="D473"/>
      <c r="E473"/>
      <c r="KO473" s="27" t="s">
        <v>8</v>
      </c>
      <c r="KP473" s="27" t="s">
        <v>7</v>
      </c>
      <c r="KQ473" s="27" t="s">
        <v>8</v>
      </c>
      <c r="KR473" s="27" t="s">
        <v>7</v>
      </c>
      <c r="KT473" s="27" t="s">
        <v>7</v>
      </c>
      <c r="KU473" s="27" t="s">
        <v>8</v>
      </c>
      <c r="KV473" s="27" t="s">
        <v>7</v>
      </c>
    </row>
    <row r="474" spans="1:308" x14ac:dyDescent="0.25">
      <c r="A474" s="7">
        <v>9.3717222538625968</v>
      </c>
      <c r="B474"/>
      <c r="C474"/>
      <c r="D474"/>
      <c r="E474"/>
      <c r="KO474" s="27" t="s">
        <v>8</v>
      </c>
      <c r="KP474" s="27" t="s">
        <v>7</v>
      </c>
      <c r="KQ474" s="27" t="s">
        <v>8</v>
      </c>
      <c r="KT474" s="27" t="s">
        <v>7</v>
      </c>
      <c r="KU474" s="27" t="s">
        <v>8</v>
      </c>
      <c r="KV474" s="27" t="s">
        <v>7</v>
      </c>
    </row>
    <row r="475" spans="1:308" x14ac:dyDescent="0.25">
      <c r="A475" s="7">
        <v>9.1879629939829375</v>
      </c>
      <c r="B475"/>
      <c r="C475"/>
      <c r="D475"/>
      <c r="E475"/>
      <c r="KO475" s="27" t="s">
        <v>8</v>
      </c>
      <c r="KP475" s="27" t="s">
        <v>7</v>
      </c>
      <c r="KQ475" s="27" t="s">
        <v>8</v>
      </c>
      <c r="KT475" s="27" t="s">
        <v>7</v>
      </c>
      <c r="KU475" s="27" t="s">
        <v>8</v>
      </c>
      <c r="KV475" s="27" t="s">
        <v>7</v>
      </c>
    </row>
    <row r="476" spans="1:308" x14ac:dyDescent="0.25">
      <c r="A476" s="7">
        <v>9.0078068568460168</v>
      </c>
      <c r="B476"/>
      <c r="C476"/>
      <c r="D476"/>
      <c r="E476"/>
      <c r="KO476" s="27" t="s">
        <v>8</v>
      </c>
      <c r="KP476" s="27" t="s">
        <v>7</v>
      </c>
      <c r="KQ476" s="27" t="s">
        <v>8</v>
      </c>
      <c r="KT476" s="27" t="s">
        <v>7</v>
      </c>
      <c r="KU476" s="27" t="s">
        <v>8</v>
      </c>
      <c r="KV476" s="27" t="s">
        <v>7</v>
      </c>
    </row>
    <row r="477" spans="1:308" x14ac:dyDescent="0.25">
      <c r="A477" s="7">
        <v>8.8311831929862912</v>
      </c>
      <c r="B477"/>
      <c r="C477"/>
      <c r="D477"/>
      <c r="E477"/>
      <c r="KC477" s="27" t="s">
        <v>8</v>
      </c>
      <c r="KO477" s="27" t="s">
        <v>8</v>
      </c>
      <c r="KP477" s="27" t="s">
        <v>7</v>
      </c>
      <c r="KQ477" s="27" t="s">
        <v>8</v>
      </c>
      <c r="KT477" s="27" t="s">
        <v>7</v>
      </c>
      <c r="KU477" s="27" t="s">
        <v>8</v>
      </c>
      <c r="KV477" s="27" t="s">
        <v>7</v>
      </c>
    </row>
    <row r="478" spans="1:308" x14ac:dyDescent="0.25">
      <c r="A478" s="7">
        <v>8.6580227382218542</v>
      </c>
      <c r="B478"/>
      <c r="C478"/>
      <c r="D478"/>
      <c r="E478"/>
      <c r="AY478" s="27" t="s">
        <v>8</v>
      </c>
      <c r="KC478" s="27" t="s">
        <v>8</v>
      </c>
      <c r="KD478" s="27" t="s">
        <v>7</v>
      </c>
      <c r="KO478" s="27" t="s">
        <v>8</v>
      </c>
      <c r="KP478" s="27" t="s">
        <v>7</v>
      </c>
      <c r="KQ478" s="27" t="s">
        <v>8</v>
      </c>
      <c r="KT478" s="27" t="s">
        <v>7</v>
      </c>
      <c r="KV478" s="27" t="s">
        <v>7</v>
      </c>
    </row>
    <row r="479" spans="1:308" x14ac:dyDescent="0.25">
      <c r="A479" s="7">
        <v>8.4882575864920131</v>
      </c>
      <c r="B479"/>
      <c r="C479"/>
      <c r="D479"/>
      <c r="E479"/>
      <c r="AY479" s="27" t="s">
        <v>8</v>
      </c>
      <c r="AZ479" s="27" t="s">
        <v>7</v>
      </c>
      <c r="KC479" s="27" t="s">
        <v>8</v>
      </c>
      <c r="KD479" s="27" t="s">
        <v>7</v>
      </c>
      <c r="KO479" s="27" t="s">
        <v>8</v>
      </c>
      <c r="KP479" s="27" t="s">
        <v>7</v>
      </c>
      <c r="KQ479" s="27" t="s">
        <v>8</v>
      </c>
      <c r="KV479" s="27" t="s">
        <v>7</v>
      </c>
    </row>
    <row r="480" spans="1:308" x14ac:dyDescent="0.25">
      <c r="A480" s="7">
        <v>8.3218211632274635</v>
      </c>
      <c r="B480"/>
      <c r="C480"/>
      <c r="D480"/>
      <c r="E480"/>
      <c r="AY480" s="27" t="s">
        <v>8</v>
      </c>
      <c r="AZ480" s="27" t="s">
        <v>7</v>
      </c>
      <c r="KC480" s="27" t="s">
        <v>8</v>
      </c>
      <c r="KD480" s="27" t="s">
        <v>7</v>
      </c>
      <c r="KO480" s="27" t="s">
        <v>8</v>
      </c>
      <c r="KP480" s="27" t="s">
        <v>7</v>
      </c>
      <c r="KV480" s="27" t="s">
        <v>7</v>
      </c>
    </row>
    <row r="481" spans="1:360" x14ac:dyDescent="0.25">
      <c r="A481" s="7">
        <v>8.1586481992426112</v>
      </c>
      <c r="B481"/>
      <c r="C481"/>
      <c r="D481"/>
      <c r="E481"/>
      <c r="AW481" s="27" t="s">
        <v>8</v>
      </c>
      <c r="AY481" s="27" t="s">
        <v>8</v>
      </c>
      <c r="AZ481" s="27" t="s">
        <v>7</v>
      </c>
      <c r="KC481" s="27" t="s">
        <v>8</v>
      </c>
      <c r="KD481" s="27" t="s">
        <v>7</v>
      </c>
      <c r="KO481" s="27" t="s">
        <v>8</v>
      </c>
      <c r="KV481" s="27" t="s">
        <v>7</v>
      </c>
    </row>
    <row r="482" spans="1:360" x14ac:dyDescent="0.25">
      <c r="A482" s="7">
        <v>7.9986747051398144</v>
      </c>
      <c r="B482"/>
      <c r="C482"/>
      <c r="D482"/>
      <c r="E482"/>
      <c r="AW482" s="27" t="s">
        <v>8</v>
      </c>
      <c r="AX482" s="27" t="s">
        <v>7</v>
      </c>
      <c r="AY482" s="27" t="s">
        <v>8</v>
      </c>
      <c r="AZ482" s="27" t="s">
        <v>7</v>
      </c>
      <c r="KA482" s="27" t="s">
        <v>8</v>
      </c>
      <c r="KC482" s="27" t="s">
        <v>8</v>
      </c>
      <c r="KD482" s="27" t="s">
        <v>7</v>
      </c>
      <c r="KO482" s="27" t="s">
        <v>8</v>
      </c>
      <c r="KV482" s="27" t="s">
        <v>7</v>
      </c>
    </row>
    <row r="483" spans="1:360" x14ac:dyDescent="0.25">
      <c r="A483" s="7">
        <v>7.8418379462155041</v>
      </c>
      <c r="B483"/>
      <c r="C483"/>
      <c r="D483"/>
      <c r="E483"/>
      <c r="AW483" s="27" t="s">
        <v>8</v>
      </c>
      <c r="AX483" s="27" t="s">
        <v>7</v>
      </c>
      <c r="AY483" s="27" t="s">
        <v>8</v>
      </c>
      <c r="AZ483" s="27" t="s">
        <v>7</v>
      </c>
      <c r="KA483" s="27" t="s">
        <v>8</v>
      </c>
      <c r="KB483" s="27" t="s">
        <v>7</v>
      </c>
      <c r="KC483" s="27" t="s">
        <v>8</v>
      </c>
      <c r="KD483" s="27" t="s">
        <v>7</v>
      </c>
      <c r="KO483" s="27" t="s">
        <v>8</v>
      </c>
      <c r="KV483" s="27" t="s">
        <v>7</v>
      </c>
    </row>
    <row r="484" spans="1:360" x14ac:dyDescent="0.25">
      <c r="A484" s="7">
        <v>7.688076417858337</v>
      </c>
      <c r="B484"/>
      <c r="C484"/>
      <c r="D484"/>
      <c r="E484"/>
      <c r="AW484" s="27" t="s">
        <v>8</v>
      </c>
      <c r="AX484" s="27" t="s">
        <v>7</v>
      </c>
      <c r="AY484" s="27" t="s">
        <v>8</v>
      </c>
      <c r="AZ484" s="27" t="s">
        <v>7</v>
      </c>
      <c r="KA484" s="27" t="s">
        <v>8</v>
      </c>
      <c r="KB484" s="27" t="s">
        <v>7</v>
      </c>
      <c r="KC484" s="27" t="s">
        <v>8</v>
      </c>
      <c r="KD484" s="27" t="s">
        <v>7</v>
      </c>
      <c r="KO484" s="27" t="s">
        <v>8</v>
      </c>
      <c r="KV484" s="27" t="s">
        <v>7</v>
      </c>
    </row>
    <row r="485" spans="1:360" x14ac:dyDescent="0.25">
      <c r="A485" s="7">
        <v>7.5373298214297417</v>
      </c>
      <c r="B485"/>
      <c r="C485"/>
      <c r="D485"/>
      <c r="E485"/>
      <c r="AW485" s="27" t="s">
        <v>8</v>
      </c>
      <c r="AX485" s="27" t="s">
        <v>7</v>
      </c>
      <c r="AY485" s="27" t="s">
        <v>8</v>
      </c>
      <c r="AZ485" s="27" t="s">
        <v>7</v>
      </c>
      <c r="BG485" s="27" t="s">
        <v>8</v>
      </c>
      <c r="KA485" s="27" t="s">
        <v>8</v>
      </c>
      <c r="KB485" s="27" t="s">
        <v>7</v>
      </c>
      <c r="KC485" s="27" t="s">
        <v>8</v>
      </c>
      <c r="KD485" s="27" t="s">
        <v>7</v>
      </c>
      <c r="KO485" s="27" t="s">
        <v>8</v>
      </c>
      <c r="KV485" s="27" t="s">
        <v>7</v>
      </c>
      <c r="LA485" s="27" t="s">
        <v>8</v>
      </c>
    </row>
    <row r="486" spans="1:360" x14ac:dyDescent="0.25">
      <c r="A486" s="7">
        <v>7.389539040617394</v>
      </c>
      <c r="B486"/>
      <c r="C486"/>
      <c r="D486"/>
      <c r="E486"/>
      <c r="AW486" s="27" t="s">
        <v>8</v>
      </c>
      <c r="AX486" s="27" t="s">
        <v>7</v>
      </c>
      <c r="AY486" s="27" t="s">
        <v>8</v>
      </c>
      <c r="AZ486" s="27" t="s">
        <v>7</v>
      </c>
      <c r="BG486" s="27" t="s">
        <v>8</v>
      </c>
      <c r="BH486" s="27" t="s">
        <v>7</v>
      </c>
      <c r="KA486" s="27" t="s">
        <v>8</v>
      </c>
      <c r="KB486" s="27" t="s">
        <v>7</v>
      </c>
      <c r="KC486" s="27" t="s">
        <v>8</v>
      </c>
      <c r="KD486" s="27" t="s">
        <v>7</v>
      </c>
      <c r="KE486" s="27" t="s">
        <v>8</v>
      </c>
      <c r="KO486" s="27" t="s">
        <v>8</v>
      </c>
      <c r="KV486" s="27" t="s">
        <v>7</v>
      </c>
      <c r="LA486" s="27" t="s">
        <v>8</v>
      </c>
      <c r="LB486" s="27" t="s">
        <v>7</v>
      </c>
    </row>
    <row r="487" spans="1:360" x14ac:dyDescent="0.25">
      <c r="A487" s="7">
        <v>7.2446461182523469</v>
      </c>
      <c r="B487"/>
      <c r="C487"/>
      <c r="D487"/>
      <c r="E487"/>
      <c r="AW487" s="27" t="s">
        <v>8</v>
      </c>
      <c r="AX487" s="27" t="s">
        <v>7</v>
      </c>
      <c r="AY487" s="27" t="s">
        <v>8</v>
      </c>
      <c r="AZ487" s="27" t="s">
        <v>7</v>
      </c>
      <c r="BG487" s="27" t="s">
        <v>8</v>
      </c>
      <c r="BH487" s="27" t="s">
        <v>7</v>
      </c>
      <c r="KA487" s="27" t="s">
        <v>8</v>
      </c>
      <c r="KB487" s="27" t="s">
        <v>7</v>
      </c>
      <c r="KC487" s="27" t="s">
        <v>8</v>
      </c>
      <c r="KD487" s="27" t="s">
        <v>7</v>
      </c>
      <c r="KE487" s="27" t="s">
        <v>8</v>
      </c>
      <c r="KF487" s="27" t="s">
        <v>7</v>
      </c>
      <c r="KO487" s="27" t="s">
        <v>8</v>
      </c>
      <c r="KV487" s="27" t="s">
        <v>7</v>
      </c>
      <c r="LA487" s="27" t="s">
        <v>8</v>
      </c>
      <c r="LB487" s="27" t="s">
        <v>7</v>
      </c>
    </row>
    <row r="488" spans="1:360" x14ac:dyDescent="0.25">
      <c r="A488" s="7">
        <v>7.1025942335807324</v>
      </c>
      <c r="B488"/>
      <c r="C488"/>
      <c r="D488"/>
      <c r="E488"/>
      <c r="AW488" s="27" t="s">
        <v>8</v>
      </c>
      <c r="AX488" s="27" t="s">
        <v>7</v>
      </c>
      <c r="AY488" s="27" t="s">
        <v>8</v>
      </c>
      <c r="AZ488" s="27" t="s">
        <v>7</v>
      </c>
      <c r="BE488" s="27" t="s">
        <v>8</v>
      </c>
      <c r="BG488" s="27" t="s">
        <v>8</v>
      </c>
      <c r="BH488" s="27" t="s">
        <v>7</v>
      </c>
      <c r="KA488" s="27" t="s">
        <v>8</v>
      </c>
      <c r="KB488" s="27" t="s">
        <v>7</v>
      </c>
      <c r="KD488" s="27" t="s">
        <v>7</v>
      </c>
      <c r="KE488" s="27" t="s">
        <v>8</v>
      </c>
      <c r="KF488" s="27" t="s">
        <v>7</v>
      </c>
      <c r="KO488" s="27" t="s">
        <v>8</v>
      </c>
      <c r="KV488" s="27" t="s">
        <v>7</v>
      </c>
      <c r="LA488" s="27" t="s">
        <v>8</v>
      </c>
      <c r="LB488" s="27" t="s">
        <v>7</v>
      </c>
    </row>
    <row r="489" spans="1:360" x14ac:dyDescent="0.25">
      <c r="A489" s="7">
        <v>6.9633276799811101</v>
      </c>
      <c r="B489"/>
      <c r="C489"/>
      <c r="D489"/>
      <c r="E489"/>
      <c r="AW489" s="27" t="s">
        <v>8</v>
      </c>
      <c r="AX489" s="27" t="s">
        <v>7</v>
      </c>
      <c r="AZ489" s="27" t="s">
        <v>7</v>
      </c>
      <c r="BE489" s="27" t="s">
        <v>8</v>
      </c>
      <c r="BF489" s="27" t="s">
        <v>7</v>
      </c>
      <c r="BG489" s="27" t="s">
        <v>8</v>
      </c>
      <c r="BH489" s="27" t="s">
        <v>7</v>
      </c>
      <c r="JW489" s="27" t="s">
        <v>8</v>
      </c>
      <c r="JY489" s="27" t="s">
        <v>8</v>
      </c>
      <c r="KA489" s="27" t="s">
        <v>8</v>
      </c>
      <c r="KD489" s="27" t="s">
        <v>7</v>
      </c>
      <c r="KE489" s="27" t="s">
        <v>8</v>
      </c>
      <c r="KF489" s="27" t="s">
        <v>7</v>
      </c>
      <c r="KM489" s="27" t="s">
        <v>8</v>
      </c>
      <c r="KO489" s="27" t="s">
        <v>8</v>
      </c>
      <c r="KV489" s="27" t="s">
        <v>7</v>
      </c>
      <c r="KW489" s="27" t="s">
        <v>8</v>
      </c>
      <c r="LA489" s="27" t="s">
        <v>8</v>
      </c>
      <c r="LB489" s="27" t="s">
        <v>7</v>
      </c>
    </row>
    <row r="490" spans="1:360" x14ac:dyDescent="0.25">
      <c r="A490" s="7">
        <v>6.8267918431187349</v>
      </c>
      <c r="B490"/>
      <c r="C490"/>
      <c r="D490"/>
      <c r="E490"/>
      <c r="AS490" s="27" t="s">
        <v>8</v>
      </c>
      <c r="AW490" s="27" t="s">
        <v>8</v>
      </c>
      <c r="AZ490" s="27" t="s">
        <v>7</v>
      </c>
      <c r="BE490" s="27" t="s">
        <v>8</v>
      </c>
      <c r="BF490" s="27" t="s">
        <v>7</v>
      </c>
      <c r="BG490" s="27" t="s">
        <v>8</v>
      </c>
      <c r="BH490" s="27" t="s">
        <v>7</v>
      </c>
      <c r="JW490" s="27" t="s">
        <v>8</v>
      </c>
      <c r="JX490" s="27" t="s">
        <v>7</v>
      </c>
      <c r="JY490" s="27" t="s">
        <v>8</v>
      </c>
      <c r="JZ490" s="27" t="s">
        <v>7</v>
      </c>
      <c r="KA490" s="27" t="s">
        <v>8</v>
      </c>
      <c r="KD490" s="27" t="s">
        <v>7</v>
      </c>
      <c r="KE490" s="27" t="s">
        <v>8</v>
      </c>
      <c r="KF490" s="27" t="s">
        <v>7</v>
      </c>
      <c r="KG490" s="27" t="s">
        <v>8</v>
      </c>
      <c r="KM490" s="27" t="s">
        <v>8</v>
      </c>
      <c r="KN490" s="27" t="s">
        <v>7</v>
      </c>
      <c r="KO490" s="27" t="s">
        <v>8</v>
      </c>
      <c r="KV490" s="27" t="s">
        <v>7</v>
      </c>
      <c r="KW490" s="27" t="s">
        <v>8</v>
      </c>
      <c r="KX490" s="27" t="s">
        <v>7</v>
      </c>
      <c r="LA490" s="27" t="s">
        <v>8</v>
      </c>
      <c r="LB490" s="27" t="s">
        <v>7</v>
      </c>
    </row>
    <row r="491" spans="1:360" x14ac:dyDescent="0.25">
      <c r="A491" s="7">
        <v>6.692933179528171</v>
      </c>
      <c r="B491"/>
      <c r="C491"/>
      <c r="D491"/>
      <c r="E491"/>
      <c r="AS491" s="27" t="s">
        <v>8</v>
      </c>
      <c r="AT491" s="27" t="s">
        <v>7</v>
      </c>
      <c r="AW491" s="27" t="s">
        <v>8</v>
      </c>
      <c r="AZ491" s="27" t="s">
        <v>7</v>
      </c>
      <c r="BC491" s="27" t="s">
        <v>8</v>
      </c>
      <c r="BE491" s="27" t="s">
        <v>8</v>
      </c>
      <c r="BF491" s="27" t="s">
        <v>7</v>
      </c>
      <c r="BH491" s="27" t="s">
        <v>7</v>
      </c>
      <c r="JW491" s="27" t="s">
        <v>8</v>
      </c>
      <c r="JX491" s="27" t="s">
        <v>7</v>
      </c>
      <c r="JY491" s="27" t="s">
        <v>8</v>
      </c>
      <c r="JZ491" s="27" t="s">
        <v>7</v>
      </c>
      <c r="KA491" s="27" t="s">
        <v>8</v>
      </c>
      <c r="KD491" s="27" t="s">
        <v>7</v>
      </c>
      <c r="KE491" s="27" t="s">
        <v>8</v>
      </c>
      <c r="KF491" s="27" t="s">
        <v>7</v>
      </c>
      <c r="KG491" s="27" t="s">
        <v>8</v>
      </c>
      <c r="KH491" s="27" t="s">
        <v>7</v>
      </c>
      <c r="KM491" s="27" t="s">
        <v>8</v>
      </c>
      <c r="KN491" s="27" t="s">
        <v>7</v>
      </c>
      <c r="KO491" s="27" t="s">
        <v>8</v>
      </c>
      <c r="KV491" s="27" t="s">
        <v>7</v>
      </c>
      <c r="KW491" s="27" t="s">
        <v>8</v>
      </c>
      <c r="KX491" s="27" t="s">
        <v>7</v>
      </c>
      <c r="LA491" s="27" t="s">
        <v>8</v>
      </c>
      <c r="LB491" s="27" t="s">
        <v>7</v>
      </c>
      <c r="LC491" s="27" t="s">
        <v>8</v>
      </c>
      <c r="LE491" s="27" t="s">
        <v>8</v>
      </c>
      <c r="LG491" s="27" t="s">
        <v>8</v>
      </c>
    </row>
    <row r="492" spans="1:360" x14ac:dyDescent="0.25">
      <c r="A492" s="7">
        <v>6.5616991956158541</v>
      </c>
      <c r="B492"/>
      <c r="C492"/>
      <c r="D492"/>
      <c r="E492"/>
      <c r="AS492" s="27" t="s">
        <v>8</v>
      </c>
      <c r="AT492" s="27" t="s">
        <v>7</v>
      </c>
      <c r="AU492" s="27" t="s">
        <v>8</v>
      </c>
      <c r="AW492" s="27" t="s">
        <v>8</v>
      </c>
      <c r="AZ492" s="27" t="s">
        <v>7</v>
      </c>
      <c r="BC492" s="27" t="s">
        <v>8</v>
      </c>
      <c r="BD492" s="27" t="s">
        <v>7</v>
      </c>
      <c r="BE492" s="27" t="s">
        <v>8</v>
      </c>
      <c r="BH492" s="27" t="s">
        <v>7</v>
      </c>
      <c r="JW492" s="27" t="s">
        <v>8</v>
      </c>
      <c r="JX492" s="27" t="s">
        <v>7</v>
      </c>
      <c r="JY492" s="27" t="s">
        <v>8</v>
      </c>
      <c r="JZ492" s="27" t="s">
        <v>7</v>
      </c>
      <c r="KA492" s="27" t="s">
        <v>8</v>
      </c>
      <c r="KD492" s="27" t="s">
        <v>7</v>
      </c>
      <c r="KE492" s="27" t="s">
        <v>8</v>
      </c>
      <c r="KF492" s="27" t="s">
        <v>7</v>
      </c>
      <c r="KG492" s="27" t="s">
        <v>8</v>
      </c>
      <c r="KH492" s="27" t="s">
        <v>7</v>
      </c>
      <c r="KM492" s="27" t="s">
        <v>8</v>
      </c>
      <c r="KN492" s="27" t="s">
        <v>7</v>
      </c>
      <c r="KO492" s="27" t="s">
        <v>8</v>
      </c>
      <c r="KV492" s="27" t="s">
        <v>7</v>
      </c>
      <c r="KW492" s="27" t="s">
        <v>8</v>
      </c>
      <c r="KX492" s="27" t="s">
        <v>7</v>
      </c>
      <c r="LA492" s="27" t="s">
        <v>8</v>
      </c>
      <c r="LB492" s="27" t="s">
        <v>7</v>
      </c>
      <c r="LC492" s="27" t="s">
        <v>8</v>
      </c>
      <c r="LD492" s="27" t="s">
        <v>7</v>
      </c>
      <c r="LE492" s="27" t="s">
        <v>8</v>
      </c>
      <c r="LF492" s="27" t="s">
        <v>7</v>
      </c>
      <c r="LG492" s="27" t="s">
        <v>8</v>
      </c>
      <c r="LH492" s="27" t="s">
        <v>7</v>
      </c>
    </row>
    <row r="493" spans="1:360" x14ac:dyDescent="0.25">
      <c r="A493" s="7">
        <v>6.4330384270743668</v>
      </c>
      <c r="B493"/>
      <c r="C493"/>
      <c r="D493"/>
      <c r="E493"/>
      <c r="AS493" s="27" t="s">
        <v>8</v>
      </c>
      <c r="AT493" s="27" t="s">
        <v>7</v>
      </c>
      <c r="AU493" s="27" t="s">
        <v>8</v>
      </c>
      <c r="AV493" s="27" t="s">
        <v>7</v>
      </c>
      <c r="AW493" s="27" t="s">
        <v>8</v>
      </c>
      <c r="AZ493" s="27" t="s">
        <v>7</v>
      </c>
      <c r="BA493" s="27" t="s">
        <v>8</v>
      </c>
      <c r="BC493" s="27" t="s">
        <v>8</v>
      </c>
      <c r="BD493" s="27" t="s">
        <v>7</v>
      </c>
      <c r="BE493" s="27" t="s">
        <v>8</v>
      </c>
      <c r="BH493" s="27" t="s">
        <v>7</v>
      </c>
      <c r="JU493" s="27" t="s">
        <v>8</v>
      </c>
      <c r="JW493" s="27" t="s">
        <v>8</v>
      </c>
      <c r="JX493" s="27" t="s">
        <v>7</v>
      </c>
      <c r="JY493" s="27" t="s">
        <v>8</v>
      </c>
      <c r="JZ493" s="27" t="s">
        <v>7</v>
      </c>
      <c r="KA493" s="27" t="s">
        <v>8</v>
      </c>
      <c r="KD493" s="27" t="s">
        <v>7</v>
      </c>
      <c r="KE493" s="27" t="s">
        <v>8</v>
      </c>
      <c r="KF493" s="27" t="s">
        <v>7</v>
      </c>
      <c r="KG493" s="27" t="s">
        <v>8</v>
      </c>
      <c r="KH493" s="27" t="s">
        <v>7</v>
      </c>
      <c r="KM493" s="27" t="s">
        <v>8</v>
      </c>
      <c r="KN493" s="27" t="s">
        <v>7</v>
      </c>
      <c r="KO493" s="27" t="s">
        <v>8</v>
      </c>
      <c r="KV493" s="27" t="s">
        <v>7</v>
      </c>
      <c r="KW493" s="27" t="s">
        <v>8</v>
      </c>
      <c r="KX493" s="27" t="s">
        <v>7</v>
      </c>
      <c r="LA493" s="27" t="s">
        <v>8</v>
      </c>
      <c r="LB493" s="27" t="s">
        <v>7</v>
      </c>
      <c r="LC493" s="27" t="s">
        <v>8</v>
      </c>
      <c r="LD493" s="27" t="s">
        <v>7</v>
      </c>
      <c r="LE493" s="27" t="s">
        <v>8</v>
      </c>
      <c r="LF493" s="27" t="s">
        <v>7</v>
      </c>
      <c r="LG493" s="27" t="s">
        <v>8</v>
      </c>
      <c r="LH493" s="27" t="s">
        <v>7</v>
      </c>
    </row>
    <row r="494" spans="1:360" x14ac:dyDescent="0.25">
      <c r="A494" s="7">
        <v>6.3069004187003594</v>
      </c>
      <c r="B494"/>
      <c r="C494"/>
      <c r="D494"/>
      <c r="E494"/>
      <c r="AS494" s="27" t="s">
        <v>8</v>
      </c>
      <c r="AT494" s="27" t="s">
        <v>7</v>
      </c>
      <c r="AU494" s="27" t="s">
        <v>8</v>
      </c>
      <c r="AV494" s="27" t="s">
        <v>7</v>
      </c>
      <c r="AW494" s="27" t="s">
        <v>8</v>
      </c>
      <c r="AZ494" s="27" t="s">
        <v>7</v>
      </c>
      <c r="BA494" s="27" t="s">
        <v>8</v>
      </c>
      <c r="BB494" s="27" t="s">
        <v>7</v>
      </c>
      <c r="BC494" s="27" t="s">
        <v>8</v>
      </c>
      <c r="BD494" s="27" t="s">
        <v>7</v>
      </c>
      <c r="BE494" s="27" t="s">
        <v>8</v>
      </c>
      <c r="BH494" s="27" t="s">
        <v>7</v>
      </c>
      <c r="BI494" s="27" t="s">
        <v>8</v>
      </c>
      <c r="JU494" s="27" t="s">
        <v>8</v>
      </c>
      <c r="JV494" s="27" t="s">
        <v>7</v>
      </c>
      <c r="JW494" s="27" t="s">
        <v>8</v>
      </c>
      <c r="JX494" s="27" t="s">
        <v>7</v>
      </c>
      <c r="JY494" s="27" t="s">
        <v>8</v>
      </c>
      <c r="JZ494" s="27" t="s">
        <v>7</v>
      </c>
      <c r="KD494" s="27" t="s">
        <v>7</v>
      </c>
      <c r="KE494" s="27" t="s">
        <v>8</v>
      </c>
      <c r="KF494" s="27" t="s">
        <v>7</v>
      </c>
      <c r="KG494" s="27" t="s">
        <v>8</v>
      </c>
      <c r="KH494" s="27" t="s">
        <v>7</v>
      </c>
      <c r="KM494" s="27" t="s">
        <v>8</v>
      </c>
      <c r="KN494" s="27" t="s">
        <v>7</v>
      </c>
      <c r="KV494" s="27" t="s">
        <v>7</v>
      </c>
      <c r="KW494" s="27" t="s">
        <v>8</v>
      </c>
      <c r="KX494" s="27" t="s">
        <v>7</v>
      </c>
      <c r="LA494" s="27" t="s">
        <v>8</v>
      </c>
      <c r="LB494" s="27" t="s">
        <v>7</v>
      </c>
      <c r="LC494" s="27" t="s">
        <v>8</v>
      </c>
      <c r="LD494" s="27" t="s">
        <v>7</v>
      </c>
      <c r="LE494" s="27" t="s">
        <v>8</v>
      </c>
      <c r="LF494" s="27" t="s">
        <v>7</v>
      </c>
      <c r="LG494" s="27" t="s">
        <v>8</v>
      </c>
      <c r="LH494" s="27" t="s">
        <v>7</v>
      </c>
      <c r="MU494" s="27" t="s">
        <v>8</v>
      </c>
    </row>
    <row r="495" spans="1:360" x14ac:dyDescent="0.25">
      <c r="A495" s="7">
        <v>6.1832357046081956</v>
      </c>
      <c r="B495"/>
      <c r="C495"/>
      <c r="D495"/>
      <c r="E495"/>
      <c r="AS495" s="27" t="s">
        <v>8</v>
      </c>
      <c r="AT495" s="27" t="s">
        <v>7</v>
      </c>
      <c r="AU495" s="27" t="s">
        <v>8</v>
      </c>
      <c r="AV495" s="27" t="s">
        <v>7</v>
      </c>
      <c r="AW495" s="27" t="s">
        <v>8</v>
      </c>
      <c r="AZ495" s="27" t="s">
        <v>7</v>
      </c>
      <c r="BA495" s="27" t="s">
        <v>8</v>
      </c>
      <c r="BB495" s="27" t="s">
        <v>7</v>
      </c>
      <c r="BC495" s="27" t="s">
        <v>8</v>
      </c>
      <c r="BD495" s="27" t="s">
        <v>7</v>
      </c>
      <c r="BE495" s="27" t="s">
        <v>8</v>
      </c>
      <c r="BH495" s="27" t="s">
        <v>7</v>
      </c>
      <c r="BI495" s="27" t="s">
        <v>8</v>
      </c>
      <c r="BJ495" s="27" t="s">
        <v>7</v>
      </c>
      <c r="JU495" s="27" t="s">
        <v>8</v>
      </c>
      <c r="JV495" s="27" t="s">
        <v>7</v>
      </c>
      <c r="JW495" s="27" t="s">
        <v>8</v>
      </c>
      <c r="JX495" s="27" t="s">
        <v>7</v>
      </c>
      <c r="JY495" s="27" t="s">
        <v>8</v>
      </c>
      <c r="KD495" s="27" t="s">
        <v>7</v>
      </c>
      <c r="KE495" s="27" t="s">
        <v>8</v>
      </c>
      <c r="KF495" s="27" t="s">
        <v>7</v>
      </c>
      <c r="KG495" s="27" t="s">
        <v>8</v>
      </c>
      <c r="KH495" s="27" t="s">
        <v>7</v>
      </c>
      <c r="KK495" s="27" t="s">
        <v>8</v>
      </c>
      <c r="KM495" s="27" t="s">
        <v>8</v>
      </c>
      <c r="KV495" s="27" t="s">
        <v>7</v>
      </c>
      <c r="KW495" s="27" t="s">
        <v>8</v>
      </c>
      <c r="KX495" s="27" t="s">
        <v>7</v>
      </c>
      <c r="LA495" s="27" t="s">
        <v>8</v>
      </c>
      <c r="LB495" s="27" t="s">
        <v>7</v>
      </c>
      <c r="LC495" s="27" t="s">
        <v>8</v>
      </c>
      <c r="LD495" s="27" t="s">
        <v>7</v>
      </c>
      <c r="LE495" s="27" t="s">
        <v>8</v>
      </c>
      <c r="LF495" s="27" t="s">
        <v>7</v>
      </c>
      <c r="LH495" s="27" t="s">
        <v>7</v>
      </c>
      <c r="MU495" s="27" t="s">
        <v>8</v>
      </c>
      <c r="MV495" s="27" t="s">
        <v>7</v>
      </c>
    </row>
    <row r="496" spans="1:360" x14ac:dyDescent="0.25">
      <c r="A496" s="7">
        <v>6.0619957888315641</v>
      </c>
      <c r="B496"/>
      <c r="C496"/>
      <c r="D496"/>
      <c r="E496"/>
      <c r="AS496" s="27" t="s">
        <v>8</v>
      </c>
      <c r="AT496" s="27" t="s">
        <v>7</v>
      </c>
      <c r="AU496" s="27" t="s">
        <v>8</v>
      </c>
      <c r="AV496" s="27" t="s">
        <v>7</v>
      </c>
      <c r="AW496" s="27" t="s">
        <v>8</v>
      </c>
      <c r="AZ496" s="27" t="s">
        <v>7</v>
      </c>
      <c r="BB496" s="27" t="s">
        <v>7</v>
      </c>
      <c r="BC496" s="27" t="s">
        <v>8</v>
      </c>
      <c r="BD496" s="27" t="s">
        <v>7</v>
      </c>
      <c r="BH496" s="27" t="s">
        <v>7</v>
      </c>
      <c r="BI496" s="27" t="s">
        <v>8</v>
      </c>
      <c r="BJ496" s="27" t="s">
        <v>7</v>
      </c>
      <c r="BK496" s="27" t="s">
        <v>8</v>
      </c>
      <c r="JU496" s="27" t="s">
        <v>8</v>
      </c>
      <c r="JV496" s="27" t="s">
        <v>7</v>
      </c>
      <c r="JW496" s="27" t="s">
        <v>8</v>
      </c>
      <c r="JX496" s="27" t="s">
        <v>7</v>
      </c>
      <c r="JY496" s="27" t="s">
        <v>8</v>
      </c>
      <c r="KD496" s="27" t="s">
        <v>7</v>
      </c>
      <c r="KE496" s="27" t="s">
        <v>8</v>
      </c>
      <c r="KF496" s="27" t="s">
        <v>7</v>
      </c>
      <c r="KH496" s="27" t="s">
        <v>7</v>
      </c>
      <c r="KK496" s="27" t="s">
        <v>8</v>
      </c>
      <c r="KL496" s="27" t="s">
        <v>7</v>
      </c>
      <c r="KM496" s="27" t="s">
        <v>8</v>
      </c>
      <c r="KV496" s="27" t="s">
        <v>7</v>
      </c>
      <c r="KW496" s="27" t="s">
        <v>8</v>
      </c>
      <c r="KX496" s="27" t="s">
        <v>7</v>
      </c>
      <c r="LA496" s="27" t="s">
        <v>8</v>
      </c>
      <c r="LB496" s="27" t="s">
        <v>7</v>
      </c>
      <c r="LC496" s="27" t="s">
        <v>8</v>
      </c>
      <c r="LD496" s="27" t="s">
        <v>7</v>
      </c>
      <c r="LE496" s="27" t="s">
        <v>8</v>
      </c>
      <c r="LH496" s="27" t="s">
        <v>7</v>
      </c>
      <c r="MU496" s="27" t="s">
        <v>8</v>
      </c>
      <c r="MV496" s="27" t="s">
        <v>7</v>
      </c>
    </row>
    <row r="497" spans="1:391" x14ac:dyDescent="0.25">
      <c r="A497" s="7">
        <v>5.9431331263054545</v>
      </c>
      <c r="B497"/>
      <c r="C497"/>
      <c r="D497"/>
      <c r="E497"/>
      <c r="AE497" s="27" t="s">
        <v>8</v>
      </c>
      <c r="AS497" s="27" t="s">
        <v>8</v>
      </c>
      <c r="AT497" s="27" t="s">
        <v>7</v>
      </c>
      <c r="AU497" s="27" t="s">
        <v>8</v>
      </c>
      <c r="AV497" s="27" t="s">
        <v>7</v>
      </c>
      <c r="AW497" s="27" t="s">
        <v>8</v>
      </c>
      <c r="BB497" s="27" t="s">
        <v>7</v>
      </c>
      <c r="BH497" s="27" t="s">
        <v>7</v>
      </c>
      <c r="BI497" s="27" t="s">
        <v>8</v>
      </c>
      <c r="BJ497" s="27" t="s">
        <v>7</v>
      </c>
      <c r="BK497" s="27" t="s">
        <v>8</v>
      </c>
      <c r="BL497" s="27" t="s">
        <v>7</v>
      </c>
      <c r="JU497" s="27" t="s">
        <v>8</v>
      </c>
      <c r="JV497" s="27" t="s">
        <v>7</v>
      </c>
      <c r="JW497" s="27" t="s">
        <v>8</v>
      </c>
      <c r="JX497" s="27" t="s">
        <v>7</v>
      </c>
      <c r="JY497" s="27" t="s">
        <v>8</v>
      </c>
      <c r="KD497" s="27" t="s">
        <v>7</v>
      </c>
      <c r="KH497" s="27" t="s">
        <v>7</v>
      </c>
      <c r="KK497" s="27" t="s">
        <v>8</v>
      </c>
      <c r="KL497" s="27" t="s">
        <v>7</v>
      </c>
      <c r="KM497" s="27" t="s">
        <v>8</v>
      </c>
      <c r="KV497" s="27" t="s">
        <v>7</v>
      </c>
      <c r="KW497" s="27" t="s">
        <v>8</v>
      </c>
      <c r="KX497" s="27" t="s">
        <v>7</v>
      </c>
      <c r="LA497" s="27" t="s">
        <v>8</v>
      </c>
      <c r="LB497" s="27" t="s">
        <v>7</v>
      </c>
      <c r="LC497" s="27" t="s">
        <v>8</v>
      </c>
      <c r="LD497" s="27" t="s">
        <v>7</v>
      </c>
      <c r="LE497" s="27" t="s">
        <v>8</v>
      </c>
      <c r="LH497" s="27" t="s">
        <v>7</v>
      </c>
      <c r="MU497" s="27" t="s">
        <v>8</v>
      </c>
      <c r="MV497" s="27" t="s">
        <v>7</v>
      </c>
    </row>
    <row r="498" spans="1:391" x14ac:dyDescent="0.25">
      <c r="A498" s="7">
        <v>5.8266011042210337</v>
      </c>
      <c r="B498"/>
      <c r="C498"/>
      <c r="D498"/>
      <c r="E498"/>
      <c r="Y498" s="27" t="s">
        <v>8</v>
      </c>
      <c r="AE498" s="27" t="s">
        <v>8</v>
      </c>
      <c r="AF498" s="27" t="s">
        <v>7</v>
      </c>
      <c r="AS498" s="27" t="s">
        <v>8</v>
      </c>
      <c r="AT498" s="27" t="s">
        <v>7</v>
      </c>
      <c r="AU498" s="27" t="s">
        <v>8</v>
      </c>
      <c r="AV498" s="27" t="s">
        <v>7</v>
      </c>
      <c r="BH498" s="27" t="s">
        <v>7</v>
      </c>
      <c r="BI498" s="27" t="s">
        <v>8</v>
      </c>
      <c r="BJ498" s="27" t="s">
        <v>7</v>
      </c>
      <c r="BK498" s="27" t="s">
        <v>8</v>
      </c>
      <c r="BL498" s="27" t="s">
        <v>7</v>
      </c>
      <c r="JU498" s="27" t="s">
        <v>8</v>
      </c>
      <c r="JV498" s="27" t="s">
        <v>7</v>
      </c>
      <c r="JW498" s="27" t="s">
        <v>8</v>
      </c>
      <c r="JX498" s="27" t="s">
        <v>7</v>
      </c>
      <c r="KH498" s="27" t="s">
        <v>7</v>
      </c>
      <c r="KK498" s="27" t="s">
        <v>8</v>
      </c>
      <c r="KL498" s="27" t="s">
        <v>7</v>
      </c>
      <c r="KM498" s="27" t="s">
        <v>8</v>
      </c>
      <c r="KV498" s="27" t="s">
        <v>7</v>
      </c>
      <c r="KW498" s="27" t="s">
        <v>8</v>
      </c>
      <c r="KX498" s="27" t="s">
        <v>7</v>
      </c>
      <c r="LA498" s="27" t="s">
        <v>8</v>
      </c>
      <c r="LB498" s="27" t="s">
        <v>7</v>
      </c>
      <c r="LD498" s="27" t="s">
        <v>7</v>
      </c>
      <c r="LE498" s="27" t="s">
        <v>8</v>
      </c>
      <c r="LH498" s="27" t="s">
        <v>7</v>
      </c>
      <c r="MO498" s="27" t="s">
        <v>8</v>
      </c>
      <c r="MU498" s="27" t="s">
        <v>8</v>
      </c>
      <c r="MV498" s="27" t="s">
        <v>7</v>
      </c>
    </row>
    <row r="499" spans="1:391" x14ac:dyDescent="0.25">
      <c r="A499" s="7">
        <v>5.7123540237461112</v>
      </c>
      <c r="B499"/>
      <c r="C499"/>
      <c r="D499"/>
      <c r="E499"/>
      <c r="Y499" s="27" t="s">
        <v>8</v>
      </c>
      <c r="Z499" s="27" t="s">
        <v>7</v>
      </c>
      <c r="AE499" s="27" t="s">
        <v>8</v>
      </c>
      <c r="AF499" s="27" t="s">
        <v>7</v>
      </c>
      <c r="AQ499" s="27" t="s">
        <v>8</v>
      </c>
      <c r="AS499" s="27" t="s">
        <v>8</v>
      </c>
      <c r="AT499" s="27" t="s">
        <v>7</v>
      </c>
      <c r="BH499" s="27" t="s">
        <v>7</v>
      </c>
      <c r="BJ499" s="27" t="s">
        <v>7</v>
      </c>
      <c r="BK499" s="27" t="s">
        <v>8</v>
      </c>
      <c r="BL499" s="27" t="s">
        <v>7</v>
      </c>
      <c r="JU499" s="27" t="s">
        <v>8</v>
      </c>
      <c r="JV499" s="27" t="s">
        <v>7</v>
      </c>
      <c r="JW499" s="27" t="s">
        <v>8</v>
      </c>
      <c r="KH499" s="27" t="s">
        <v>7</v>
      </c>
      <c r="KK499" s="27" t="s">
        <v>8</v>
      </c>
      <c r="KL499" s="27" t="s">
        <v>7</v>
      </c>
      <c r="KV499" s="27" t="s">
        <v>7</v>
      </c>
      <c r="KW499" s="27" t="s">
        <v>8</v>
      </c>
      <c r="KX499" s="27" t="s">
        <v>7</v>
      </c>
      <c r="LA499" s="27" t="s">
        <v>8</v>
      </c>
      <c r="LD499" s="27" t="s">
        <v>7</v>
      </c>
      <c r="LE499" s="27" t="s">
        <v>8</v>
      </c>
      <c r="LH499" s="27" t="s">
        <v>7</v>
      </c>
      <c r="MO499" s="27" t="s">
        <v>8</v>
      </c>
      <c r="MP499" s="27" t="s">
        <v>7</v>
      </c>
      <c r="MU499" s="27" t="s">
        <v>8</v>
      </c>
      <c r="MV499" s="27" t="s">
        <v>7</v>
      </c>
    </row>
    <row r="500" spans="1:391" x14ac:dyDescent="0.25">
      <c r="A500" s="7">
        <v>5.6003470821040304</v>
      </c>
      <c r="B500"/>
      <c r="C500"/>
      <c r="D500"/>
      <c r="E500"/>
      <c r="Y500" s="27" t="s">
        <v>8</v>
      </c>
      <c r="Z500" s="27" t="s">
        <v>7</v>
      </c>
      <c r="AA500" s="27" t="s">
        <v>8</v>
      </c>
      <c r="AC500" s="27" t="s">
        <v>8</v>
      </c>
      <c r="AE500" s="27" t="s">
        <v>8</v>
      </c>
      <c r="AF500" s="27" t="s">
        <v>7</v>
      </c>
      <c r="AG500" s="27" t="s">
        <v>8</v>
      </c>
      <c r="AQ500" s="27" t="s">
        <v>8</v>
      </c>
      <c r="AR500" s="27" t="s">
        <v>7</v>
      </c>
      <c r="AS500" s="27" t="s">
        <v>8</v>
      </c>
      <c r="BJ500" s="27" t="s">
        <v>7</v>
      </c>
      <c r="BL500" s="27" t="s">
        <v>7</v>
      </c>
      <c r="JA500" s="27" t="s">
        <v>8</v>
      </c>
      <c r="JU500" s="27" t="s">
        <v>8</v>
      </c>
      <c r="JV500" s="27" t="s">
        <v>7</v>
      </c>
      <c r="JW500" s="27" t="s">
        <v>8</v>
      </c>
      <c r="KH500" s="27" t="s">
        <v>7</v>
      </c>
      <c r="KI500" s="27" t="s">
        <v>8</v>
      </c>
      <c r="KK500" s="27" t="s">
        <v>8</v>
      </c>
      <c r="KV500" s="27" t="s">
        <v>7</v>
      </c>
      <c r="KW500" s="27" t="s">
        <v>8</v>
      </c>
      <c r="KX500" s="27" t="s">
        <v>7</v>
      </c>
      <c r="KY500" s="27" t="s">
        <v>8</v>
      </c>
      <c r="LA500" s="27" t="s">
        <v>8</v>
      </c>
      <c r="LD500" s="27" t="s">
        <v>7</v>
      </c>
      <c r="LH500" s="27" t="s">
        <v>7</v>
      </c>
      <c r="MO500" s="27" t="s">
        <v>8</v>
      </c>
      <c r="MP500" s="27" t="s">
        <v>7</v>
      </c>
      <c r="MQ500" s="27" t="s">
        <v>8</v>
      </c>
      <c r="MU500" s="27" t="s">
        <v>8</v>
      </c>
      <c r="MV500" s="27" t="s">
        <v>7</v>
      </c>
    </row>
    <row r="501" spans="1:391" x14ac:dyDescent="0.25">
      <c r="A501" s="7">
        <v>5.4905363550039512</v>
      </c>
      <c r="B501"/>
      <c r="C501"/>
      <c r="D501"/>
      <c r="E501"/>
      <c r="Y501" s="27" t="s">
        <v>8</v>
      </c>
      <c r="Z501" s="27" t="s">
        <v>7</v>
      </c>
      <c r="AA501" s="27" t="s">
        <v>8</v>
      </c>
      <c r="AB501" s="27" t="s">
        <v>7</v>
      </c>
      <c r="AC501" s="27" t="s">
        <v>8</v>
      </c>
      <c r="AD501" s="27" t="s">
        <v>7</v>
      </c>
      <c r="AE501" s="27" t="s">
        <v>8</v>
      </c>
      <c r="AF501" s="27" t="s">
        <v>7</v>
      </c>
      <c r="AG501" s="27" t="s">
        <v>8</v>
      </c>
      <c r="AH501" s="27" t="s">
        <v>7</v>
      </c>
      <c r="AQ501" s="27" t="s">
        <v>8</v>
      </c>
      <c r="AR501" s="27" t="s">
        <v>7</v>
      </c>
      <c r="AS501" s="27" t="s">
        <v>8</v>
      </c>
      <c r="BL501" s="27" t="s">
        <v>7</v>
      </c>
      <c r="EA501" s="27" t="s">
        <v>8</v>
      </c>
      <c r="JA501" s="27" t="s">
        <v>8</v>
      </c>
      <c r="JB501" s="27" t="s">
        <v>7</v>
      </c>
      <c r="JU501" s="27" t="s">
        <v>8</v>
      </c>
      <c r="JV501" s="27" t="s">
        <v>7</v>
      </c>
      <c r="JW501" s="27" t="s">
        <v>8</v>
      </c>
      <c r="KH501" s="27" t="s">
        <v>7</v>
      </c>
      <c r="KI501" s="27" t="s">
        <v>8</v>
      </c>
      <c r="KJ501" s="27" t="s">
        <v>7</v>
      </c>
      <c r="KK501" s="27" t="s">
        <v>8</v>
      </c>
      <c r="KV501" s="27" t="s">
        <v>7</v>
      </c>
      <c r="KW501" s="27" t="s">
        <v>8</v>
      </c>
      <c r="KX501" s="27" t="s">
        <v>7</v>
      </c>
      <c r="KY501" s="27" t="s">
        <v>8</v>
      </c>
      <c r="KZ501" s="27" t="s">
        <v>7</v>
      </c>
      <c r="LA501" s="27" t="s">
        <v>8</v>
      </c>
      <c r="LH501" s="27" t="s">
        <v>7</v>
      </c>
      <c r="MO501" s="27" t="s">
        <v>8</v>
      </c>
      <c r="MP501" s="27" t="s">
        <v>7</v>
      </c>
      <c r="MQ501" s="27" t="s">
        <v>8</v>
      </c>
      <c r="MR501" s="27" t="s">
        <v>7</v>
      </c>
      <c r="MU501" s="27" t="s">
        <v>8</v>
      </c>
      <c r="MV501" s="27" t="s">
        <v>7</v>
      </c>
      <c r="NA501" s="27" t="s">
        <v>8</v>
      </c>
    </row>
    <row r="502" spans="1:391" x14ac:dyDescent="0.25">
      <c r="A502" s="7">
        <v>5.3828787794156385</v>
      </c>
      <c r="B502"/>
      <c r="C502"/>
      <c r="D502"/>
      <c r="E502"/>
      <c r="Y502" s="27" t="s">
        <v>8</v>
      </c>
      <c r="Z502" s="27" t="s">
        <v>7</v>
      </c>
      <c r="AA502" s="27" t="s">
        <v>8</v>
      </c>
      <c r="AB502" s="27" t="s">
        <v>7</v>
      </c>
      <c r="AC502" s="27" t="s">
        <v>8</v>
      </c>
      <c r="AD502" s="27" t="s">
        <v>7</v>
      </c>
      <c r="AE502" s="27" t="s">
        <v>8</v>
      </c>
      <c r="AF502" s="27" t="s">
        <v>7</v>
      </c>
      <c r="AG502" s="27" t="s">
        <v>8</v>
      </c>
      <c r="AH502" s="27" t="s">
        <v>7</v>
      </c>
      <c r="AQ502" s="27" t="s">
        <v>8</v>
      </c>
      <c r="AR502" s="27" t="s">
        <v>7</v>
      </c>
      <c r="AS502" s="27" t="s">
        <v>8</v>
      </c>
      <c r="BL502" s="27" t="s">
        <v>7</v>
      </c>
      <c r="EA502" s="27" t="s">
        <v>8</v>
      </c>
      <c r="EB502" s="27" t="s">
        <v>7</v>
      </c>
      <c r="JA502" s="27" t="s">
        <v>8</v>
      </c>
      <c r="JB502" s="27" t="s">
        <v>7</v>
      </c>
      <c r="JE502" s="27" t="s">
        <v>8</v>
      </c>
      <c r="JU502" s="27" t="s">
        <v>8</v>
      </c>
      <c r="JV502" s="27" t="s">
        <v>7</v>
      </c>
      <c r="KH502" s="27" t="s">
        <v>7</v>
      </c>
      <c r="KI502" s="27" t="s">
        <v>8</v>
      </c>
      <c r="KJ502" s="27" t="s">
        <v>7</v>
      </c>
      <c r="KK502" s="27" t="s">
        <v>8</v>
      </c>
      <c r="KV502" s="27" t="s">
        <v>7</v>
      </c>
      <c r="KW502" s="27" t="s">
        <v>8</v>
      </c>
      <c r="KX502" s="27" t="s">
        <v>7</v>
      </c>
      <c r="KY502" s="27" t="s">
        <v>8</v>
      </c>
      <c r="KZ502" s="27" t="s">
        <v>7</v>
      </c>
      <c r="LA502" s="27" t="s">
        <v>8</v>
      </c>
      <c r="LH502" s="27" t="s">
        <v>7</v>
      </c>
      <c r="LI502" s="27" t="s">
        <v>8</v>
      </c>
      <c r="LK502" s="27" t="s">
        <v>8</v>
      </c>
      <c r="MO502" s="27" t="s">
        <v>8</v>
      </c>
      <c r="MP502" s="27" t="s">
        <v>7</v>
      </c>
      <c r="MQ502" s="27" t="s">
        <v>8</v>
      </c>
      <c r="MR502" s="27" t="s">
        <v>7</v>
      </c>
      <c r="MU502" s="27" t="s">
        <v>8</v>
      </c>
      <c r="MV502" s="27" t="s">
        <v>7</v>
      </c>
      <c r="NA502" s="27" t="s">
        <v>8</v>
      </c>
      <c r="NB502" s="27" t="s">
        <v>7</v>
      </c>
      <c r="NW502" s="27" t="s">
        <v>8</v>
      </c>
    </row>
    <row r="503" spans="1:391" x14ac:dyDescent="0.25">
      <c r="A503" s="7">
        <v>5.2773321366819985</v>
      </c>
      <c r="B503"/>
      <c r="C503"/>
      <c r="D503"/>
      <c r="E503"/>
      <c r="Y503" s="27" t="s">
        <v>8</v>
      </c>
      <c r="Z503" s="27" t="s">
        <v>7</v>
      </c>
      <c r="AA503" s="27" t="s">
        <v>8</v>
      </c>
      <c r="AB503" s="27" t="s">
        <v>7</v>
      </c>
      <c r="AD503" s="27" t="s">
        <v>7</v>
      </c>
      <c r="AF503" s="27" t="s">
        <v>7</v>
      </c>
      <c r="AG503" s="27" t="s">
        <v>8</v>
      </c>
      <c r="AH503" s="27" t="s">
        <v>7</v>
      </c>
      <c r="AI503" s="27" t="s">
        <v>8</v>
      </c>
      <c r="AQ503" s="27" t="s">
        <v>8</v>
      </c>
      <c r="AR503" s="27" t="s">
        <v>7</v>
      </c>
      <c r="AS503" s="27" t="s">
        <v>8</v>
      </c>
      <c r="BL503" s="27" t="s">
        <v>7</v>
      </c>
      <c r="EA503" s="27" t="s">
        <v>8</v>
      </c>
      <c r="EB503" s="27" t="s">
        <v>7</v>
      </c>
      <c r="JA503" s="27" t="s">
        <v>8</v>
      </c>
      <c r="JB503" s="27" t="s">
        <v>7</v>
      </c>
      <c r="JE503" s="27" t="s">
        <v>8</v>
      </c>
      <c r="JF503" s="27" t="s">
        <v>7</v>
      </c>
      <c r="JU503" s="27" t="s">
        <v>8</v>
      </c>
      <c r="KH503" s="27" t="s">
        <v>7</v>
      </c>
      <c r="KI503" s="27" t="s">
        <v>8</v>
      </c>
      <c r="KJ503" s="27" t="s">
        <v>7</v>
      </c>
      <c r="KK503" s="27" t="s">
        <v>8</v>
      </c>
      <c r="KV503" s="27" t="s">
        <v>7</v>
      </c>
      <c r="KW503" s="27" t="s">
        <v>8</v>
      </c>
      <c r="KX503" s="27" t="s">
        <v>7</v>
      </c>
      <c r="KY503" s="27" t="s">
        <v>8</v>
      </c>
      <c r="KZ503" s="27" t="s">
        <v>7</v>
      </c>
      <c r="LA503" s="27" t="s">
        <v>8</v>
      </c>
      <c r="LH503" s="27" t="s">
        <v>7</v>
      </c>
      <c r="LI503" s="27" t="s">
        <v>8</v>
      </c>
      <c r="LJ503" s="27" t="s">
        <v>7</v>
      </c>
      <c r="LK503" s="27" t="s">
        <v>8</v>
      </c>
      <c r="LL503" s="27" t="s">
        <v>7</v>
      </c>
      <c r="MO503" s="27" t="s">
        <v>8</v>
      </c>
      <c r="MP503" s="27" t="s">
        <v>7</v>
      </c>
      <c r="MQ503" s="27" t="s">
        <v>8</v>
      </c>
      <c r="MR503" s="27" t="s">
        <v>7</v>
      </c>
      <c r="MU503" s="27" t="s">
        <v>8</v>
      </c>
      <c r="MV503" s="27" t="s">
        <v>7</v>
      </c>
      <c r="NA503" s="27" t="s">
        <v>8</v>
      </c>
      <c r="NB503" s="27" t="s">
        <v>7</v>
      </c>
      <c r="NW503" s="27" t="s">
        <v>8</v>
      </c>
      <c r="NX503" s="27" t="s">
        <v>7</v>
      </c>
    </row>
    <row r="504" spans="1:391" x14ac:dyDescent="0.25">
      <c r="A504" s="7">
        <v>5.1738550359627435</v>
      </c>
      <c r="B504"/>
      <c r="C504"/>
      <c r="D504"/>
      <c r="E504"/>
      <c r="Y504" s="27" t="s">
        <v>8</v>
      </c>
      <c r="Z504" s="27" t="s">
        <v>7</v>
      </c>
      <c r="AA504" s="27" t="s">
        <v>8</v>
      </c>
      <c r="AF504" s="27" t="s">
        <v>7</v>
      </c>
      <c r="AG504" s="27" t="s">
        <v>8</v>
      </c>
      <c r="AH504" s="27" t="s">
        <v>7</v>
      </c>
      <c r="AI504" s="27" t="s">
        <v>8</v>
      </c>
      <c r="AJ504" s="27" t="s">
        <v>7</v>
      </c>
      <c r="AM504" s="27" t="s">
        <v>8</v>
      </c>
      <c r="AQ504" s="27" t="s">
        <v>8</v>
      </c>
      <c r="AR504" s="27" t="s">
        <v>7</v>
      </c>
      <c r="BL504" s="27" t="s">
        <v>7</v>
      </c>
      <c r="EA504" s="27" t="s">
        <v>8</v>
      </c>
      <c r="EB504" s="27" t="s">
        <v>7</v>
      </c>
      <c r="JA504" s="27" t="s">
        <v>8</v>
      </c>
      <c r="JB504" s="27" t="s">
        <v>7</v>
      </c>
      <c r="JE504" s="27" t="s">
        <v>8</v>
      </c>
      <c r="JF504" s="27" t="s">
        <v>7</v>
      </c>
      <c r="JU504" s="27" t="s">
        <v>8</v>
      </c>
      <c r="KH504" s="27" t="s">
        <v>7</v>
      </c>
      <c r="KI504" s="27" t="s">
        <v>8</v>
      </c>
      <c r="KJ504" s="27" t="s">
        <v>7</v>
      </c>
      <c r="KK504" s="27" t="s">
        <v>8</v>
      </c>
      <c r="KV504" s="27" t="s">
        <v>7</v>
      </c>
      <c r="KW504" s="27" t="s">
        <v>8</v>
      </c>
      <c r="KX504" s="27" t="s">
        <v>7</v>
      </c>
      <c r="KY504" s="27" t="s">
        <v>8</v>
      </c>
      <c r="KZ504" s="27" t="s">
        <v>7</v>
      </c>
      <c r="LA504" s="27" t="s">
        <v>8</v>
      </c>
      <c r="LH504" s="27" t="s">
        <v>7</v>
      </c>
      <c r="LI504" s="27" t="s">
        <v>8</v>
      </c>
      <c r="LJ504" s="27" t="s">
        <v>7</v>
      </c>
      <c r="LK504" s="27" t="s">
        <v>8</v>
      </c>
      <c r="LL504" s="27" t="s">
        <v>7</v>
      </c>
      <c r="MO504" s="27" t="s">
        <v>8</v>
      </c>
      <c r="MP504" s="27" t="s">
        <v>7</v>
      </c>
      <c r="MQ504" s="27" t="s">
        <v>8</v>
      </c>
      <c r="MR504" s="27" t="s">
        <v>7</v>
      </c>
      <c r="MS504" s="27" t="s">
        <v>8</v>
      </c>
      <c r="MU504" s="27" t="s">
        <v>8</v>
      </c>
      <c r="MV504" s="27" t="s">
        <v>7</v>
      </c>
      <c r="NA504" s="27" t="s">
        <v>8</v>
      </c>
      <c r="NB504" s="27" t="s">
        <v>7</v>
      </c>
      <c r="NW504" s="27" t="s">
        <v>8</v>
      </c>
      <c r="NX504" s="27" t="s">
        <v>7</v>
      </c>
    </row>
    <row r="505" spans="1:391" x14ac:dyDescent="0.25">
      <c r="A505" s="7">
        <v>5.07240689800269</v>
      </c>
      <c r="B505"/>
      <c r="C505"/>
      <c r="D505"/>
      <c r="E505"/>
      <c r="Y505" s="27" t="s">
        <v>8</v>
      </c>
      <c r="Z505" s="27" t="s">
        <v>7</v>
      </c>
      <c r="AA505" s="27" t="s">
        <v>8</v>
      </c>
      <c r="AF505" s="27" t="s">
        <v>7</v>
      </c>
      <c r="AH505" s="27" t="s">
        <v>7</v>
      </c>
      <c r="AI505" s="27" t="s">
        <v>8</v>
      </c>
      <c r="AJ505" s="27" t="s">
        <v>7</v>
      </c>
      <c r="AM505" s="27" t="s">
        <v>8</v>
      </c>
      <c r="AN505" s="27" t="s">
        <v>7</v>
      </c>
      <c r="AQ505" s="27" t="s">
        <v>8</v>
      </c>
      <c r="BL505" s="27" t="s">
        <v>7</v>
      </c>
      <c r="EA505" s="27" t="s">
        <v>8</v>
      </c>
      <c r="EB505" s="27" t="s">
        <v>7</v>
      </c>
      <c r="JA505" s="27" t="s">
        <v>8</v>
      </c>
      <c r="JB505" s="27" t="s">
        <v>7</v>
      </c>
      <c r="JE505" s="27" t="s">
        <v>8</v>
      </c>
      <c r="JF505" s="27" t="s">
        <v>7</v>
      </c>
      <c r="JU505" s="27" t="s">
        <v>8</v>
      </c>
      <c r="KH505" s="27" t="s">
        <v>7</v>
      </c>
      <c r="KI505" s="27" t="s">
        <v>8</v>
      </c>
      <c r="KJ505" s="27" t="s">
        <v>7</v>
      </c>
      <c r="KK505" s="27" t="s">
        <v>8</v>
      </c>
      <c r="KV505" s="27" t="s">
        <v>7</v>
      </c>
      <c r="KW505" s="27" t="s">
        <v>8</v>
      </c>
      <c r="KX505" s="27" t="s">
        <v>7</v>
      </c>
      <c r="KY505" s="27" t="s">
        <v>8</v>
      </c>
      <c r="KZ505" s="27" t="s">
        <v>7</v>
      </c>
      <c r="LA505" s="27" t="s">
        <v>8</v>
      </c>
      <c r="LH505" s="27" t="s">
        <v>7</v>
      </c>
      <c r="LI505" s="27" t="s">
        <v>8</v>
      </c>
      <c r="LJ505" s="27" t="s">
        <v>7</v>
      </c>
      <c r="LK505" s="27" t="s">
        <v>8</v>
      </c>
      <c r="LL505" s="27" t="s">
        <v>7</v>
      </c>
      <c r="MM505" s="27" t="s">
        <v>8</v>
      </c>
      <c r="MO505" s="27" t="s">
        <v>8</v>
      </c>
      <c r="MP505" s="27" t="s">
        <v>7</v>
      </c>
      <c r="MQ505" s="27" t="s">
        <v>8</v>
      </c>
      <c r="MR505" s="27" t="s">
        <v>7</v>
      </c>
      <c r="MS505" s="27" t="s">
        <v>8</v>
      </c>
      <c r="MT505" s="27" t="s">
        <v>7</v>
      </c>
      <c r="MU505" s="27" t="s">
        <v>8</v>
      </c>
      <c r="MV505" s="27" t="s">
        <v>7</v>
      </c>
      <c r="MY505" s="27" t="s">
        <v>8</v>
      </c>
      <c r="NA505" s="27" t="s">
        <v>8</v>
      </c>
      <c r="NB505" s="27" t="s">
        <v>7</v>
      </c>
      <c r="NS505" s="27" t="s">
        <v>8</v>
      </c>
      <c r="NW505" s="27" t="s">
        <v>8</v>
      </c>
      <c r="NX505" s="27" t="s">
        <v>7</v>
      </c>
      <c r="NY505" s="27" t="s">
        <v>8</v>
      </c>
    </row>
    <row r="506" spans="1:391" x14ac:dyDescent="0.25">
      <c r="A506" s="7">
        <v>4.9729479392183231</v>
      </c>
      <c r="B506"/>
      <c r="C506"/>
      <c r="D506"/>
      <c r="E506"/>
      <c r="Y506" s="27" t="s">
        <v>8</v>
      </c>
      <c r="Z506" s="27" t="s">
        <v>7</v>
      </c>
      <c r="AA506" s="27" t="s">
        <v>8</v>
      </c>
      <c r="AH506" s="27" t="s">
        <v>7</v>
      </c>
      <c r="AJ506" s="27" t="s">
        <v>7</v>
      </c>
      <c r="AK506" s="27" t="s">
        <v>8</v>
      </c>
      <c r="AM506" s="27" t="s">
        <v>8</v>
      </c>
      <c r="AN506" s="27" t="s">
        <v>7</v>
      </c>
      <c r="AO506" s="27" t="s">
        <v>8</v>
      </c>
      <c r="AQ506" s="27" t="s">
        <v>8</v>
      </c>
      <c r="BL506" s="27" t="s">
        <v>7</v>
      </c>
      <c r="EA506" s="27" t="s">
        <v>8</v>
      </c>
      <c r="EB506" s="27" t="s">
        <v>7</v>
      </c>
      <c r="JA506" s="27" t="s">
        <v>8</v>
      </c>
      <c r="JB506" s="27" t="s">
        <v>7</v>
      </c>
      <c r="JE506" s="27" t="s">
        <v>8</v>
      </c>
      <c r="JF506" s="27" t="s">
        <v>7</v>
      </c>
      <c r="JU506" s="27" t="s">
        <v>8</v>
      </c>
      <c r="KH506" s="27" t="s">
        <v>7</v>
      </c>
      <c r="KI506" s="27" t="s">
        <v>8</v>
      </c>
      <c r="KJ506" s="27" t="s">
        <v>7</v>
      </c>
      <c r="KK506" s="27" t="s">
        <v>8</v>
      </c>
      <c r="KV506" s="27" t="s">
        <v>7</v>
      </c>
      <c r="KW506" s="27" t="s">
        <v>8</v>
      </c>
      <c r="KX506" s="27" t="s">
        <v>7</v>
      </c>
      <c r="KY506" s="27" t="s">
        <v>8</v>
      </c>
      <c r="KZ506" s="27" t="s">
        <v>7</v>
      </c>
      <c r="LA506" s="27" t="s">
        <v>8</v>
      </c>
      <c r="LH506" s="27" t="s">
        <v>7</v>
      </c>
      <c r="LI506" s="27" t="s">
        <v>8</v>
      </c>
      <c r="LJ506" s="27" t="s">
        <v>7</v>
      </c>
      <c r="LK506" s="27" t="s">
        <v>8</v>
      </c>
      <c r="LL506" s="27" t="s">
        <v>7</v>
      </c>
      <c r="MM506" s="27" t="s">
        <v>8</v>
      </c>
      <c r="MN506" s="27" t="s">
        <v>7</v>
      </c>
      <c r="MO506" s="27" t="s">
        <v>8</v>
      </c>
      <c r="MP506" s="27" t="s">
        <v>7</v>
      </c>
      <c r="MQ506" s="27" t="s">
        <v>8</v>
      </c>
      <c r="MR506" s="27" t="s">
        <v>7</v>
      </c>
      <c r="MS506" s="27" t="s">
        <v>8</v>
      </c>
      <c r="MT506" s="27" t="s">
        <v>7</v>
      </c>
      <c r="MU506" s="27" t="s">
        <v>8</v>
      </c>
      <c r="MV506" s="27" t="s">
        <v>7</v>
      </c>
      <c r="MW506" s="27" t="s">
        <v>8</v>
      </c>
      <c r="MY506" s="27" t="s">
        <v>8</v>
      </c>
      <c r="MZ506" s="27" t="s">
        <v>7</v>
      </c>
      <c r="NA506" s="27" t="s">
        <v>8</v>
      </c>
      <c r="NB506" s="27" t="s">
        <v>7</v>
      </c>
      <c r="NM506" s="27" t="s">
        <v>8</v>
      </c>
      <c r="NS506" s="27" t="s">
        <v>8</v>
      </c>
      <c r="NT506" s="27" t="s">
        <v>7</v>
      </c>
      <c r="NW506" s="27" t="s">
        <v>8</v>
      </c>
      <c r="NX506" s="27" t="s">
        <v>7</v>
      </c>
      <c r="NY506" s="27" t="s">
        <v>8</v>
      </c>
      <c r="NZ506" s="27" t="s">
        <v>7</v>
      </c>
    </row>
    <row r="507" spans="1:391" x14ac:dyDescent="0.25">
      <c r="A507" s="7">
        <v>4.8754391560963954</v>
      </c>
      <c r="B507"/>
      <c r="C507"/>
      <c r="D507"/>
      <c r="E507"/>
      <c r="Y507" s="27" t="s">
        <v>8</v>
      </c>
      <c r="Z507" s="27" t="s">
        <v>7</v>
      </c>
      <c r="AJ507" s="27" t="s">
        <v>7</v>
      </c>
      <c r="AK507" s="27" t="s">
        <v>8</v>
      </c>
      <c r="AL507" s="27" t="s">
        <v>7</v>
      </c>
      <c r="AM507" s="27" t="s">
        <v>8</v>
      </c>
      <c r="AN507" s="27" t="s">
        <v>7</v>
      </c>
      <c r="AO507" s="27" t="s">
        <v>8</v>
      </c>
      <c r="AP507" s="27" t="s">
        <v>7</v>
      </c>
      <c r="AQ507" s="27" t="s">
        <v>8</v>
      </c>
      <c r="BL507" s="27" t="s">
        <v>7</v>
      </c>
      <c r="EA507" s="27" t="s">
        <v>8</v>
      </c>
      <c r="EB507" s="27" t="s">
        <v>7</v>
      </c>
      <c r="JA507" s="27" t="s">
        <v>8</v>
      </c>
      <c r="JB507" s="27" t="s">
        <v>7</v>
      </c>
      <c r="JC507" s="27" t="s">
        <v>8</v>
      </c>
      <c r="JE507" s="27" t="s">
        <v>8</v>
      </c>
      <c r="JF507" s="27" t="s">
        <v>7</v>
      </c>
      <c r="JU507" s="27" t="s">
        <v>8</v>
      </c>
      <c r="KH507" s="27" t="s">
        <v>7</v>
      </c>
      <c r="KI507" s="27" t="s">
        <v>8</v>
      </c>
      <c r="KJ507" s="27" t="s">
        <v>7</v>
      </c>
      <c r="KK507" s="27" t="s">
        <v>8</v>
      </c>
      <c r="KV507" s="27" t="s">
        <v>7</v>
      </c>
      <c r="KW507" s="27" t="s">
        <v>8</v>
      </c>
      <c r="KX507" s="27" t="s">
        <v>7</v>
      </c>
      <c r="KZ507" s="27" t="s">
        <v>7</v>
      </c>
      <c r="LA507" s="27" t="s">
        <v>8</v>
      </c>
      <c r="LH507" s="27" t="s">
        <v>7</v>
      </c>
      <c r="LI507" s="27" t="s">
        <v>8</v>
      </c>
      <c r="LJ507" s="27" t="s">
        <v>7</v>
      </c>
      <c r="LK507" s="27" t="s">
        <v>8</v>
      </c>
      <c r="LL507" s="27" t="s">
        <v>7</v>
      </c>
      <c r="MM507" s="27" t="s">
        <v>8</v>
      </c>
      <c r="MN507" s="27" t="s">
        <v>7</v>
      </c>
      <c r="MO507" s="27" t="s">
        <v>8</v>
      </c>
      <c r="MP507" s="27" t="s">
        <v>7</v>
      </c>
      <c r="MQ507" s="27" t="s">
        <v>8</v>
      </c>
      <c r="MR507" s="27" t="s">
        <v>7</v>
      </c>
      <c r="MS507" s="27" t="s">
        <v>8</v>
      </c>
      <c r="MT507" s="27" t="s">
        <v>7</v>
      </c>
      <c r="MU507" s="27" t="s">
        <v>8</v>
      </c>
      <c r="MV507" s="27" t="s">
        <v>7</v>
      </c>
      <c r="MW507" s="27" t="s">
        <v>8</v>
      </c>
      <c r="MX507" s="27" t="s">
        <v>7</v>
      </c>
      <c r="MY507" s="27" t="s">
        <v>8</v>
      </c>
      <c r="MZ507" s="27" t="s">
        <v>7</v>
      </c>
      <c r="NA507" s="27" t="s">
        <v>8</v>
      </c>
      <c r="NB507" s="27" t="s">
        <v>7</v>
      </c>
      <c r="NK507" s="27" t="s">
        <v>8</v>
      </c>
      <c r="NM507" s="27" t="s">
        <v>8</v>
      </c>
      <c r="NN507" s="27" t="s">
        <v>7</v>
      </c>
      <c r="NQ507" s="27" t="s">
        <v>8</v>
      </c>
      <c r="NS507" s="27" t="s">
        <v>8</v>
      </c>
      <c r="NT507" s="27" t="s">
        <v>7</v>
      </c>
      <c r="NW507" s="27" t="s">
        <v>8</v>
      </c>
      <c r="NX507" s="27" t="s">
        <v>7</v>
      </c>
      <c r="NY507" s="27" t="s">
        <v>8</v>
      </c>
      <c r="NZ507" s="27" t="s">
        <v>7</v>
      </c>
    </row>
    <row r="508" spans="1:391" x14ac:dyDescent="0.25">
      <c r="A508" s="7">
        <v>4.7798423098984264</v>
      </c>
      <c r="B508"/>
      <c r="C508"/>
      <c r="D508"/>
      <c r="E508"/>
      <c r="Y508" s="27" t="s">
        <v>8</v>
      </c>
      <c r="AJ508" s="27" t="s">
        <v>7</v>
      </c>
      <c r="AK508" s="27" t="s">
        <v>8</v>
      </c>
      <c r="AL508" s="27" t="s">
        <v>7</v>
      </c>
      <c r="AM508" s="27" t="s">
        <v>8</v>
      </c>
      <c r="AN508" s="27" t="s">
        <v>7</v>
      </c>
      <c r="AO508" s="27" t="s">
        <v>8</v>
      </c>
      <c r="AP508" s="27" t="s">
        <v>7</v>
      </c>
      <c r="AQ508" s="27" t="s">
        <v>8</v>
      </c>
      <c r="BL508" s="27" t="s">
        <v>7</v>
      </c>
      <c r="BM508" s="27" t="s">
        <v>8</v>
      </c>
      <c r="EA508" s="27" t="s">
        <v>8</v>
      </c>
      <c r="EB508" s="27" t="s">
        <v>7</v>
      </c>
      <c r="JA508" s="27" t="s">
        <v>8</v>
      </c>
      <c r="JB508" s="27" t="s">
        <v>7</v>
      </c>
      <c r="JC508" s="27" t="s">
        <v>8</v>
      </c>
      <c r="JD508" s="27" t="s">
        <v>7</v>
      </c>
      <c r="JE508" s="27" t="s">
        <v>8</v>
      </c>
      <c r="JF508" s="27" t="s">
        <v>7</v>
      </c>
      <c r="JU508" s="27" t="s">
        <v>8</v>
      </c>
      <c r="KH508" s="27" t="s">
        <v>7</v>
      </c>
      <c r="KI508" s="27" t="s">
        <v>8</v>
      </c>
      <c r="KJ508" s="27" t="s">
        <v>7</v>
      </c>
      <c r="KK508" s="27" t="s">
        <v>8</v>
      </c>
      <c r="KV508" s="27" t="s">
        <v>7</v>
      </c>
      <c r="KW508" s="27" t="s">
        <v>8</v>
      </c>
      <c r="KZ508" s="27" t="s">
        <v>7</v>
      </c>
      <c r="LA508" s="27" t="s">
        <v>8</v>
      </c>
      <c r="LH508" s="27" t="s">
        <v>7</v>
      </c>
      <c r="LI508" s="27" t="s">
        <v>8</v>
      </c>
      <c r="LJ508" s="27" t="s">
        <v>7</v>
      </c>
      <c r="LK508" s="27" t="s">
        <v>8</v>
      </c>
      <c r="LL508" s="27" t="s">
        <v>7</v>
      </c>
      <c r="MM508" s="27" t="s">
        <v>8</v>
      </c>
      <c r="MN508" s="27" t="s">
        <v>7</v>
      </c>
      <c r="MO508" s="27" t="s">
        <v>8</v>
      </c>
      <c r="MP508" s="27" t="s">
        <v>7</v>
      </c>
      <c r="MR508" s="27" t="s">
        <v>7</v>
      </c>
      <c r="MS508" s="27" t="s">
        <v>8</v>
      </c>
      <c r="MT508" s="27" t="s">
        <v>7</v>
      </c>
      <c r="MV508" s="27" t="s">
        <v>7</v>
      </c>
      <c r="MW508" s="27" t="s">
        <v>8</v>
      </c>
      <c r="MX508" s="27" t="s">
        <v>7</v>
      </c>
      <c r="MY508" s="27" t="s">
        <v>8</v>
      </c>
      <c r="MZ508" s="27" t="s">
        <v>7</v>
      </c>
      <c r="NA508" s="27" t="s">
        <v>8</v>
      </c>
      <c r="NB508" s="27" t="s">
        <v>7</v>
      </c>
      <c r="NI508" s="27" t="s">
        <v>8</v>
      </c>
      <c r="NK508" s="27" t="s">
        <v>8</v>
      </c>
      <c r="NL508" s="27" t="s">
        <v>7</v>
      </c>
      <c r="NM508" s="27" t="s">
        <v>8</v>
      </c>
      <c r="NN508" s="27" t="s">
        <v>7</v>
      </c>
      <c r="NQ508" s="27" t="s">
        <v>8</v>
      </c>
      <c r="NR508" s="27" t="s">
        <v>7</v>
      </c>
      <c r="NS508" s="27" t="s">
        <v>8</v>
      </c>
      <c r="NT508" s="27" t="s">
        <v>7</v>
      </c>
      <c r="NU508" s="27" t="s">
        <v>8</v>
      </c>
      <c r="NW508" s="27" t="s">
        <v>8</v>
      </c>
      <c r="NX508" s="27" t="s">
        <v>7</v>
      </c>
      <c r="NY508" s="27" t="s">
        <v>8</v>
      </c>
      <c r="NZ508" s="27" t="s">
        <v>7</v>
      </c>
    </row>
    <row r="509" spans="1:391" x14ac:dyDescent="0.25">
      <c r="A509" s="7">
        <v>4.6861199116651235</v>
      </c>
      <c r="B509"/>
      <c r="C509"/>
      <c r="D509"/>
      <c r="E509"/>
      <c r="Y509" s="27" t="s">
        <v>8</v>
      </c>
      <c r="AJ509" s="27" t="s">
        <v>7</v>
      </c>
      <c r="AK509" s="27" t="s">
        <v>8</v>
      </c>
      <c r="AL509" s="27" t="s">
        <v>7</v>
      </c>
      <c r="AM509" s="27" t="s">
        <v>8</v>
      </c>
      <c r="AN509" s="27" t="s">
        <v>7</v>
      </c>
      <c r="AP509" s="27" t="s">
        <v>7</v>
      </c>
      <c r="AQ509" s="27" t="s">
        <v>8</v>
      </c>
      <c r="BL509" s="27" t="s">
        <v>7</v>
      </c>
      <c r="BM509" s="27" t="s">
        <v>8</v>
      </c>
      <c r="BN509" s="27" t="s">
        <v>7</v>
      </c>
      <c r="BS509" s="27" t="s">
        <v>8</v>
      </c>
      <c r="EA509" s="27" t="s">
        <v>8</v>
      </c>
      <c r="EB509" s="27" t="s">
        <v>7</v>
      </c>
      <c r="JA509" s="27" t="s">
        <v>8</v>
      </c>
      <c r="JB509" s="27" t="s">
        <v>7</v>
      </c>
      <c r="JC509" s="27" t="s">
        <v>8</v>
      </c>
      <c r="JD509" s="27" t="s">
        <v>7</v>
      </c>
      <c r="JE509" s="27" t="s">
        <v>8</v>
      </c>
      <c r="JF509" s="27" t="s">
        <v>7</v>
      </c>
      <c r="JU509" s="27" t="s">
        <v>8</v>
      </c>
      <c r="KH509" s="27" t="s">
        <v>7</v>
      </c>
      <c r="KI509" s="27" t="s">
        <v>8</v>
      </c>
      <c r="KJ509" s="27" t="s">
        <v>7</v>
      </c>
      <c r="KV509" s="27" t="s">
        <v>7</v>
      </c>
      <c r="KW509" s="27" t="s">
        <v>8</v>
      </c>
      <c r="KZ509" s="27" t="s">
        <v>7</v>
      </c>
      <c r="LA509" s="27" t="s">
        <v>8</v>
      </c>
      <c r="LH509" s="27" t="s">
        <v>7</v>
      </c>
      <c r="LI509" s="27" t="s">
        <v>8</v>
      </c>
      <c r="LJ509" s="27" t="s">
        <v>7</v>
      </c>
      <c r="LK509" s="27" t="s">
        <v>8</v>
      </c>
      <c r="LL509" s="27" t="s">
        <v>7</v>
      </c>
      <c r="LM509" s="27" t="s">
        <v>8</v>
      </c>
      <c r="MM509" s="27" t="s">
        <v>8</v>
      </c>
      <c r="MN509" s="27" t="s">
        <v>7</v>
      </c>
      <c r="MR509" s="27" t="s">
        <v>7</v>
      </c>
      <c r="MV509" s="27" t="s">
        <v>7</v>
      </c>
      <c r="MW509" s="27" t="s">
        <v>8</v>
      </c>
      <c r="MX509" s="27" t="s">
        <v>7</v>
      </c>
      <c r="MY509" s="27" t="s">
        <v>8</v>
      </c>
      <c r="MZ509" s="27" t="s">
        <v>7</v>
      </c>
      <c r="NA509" s="27" t="s">
        <v>8</v>
      </c>
      <c r="NB509" s="27" t="s">
        <v>7</v>
      </c>
      <c r="NI509" s="27" t="s">
        <v>8</v>
      </c>
      <c r="NJ509" s="27" t="s">
        <v>7</v>
      </c>
      <c r="NK509" s="27" t="s">
        <v>8</v>
      </c>
      <c r="NL509" s="27" t="s">
        <v>7</v>
      </c>
      <c r="NM509" s="27" t="s">
        <v>8</v>
      </c>
      <c r="NN509" s="27" t="s">
        <v>7</v>
      </c>
      <c r="NO509" s="27" t="s">
        <v>8</v>
      </c>
      <c r="NQ509" s="27" t="s">
        <v>8</v>
      </c>
      <c r="NR509" s="27" t="s">
        <v>7</v>
      </c>
      <c r="NS509" s="27" t="s">
        <v>8</v>
      </c>
      <c r="NT509" s="27" t="s">
        <v>7</v>
      </c>
      <c r="NU509" s="27" t="s">
        <v>8</v>
      </c>
      <c r="NV509" s="27" t="s">
        <v>7</v>
      </c>
      <c r="NW509" s="27" t="s">
        <v>8</v>
      </c>
      <c r="NX509" s="27" t="s">
        <v>7</v>
      </c>
      <c r="NZ509" s="27" t="s">
        <v>7</v>
      </c>
    </row>
    <row r="510" spans="1:391" x14ac:dyDescent="0.25">
      <c r="A510" s="7">
        <v>4.5942352075148269</v>
      </c>
      <c r="B510"/>
      <c r="C510"/>
      <c r="D510"/>
      <c r="E510"/>
      <c r="Y510" s="27" t="s">
        <v>8</v>
      </c>
      <c r="AJ510" s="27" t="s">
        <v>7</v>
      </c>
      <c r="AL510" s="27" t="s">
        <v>7</v>
      </c>
      <c r="AM510" s="27" t="s">
        <v>8</v>
      </c>
      <c r="AP510" s="27" t="s">
        <v>7</v>
      </c>
      <c r="BL510" s="27" t="s">
        <v>7</v>
      </c>
      <c r="BM510" s="27" t="s">
        <v>8</v>
      </c>
      <c r="BN510" s="27" t="s">
        <v>7</v>
      </c>
      <c r="BS510" s="27" t="s">
        <v>8</v>
      </c>
      <c r="BT510" s="27" t="s">
        <v>7</v>
      </c>
      <c r="EA510" s="27" t="s">
        <v>8</v>
      </c>
      <c r="EB510" s="27" t="s">
        <v>7</v>
      </c>
      <c r="EC510" s="27" t="s">
        <v>8</v>
      </c>
      <c r="JA510" s="27" t="s">
        <v>8</v>
      </c>
      <c r="JB510" s="27" t="s">
        <v>7</v>
      </c>
      <c r="JC510" s="27" t="s">
        <v>8</v>
      </c>
      <c r="JD510" s="27" t="s">
        <v>7</v>
      </c>
      <c r="JE510" s="27" t="s">
        <v>8</v>
      </c>
      <c r="JF510" s="27" t="s">
        <v>7</v>
      </c>
      <c r="JU510" s="27" t="s">
        <v>8</v>
      </c>
      <c r="KH510" s="27" t="s">
        <v>7</v>
      </c>
      <c r="KI510" s="27" t="s">
        <v>8</v>
      </c>
      <c r="KV510" s="27" t="s">
        <v>7</v>
      </c>
      <c r="KW510" s="27" t="s">
        <v>8</v>
      </c>
      <c r="KZ510" s="27" t="s">
        <v>7</v>
      </c>
      <c r="LA510" s="27" t="s">
        <v>8</v>
      </c>
      <c r="LH510" s="27" t="s">
        <v>7</v>
      </c>
      <c r="LJ510" s="27" t="s">
        <v>7</v>
      </c>
      <c r="LL510" s="27" t="s">
        <v>7</v>
      </c>
      <c r="LM510" s="27" t="s">
        <v>8</v>
      </c>
      <c r="LN510" s="27" t="s">
        <v>7</v>
      </c>
      <c r="MK510" s="27" t="s">
        <v>8</v>
      </c>
      <c r="MM510" s="27" t="s">
        <v>8</v>
      </c>
      <c r="MV510" s="27" t="s">
        <v>7</v>
      </c>
      <c r="MW510" s="27" t="s">
        <v>8</v>
      </c>
      <c r="MX510" s="27" t="s">
        <v>7</v>
      </c>
      <c r="MZ510" s="27" t="s">
        <v>7</v>
      </c>
      <c r="NA510" s="27" t="s">
        <v>8</v>
      </c>
      <c r="NB510" s="27" t="s">
        <v>7</v>
      </c>
      <c r="NI510" s="27" t="s">
        <v>8</v>
      </c>
      <c r="NJ510" s="27" t="s">
        <v>7</v>
      </c>
      <c r="NK510" s="27" t="s">
        <v>8</v>
      </c>
      <c r="NL510" s="27" t="s">
        <v>7</v>
      </c>
      <c r="NN510" s="27" t="s">
        <v>7</v>
      </c>
      <c r="NO510" s="27" t="s">
        <v>8</v>
      </c>
      <c r="NP510" s="27" t="s">
        <v>7</v>
      </c>
      <c r="NQ510" s="27" t="s">
        <v>8</v>
      </c>
      <c r="NR510" s="27" t="s">
        <v>7</v>
      </c>
      <c r="NT510" s="27" t="s">
        <v>7</v>
      </c>
      <c r="NU510" s="27" t="s">
        <v>8</v>
      </c>
      <c r="NV510" s="27" t="s">
        <v>7</v>
      </c>
      <c r="NW510" s="27" t="s">
        <v>8</v>
      </c>
      <c r="NZ510" s="27" t="s">
        <v>7</v>
      </c>
    </row>
    <row r="511" spans="1:391" x14ac:dyDescent="0.25">
      <c r="A511" s="7">
        <v>4.5041521642302227</v>
      </c>
      <c r="B511"/>
      <c r="C511"/>
      <c r="D511"/>
      <c r="E511"/>
      <c r="Y511" s="27" t="s">
        <v>8</v>
      </c>
      <c r="AL511" s="27" t="s">
        <v>7</v>
      </c>
      <c r="BL511" s="27" t="s">
        <v>7</v>
      </c>
      <c r="BM511" s="27" t="s">
        <v>8</v>
      </c>
      <c r="BN511" s="27" t="s">
        <v>7</v>
      </c>
      <c r="BS511" s="27" t="s">
        <v>8</v>
      </c>
      <c r="BT511" s="27" t="s">
        <v>7</v>
      </c>
      <c r="BW511" s="27" t="s">
        <v>8</v>
      </c>
      <c r="EA511" s="27" t="s">
        <v>8</v>
      </c>
      <c r="EB511" s="27" t="s">
        <v>7</v>
      </c>
      <c r="EC511" s="27" t="s">
        <v>8</v>
      </c>
      <c r="ED511" s="27" t="s">
        <v>7</v>
      </c>
      <c r="JA511" s="27" t="s">
        <v>8</v>
      </c>
      <c r="JB511" s="27" t="s">
        <v>7</v>
      </c>
      <c r="JC511" s="27" t="s">
        <v>8</v>
      </c>
      <c r="JD511" s="27" t="s">
        <v>7</v>
      </c>
      <c r="JF511" s="27" t="s">
        <v>7</v>
      </c>
      <c r="JU511" s="27" t="s">
        <v>8</v>
      </c>
      <c r="KH511" s="27" t="s">
        <v>7</v>
      </c>
      <c r="KV511" s="27" t="s">
        <v>7</v>
      </c>
      <c r="KW511" s="27" t="s">
        <v>8</v>
      </c>
      <c r="KZ511" s="27" t="s">
        <v>7</v>
      </c>
      <c r="LA511" s="27" t="s">
        <v>8</v>
      </c>
      <c r="LL511" s="27" t="s">
        <v>7</v>
      </c>
      <c r="LM511" s="27" t="s">
        <v>8</v>
      </c>
      <c r="LN511" s="27" t="s">
        <v>7</v>
      </c>
      <c r="MK511" s="27" t="s">
        <v>8</v>
      </c>
      <c r="ML511" s="27" t="s">
        <v>7</v>
      </c>
      <c r="MM511" s="27" t="s">
        <v>8</v>
      </c>
      <c r="MV511" s="27" t="s">
        <v>7</v>
      </c>
      <c r="MW511" s="27" t="s">
        <v>8</v>
      </c>
      <c r="MZ511" s="27" t="s">
        <v>7</v>
      </c>
      <c r="NB511" s="27" t="s">
        <v>7</v>
      </c>
      <c r="NI511" s="27" t="s">
        <v>8</v>
      </c>
      <c r="NJ511" s="27" t="s">
        <v>7</v>
      </c>
      <c r="NK511" s="27" t="s">
        <v>8</v>
      </c>
      <c r="NN511" s="27" t="s">
        <v>7</v>
      </c>
      <c r="NO511" s="27" t="s">
        <v>8</v>
      </c>
      <c r="NP511" s="27" t="s">
        <v>7</v>
      </c>
      <c r="NQ511" s="27" t="s">
        <v>8</v>
      </c>
      <c r="NT511" s="27" t="s">
        <v>7</v>
      </c>
      <c r="NU511" s="27" t="s">
        <v>8</v>
      </c>
      <c r="NV511" s="27" t="s">
        <v>7</v>
      </c>
      <c r="NW511" s="27" t="s">
        <v>8</v>
      </c>
      <c r="NZ511" s="27" t="s">
        <v>7</v>
      </c>
    </row>
    <row r="512" spans="1:391" x14ac:dyDescent="0.25">
      <c r="A512" s="7">
        <v>4.4158354551276693</v>
      </c>
      <c r="B512"/>
      <c r="C512"/>
      <c r="D512"/>
      <c r="E512"/>
      <c r="K512" s="27" t="s">
        <v>8</v>
      </c>
      <c r="Y512" s="27" t="s">
        <v>8</v>
      </c>
      <c r="BL512" s="27" t="s">
        <v>7</v>
      </c>
      <c r="BN512" s="27" t="s">
        <v>7</v>
      </c>
      <c r="BQ512" s="27" t="s">
        <v>8</v>
      </c>
      <c r="BS512" s="27" t="s">
        <v>8</v>
      </c>
      <c r="BT512" s="27" t="s">
        <v>7</v>
      </c>
      <c r="BU512" s="27" t="s">
        <v>8</v>
      </c>
      <c r="BW512" s="27" t="s">
        <v>8</v>
      </c>
      <c r="BX512" s="27" t="s">
        <v>7</v>
      </c>
      <c r="EA512" s="27" t="s">
        <v>8</v>
      </c>
      <c r="EB512" s="27" t="s">
        <v>7</v>
      </c>
      <c r="EC512" s="27" t="s">
        <v>8</v>
      </c>
      <c r="ED512" s="27" t="s">
        <v>7</v>
      </c>
      <c r="JA512" s="27" t="s">
        <v>8</v>
      </c>
      <c r="JB512" s="27" t="s">
        <v>7</v>
      </c>
      <c r="JC512" s="27" t="s">
        <v>8</v>
      </c>
      <c r="JF512" s="27" t="s">
        <v>7</v>
      </c>
      <c r="JQ512" s="27" t="s">
        <v>8</v>
      </c>
      <c r="JU512" s="27" t="s">
        <v>8</v>
      </c>
      <c r="KV512" s="27" t="s">
        <v>7</v>
      </c>
      <c r="KW512" s="27" t="s">
        <v>8</v>
      </c>
      <c r="KZ512" s="27" t="s">
        <v>7</v>
      </c>
      <c r="LA512" s="27" t="s">
        <v>8</v>
      </c>
      <c r="LL512" s="27" t="s">
        <v>7</v>
      </c>
      <c r="LN512" s="27" t="s">
        <v>7</v>
      </c>
      <c r="LY512" s="27" t="s">
        <v>8</v>
      </c>
      <c r="MK512" s="27" t="s">
        <v>8</v>
      </c>
      <c r="ML512" s="27" t="s">
        <v>7</v>
      </c>
      <c r="MM512" s="27" t="s">
        <v>8</v>
      </c>
      <c r="MV512" s="27" t="s">
        <v>7</v>
      </c>
      <c r="MW512" s="27" t="s">
        <v>8</v>
      </c>
      <c r="NB512" s="27" t="s">
        <v>7</v>
      </c>
      <c r="NI512" s="27" t="s">
        <v>8</v>
      </c>
      <c r="NJ512" s="27" t="s">
        <v>7</v>
      </c>
      <c r="NN512" s="27" t="s">
        <v>7</v>
      </c>
      <c r="NO512" s="27" t="s">
        <v>8</v>
      </c>
      <c r="NP512" s="27" t="s">
        <v>7</v>
      </c>
      <c r="NQ512" s="27" t="s">
        <v>8</v>
      </c>
      <c r="NT512" s="27" t="s">
        <v>7</v>
      </c>
      <c r="NU512" s="27" t="s">
        <v>8</v>
      </c>
      <c r="NV512" s="27" t="s">
        <v>7</v>
      </c>
      <c r="NW512" s="27" t="s">
        <v>8</v>
      </c>
      <c r="NZ512" s="27" t="s">
        <v>7</v>
      </c>
      <c r="OA512" s="27" t="s">
        <v>8</v>
      </c>
    </row>
    <row r="513" spans="1:407" x14ac:dyDescent="0.25">
      <c r="A513" s="7">
        <v>4.3292504462035977</v>
      </c>
      <c r="B513"/>
      <c r="C513"/>
      <c r="D513"/>
      <c r="E513"/>
      <c r="K513" s="27" t="s">
        <v>8</v>
      </c>
      <c r="L513" s="27" t="s">
        <v>7</v>
      </c>
      <c r="W513" s="27" t="s">
        <v>8</v>
      </c>
      <c r="Y513" s="27" t="s">
        <v>8</v>
      </c>
      <c r="BN513" s="27" t="s">
        <v>7</v>
      </c>
      <c r="BQ513" s="27" t="s">
        <v>8</v>
      </c>
      <c r="BR513" s="27" t="s">
        <v>7</v>
      </c>
      <c r="BS513" s="27" t="s">
        <v>8</v>
      </c>
      <c r="BT513" s="27" t="s">
        <v>7</v>
      </c>
      <c r="BU513" s="27" t="s">
        <v>8</v>
      </c>
      <c r="BV513" s="27" t="s">
        <v>7</v>
      </c>
      <c r="BW513" s="27" t="s">
        <v>8</v>
      </c>
      <c r="BX513" s="27" t="s">
        <v>7</v>
      </c>
      <c r="DW513" s="27" t="s">
        <v>8</v>
      </c>
      <c r="DY513" s="27" t="s">
        <v>8</v>
      </c>
      <c r="EA513" s="27" t="s">
        <v>8</v>
      </c>
      <c r="EB513" s="27" t="s">
        <v>7</v>
      </c>
      <c r="EC513" s="27" t="s">
        <v>8</v>
      </c>
      <c r="ED513" s="27" t="s">
        <v>7</v>
      </c>
      <c r="EE513" s="27" t="s">
        <v>8</v>
      </c>
      <c r="JA513" s="27" t="s">
        <v>8</v>
      </c>
      <c r="JB513" s="27" t="s">
        <v>7</v>
      </c>
      <c r="JC513" s="27" t="s">
        <v>8</v>
      </c>
      <c r="JF513" s="27" t="s">
        <v>7</v>
      </c>
      <c r="JO513" s="27" t="s">
        <v>8</v>
      </c>
      <c r="JQ513" s="27" t="s">
        <v>8</v>
      </c>
      <c r="JR513" s="27" t="s">
        <v>7</v>
      </c>
      <c r="JU513" s="27" t="s">
        <v>8</v>
      </c>
      <c r="KV513" s="27" t="s">
        <v>7</v>
      </c>
      <c r="KW513" s="27" t="s">
        <v>8</v>
      </c>
      <c r="KZ513" s="27" t="s">
        <v>7</v>
      </c>
      <c r="LA513" s="27" t="s">
        <v>8</v>
      </c>
      <c r="LN513" s="27" t="s">
        <v>7</v>
      </c>
      <c r="LY513" s="27" t="s">
        <v>8</v>
      </c>
      <c r="LZ513" s="27" t="s">
        <v>7</v>
      </c>
      <c r="MA513" s="27" t="s">
        <v>8</v>
      </c>
      <c r="MK513" s="27" t="s">
        <v>8</v>
      </c>
      <c r="ML513" s="27" t="s">
        <v>7</v>
      </c>
      <c r="MM513" s="27" t="s">
        <v>8</v>
      </c>
      <c r="MV513" s="27" t="s">
        <v>7</v>
      </c>
      <c r="NB513" s="27" t="s">
        <v>7</v>
      </c>
      <c r="NC513" s="27" t="s">
        <v>8</v>
      </c>
      <c r="NI513" s="27" t="s">
        <v>8</v>
      </c>
      <c r="NN513" s="27" t="s">
        <v>7</v>
      </c>
      <c r="NP513" s="27" t="s">
        <v>7</v>
      </c>
      <c r="NQ513" s="27" t="s">
        <v>8</v>
      </c>
      <c r="NT513" s="27" t="s">
        <v>7</v>
      </c>
      <c r="NU513" s="27" t="s">
        <v>8</v>
      </c>
      <c r="NV513" s="27" t="s">
        <v>7</v>
      </c>
      <c r="NW513" s="27" t="s">
        <v>8</v>
      </c>
      <c r="NZ513" s="27" t="s">
        <v>7</v>
      </c>
      <c r="OA513" s="27" t="s">
        <v>8</v>
      </c>
      <c r="OB513" s="27" t="s">
        <v>7</v>
      </c>
      <c r="OC513" s="27" t="s">
        <v>8</v>
      </c>
    </row>
    <row r="514" spans="1:407" x14ac:dyDescent="0.25">
      <c r="A514" s="7">
        <v>4.2443631825525463</v>
      </c>
      <c r="B514"/>
      <c r="C514"/>
      <c r="D514"/>
      <c r="E514"/>
      <c r="K514" s="27" t="s">
        <v>8</v>
      </c>
      <c r="L514" s="27" t="s">
        <v>7</v>
      </c>
      <c r="W514" s="27" t="s">
        <v>8</v>
      </c>
      <c r="X514" s="27" t="s">
        <v>7</v>
      </c>
      <c r="Y514" s="27" t="s">
        <v>8</v>
      </c>
      <c r="BN514" s="27" t="s">
        <v>7</v>
      </c>
      <c r="BQ514" s="27" t="s">
        <v>8</v>
      </c>
      <c r="BR514" s="27" t="s">
        <v>7</v>
      </c>
      <c r="BS514" s="27" t="s">
        <v>8</v>
      </c>
      <c r="BT514" s="27" t="s">
        <v>7</v>
      </c>
      <c r="BU514" s="27" t="s">
        <v>8</v>
      </c>
      <c r="BV514" s="27" t="s">
        <v>7</v>
      </c>
      <c r="BW514" s="27" t="s">
        <v>8</v>
      </c>
      <c r="BX514" s="27" t="s">
        <v>7</v>
      </c>
      <c r="BY514" s="27" t="s">
        <v>8</v>
      </c>
      <c r="DW514" s="27" t="s">
        <v>8</v>
      </c>
      <c r="DX514" s="27" t="s">
        <v>7</v>
      </c>
      <c r="DY514" s="27" t="s">
        <v>8</v>
      </c>
      <c r="DZ514" s="27" t="s">
        <v>7</v>
      </c>
      <c r="EA514" s="27" t="s">
        <v>8</v>
      </c>
      <c r="EB514" s="27" t="s">
        <v>7</v>
      </c>
      <c r="EC514" s="27" t="s">
        <v>8</v>
      </c>
      <c r="ED514" s="27" t="s">
        <v>7</v>
      </c>
      <c r="EE514" s="27" t="s">
        <v>8</v>
      </c>
      <c r="EF514" s="27" t="s">
        <v>7</v>
      </c>
      <c r="JA514" s="27" t="s">
        <v>8</v>
      </c>
      <c r="JB514" s="27" t="s">
        <v>7</v>
      </c>
      <c r="JC514" s="27" t="s">
        <v>8</v>
      </c>
      <c r="JF514" s="27" t="s">
        <v>7</v>
      </c>
      <c r="JO514" s="27" t="s">
        <v>8</v>
      </c>
      <c r="JP514" s="27" t="s">
        <v>7</v>
      </c>
      <c r="JQ514" s="27" t="s">
        <v>8</v>
      </c>
      <c r="JR514" s="27" t="s">
        <v>7</v>
      </c>
      <c r="JS514" s="27" t="s">
        <v>8</v>
      </c>
      <c r="JU514" s="27" t="s">
        <v>8</v>
      </c>
      <c r="KV514" s="27" t="s">
        <v>7</v>
      </c>
      <c r="KZ514" s="27" t="s">
        <v>7</v>
      </c>
      <c r="LA514" s="27" t="s">
        <v>8</v>
      </c>
      <c r="LN514" s="27" t="s">
        <v>7</v>
      </c>
      <c r="LQ514" s="27" t="s">
        <v>8</v>
      </c>
      <c r="LY514" s="27" t="s">
        <v>8</v>
      </c>
      <c r="LZ514" s="27" t="s">
        <v>7</v>
      </c>
      <c r="MA514" s="27" t="s">
        <v>8</v>
      </c>
      <c r="MB514" s="27" t="s">
        <v>7</v>
      </c>
      <c r="MK514" s="27" t="s">
        <v>8</v>
      </c>
      <c r="ML514" s="27" t="s">
        <v>7</v>
      </c>
      <c r="MM514" s="27" t="s">
        <v>8</v>
      </c>
      <c r="NB514" s="27" t="s">
        <v>7</v>
      </c>
      <c r="NC514" s="27" t="s">
        <v>8</v>
      </c>
      <c r="ND514" s="27" t="s">
        <v>7</v>
      </c>
      <c r="NI514" s="27" t="s">
        <v>8</v>
      </c>
      <c r="NP514" s="27" t="s">
        <v>7</v>
      </c>
      <c r="NT514" s="27" t="s">
        <v>7</v>
      </c>
      <c r="NU514" s="27" t="s">
        <v>8</v>
      </c>
      <c r="NV514" s="27" t="s">
        <v>7</v>
      </c>
      <c r="NZ514" s="27" t="s">
        <v>7</v>
      </c>
      <c r="OA514" s="27" t="s">
        <v>8</v>
      </c>
      <c r="OB514" s="27" t="s">
        <v>7</v>
      </c>
      <c r="OC514" s="27" t="s">
        <v>8</v>
      </c>
      <c r="OD514" s="27" t="s">
        <v>7</v>
      </c>
    </row>
    <row r="515" spans="1:407" x14ac:dyDescent="0.25">
      <c r="A515" s="7">
        <v>4.1611403750515157</v>
      </c>
      <c r="B515"/>
      <c r="C515"/>
      <c r="D515"/>
      <c r="E515"/>
      <c r="K515" s="27" t="s">
        <v>8</v>
      </c>
      <c r="L515" s="27" t="s">
        <v>7</v>
      </c>
      <c r="W515" s="27" t="s">
        <v>8</v>
      </c>
      <c r="X515" s="27" t="s">
        <v>7</v>
      </c>
      <c r="Y515" s="27" t="s">
        <v>8</v>
      </c>
      <c r="BN515" s="27" t="s">
        <v>7</v>
      </c>
      <c r="BO515" s="27" t="s">
        <v>8</v>
      </c>
      <c r="BQ515" s="27" t="s">
        <v>8</v>
      </c>
      <c r="BR515" s="27" t="s">
        <v>7</v>
      </c>
      <c r="BS515" s="27" t="s">
        <v>8</v>
      </c>
      <c r="BT515" s="27" t="s">
        <v>7</v>
      </c>
      <c r="BU515" s="27" t="s">
        <v>8</v>
      </c>
      <c r="BV515" s="27" t="s">
        <v>7</v>
      </c>
      <c r="BW515" s="27" t="s">
        <v>8</v>
      </c>
      <c r="BX515" s="27" t="s">
        <v>7</v>
      </c>
      <c r="BY515" s="27" t="s">
        <v>8</v>
      </c>
      <c r="BZ515" s="27" t="s">
        <v>7</v>
      </c>
      <c r="CK515" s="27" t="s">
        <v>8</v>
      </c>
      <c r="DW515" s="27" t="s">
        <v>8</v>
      </c>
      <c r="DX515" s="27" t="s">
        <v>7</v>
      </c>
      <c r="DY515" s="27" t="s">
        <v>8</v>
      </c>
      <c r="DZ515" s="27" t="s">
        <v>7</v>
      </c>
      <c r="EA515" s="27" t="s">
        <v>8</v>
      </c>
      <c r="EB515" s="27" t="s">
        <v>7</v>
      </c>
      <c r="EC515" s="27" t="s">
        <v>8</v>
      </c>
      <c r="ED515" s="27" t="s">
        <v>7</v>
      </c>
      <c r="EE515" s="27" t="s">
        <v>8</v>
      </c>
      <c r="EF515" s="27" t="s">
        <v>7</v>
      </c>
      <c r="EG515" s="27" t="s">
        <v>8</v>
      </c>
      <c r="JA515" s="27" t="s">
        <v>8</v>
      </c>
      <c r="JB515" s="27" t="s">
        <v>7</v>
      </c>
      <c r="JF515" s="27" t="s">
        <v>7</v>
      </c>
      <c r="JM515" s="27" t="s">
        <v>8</v>
      </c>
      <c r="JO515" s="27" t="s">
        <v>8</v>
      </c>
      <c r="JP515" s="27" t="s">
        <v>7</v>
      </c>
      <c r="JQ515" s="27" t="s">
        <v>8</v>
      </c>
      <c r="JR515" s="27" t="s">
        <v>7</v>
      </c>
      <c r="JS515" s="27" t="s">
        <v>8</v>
      </c>
      <c r="JT515" s="27" t="s">
        <v>7</v>
      </c>
      <c r="JU515" s="27" t="s">
        <v>8</v>
      </c>
      <c r="KZ515" s="27" t="s">
        <v>7</v>
      </c>
      <c r="LA515" s="27" t="s">
        <v>8</v>
      </c>
      <c r="LN515" s="27" t="s">
        <v>7</v>
      </c>
      <c r="LQ515" s="27" t="s">
        <v>8</v>
      </c>
      <c r="LR515" s="27" t="s">
        <v>7</v>
      </c>
      <c r="LS515" s="27" t="s">
        <v>8</v>
      </c>
      <c r="LU515" s="27" t="s">
        <v>8</v>
      </c>
      <c r="LY515" s="27" t="s">
        <v>8</v>
      </c>
      <c r="LZ515" s="27" t="s">
        <v>7</v>
      </c>
      <c r="MA515" s="27" t="s">
        <v>8</v>
      </c>
      <c r="MB515" s="27" t="s">
        <v>7</v>
      </c>
      <c r="MI515" s="27" t="s">
        <v>8</v>
      </c>
      <c r="MK515" s="27" t="s">
        <v>8</v>
      </c>
      <c r="ML515" s="27" t="s">
        <v>7</v>
      </c>
      <c r="NB515" s="27" t="s">
        <v>7</v>
      </c>
      <c r="NC515" s="27" t="s">
        <v>8</v>
      </c>
      <c r="ND515" s="27" t="s">
        <v>7</v>
      </c>
      <c r="NI515" s="27" t="s">
        <v>8</v>
      </c>
      <c r="NT515" s="27" t="s">
        <v>7</v>
      </c>
      <c r="NU515" s="27" t="s">
        <v>8</v>
      </c>
      <c r="NZ515" s="27" t="s">
        <v>7</v>
      </c>
      <c r="OA515" s="27" t="s">
        <v>8</v>
      </c>
      <c r="OB515" s="27" t="s">
        <v>7</v>
      </c>
      <c r="OC515" s="27" t="s">
        <v>8</v>
      </c>
      <c r="OD515" s="27" t="s">
        <v>7</v>
      </c>
      <c r="OE515" s="27" t="s">
        <v>8</v>
      </c>
    </row>
    <row r="516" spans="1:407" x14ac:dyDescent="0.25">
      <c r="A516" s="7">
        <v>4.0795493873054074</v>
      </c>
      <c r="B516"/>
      <c r="C516"/>
      <c r="D516"/>
      <c r="E516"/>
      <c r="K516" s="27" t="s">
        <v>8</v>
      </c>
      <c r="L516" s="27" t="s">
        <v>7</v>
      </c>
      <c r="W516" s="27" t="s">
        <v>8</v>
      </c>
      <c r="X516" s="27" t="s">
        <v>7</v>
      </c>
      <c r="Y516" s="27" t="s">
        <v>8</v>
      </c>
      <c r="BN516" s="27" t="s">
        <v>7</v>
      </c>
      <c r="BO516" s="27" t="s">
        <v>8</v>
      </c>
      <c r="BP516" s="27" t="s">
        <v>7</v>
      </c>
      <c r="BQ516" s="27" t="s">
        <v>8</v>
      </c>
      <c r="BR516" s="27" t="s">
        <v>7</v>
      </c>
      <c r="BS516" s="27" t="s">
        <v>8</v>
      </c>
      <c r="BT516" s="27" t="s">
        <v>7</v>
      </c>
      <c r="BU516" s="27" t="s">
        <v>8</v>
      </c>
      <c r="BV516" s="27" t="s">
        <v>7</v>
      </c>
      <c r="BX516" s="27" t="s">
        <v>7</v>
      </c>
      <c r="BY516" s="27" t="s">
        <v>8</v>
      </c>
      <c r="BZ516" s="27" t="s">
        <v>7</v>
      </c>
      <c r="CK516" s="27" t="s">
        <v>8</v>
      </c>
      <c r="CL516" s="27" t="s">
        <v>7</v>
      </c>
      <c r="DQ516" s="27" t="s">
        <v>8</v>
      </c>
      <c r="DW516" s="27" t="s">
        <v>8</v>
      </c>
      <c r="DX516" s="27" t="s">
        <v>7</v>
      </c>
      <c r="DZ516" s="27" t="s">
        <v>7</v>
      </c>
      <c r="EB516" s="27" t="s">
        <v>7</v>
      </c>
      <c r="ED516" s="27" t="s">
        <v>7</v>
      </c>
      <c r="EE516" s="27" t="s">
        <v>8</v>
      </c>
      <c r="EF516" s="27" t="s">
        <v>7</v>
      </c>
      <c r="EG516" s="27" t="s">
        <v>8</v>
      </c>
      <c r="EH516" s="27" t="s">
        <v>7</v>
      </c>
      <c r="JA516" s="27" t="s">
        <v>8</v>
      </c>
      <c r="JF516" s="27" t="s">
        <v>7</v>
      </c>
      <c r="JG516" s="27" t="s">
        <v>8</v>
      </c>
      <c r="JM516" s="27" t="s">
        <v>8</v>
      </c>
      <c r="JN516" s="27" t="s">
        <v>7</v>
      </c>
      <c r="JO516" s="27" t="s">
        <v>8</v>
      </c>
      <c r="JP516" s="27" t="s">
        <v>7</v>
      </c>
      <c r="JQ516" s="27" t="s">
        <v>8</v>
      </c>
      <c r="JR516" s="27" t="s">
        <v>7</v>
      </c>
      <c r="JS516" s="27" t="s">
        <v>8</v>
      </c>
      <c r="JT516" s="27" t="s">
        <v>7</v>
      </c>
      <c r="JU516" s="27" t="s">
        <v>8</v>
      </c>
      <c r="KZ516" s="27" t="s">
        <v>7</v>
      </c>
      <c r="LA516" s="27" t="s">
        <v>8</v>
      </c>
      <c r="LN516" s="27" t="s">
        <v>7</v>
      </c>
      <c r="LQ516" s="27" t="s">
        <v>8</v>
      </c>
      <c r="LR516" s="27" t="s">
        <v>7</v>
      </c>
      <c r="LS516" s="27" t="s">
        <v>8</v>
      </c>
      <c r="LT516" s="27" t="s">
        <v>7</v>
      </c>
      <c r="LU516" s="27" t="s">
        <v>8</v>
      </c>
      <c r="LV516" s="27" t="s">
        <v>7</v>
      </c>
      <c r="LY516" s="27" t="s">
        <v>8</v>
      </c>
      <c r="LZ516" s="27" t="s">
        <v>7</v>
      </c>
      <c r="MA516" s="27" t="s">
        <v>8</v>
      </c>
      <c r="MB516" s="27" t="s">
        <v>7</v>
      </c>
      <c r="MI516" s="27" t="s">
        <v>8</v>
      </c>
      <c r="MJ516" s="27" t="s">
        <v>7</v>
      </c>
      <c r="MK516" s="27" t="s">
        <v>8</v>
      </c>
      <c r="NB516" s="27" t="s">
        <v>7</v>
      </c>
      <c r="NC516" s="27" t="s">
        <v>8</v>
      </c>
      <c r="ND516" s="27" t="s">
        <v>7</v>
      </c>
      <c r="NE516" s="27" t="s">
        <v>8</v>
      </c>
      <c r="NG516" s="27" t="s">
        <v>8</v>
      </c>
      <c r="NI516" s="27" t="s">
        <v>8</v>
      </c>
      <c r="NT516" s="27" t="s">
        <v>7</v>
      </c>
      <c r="NU516" s="27" t="s">
        <v>8</v>
      </c>
      <c r="NZ516" s="27" t="s">
        <v>7</v>
      </c>
      <c r="OB516" s="27" t="s">
        <v>7</v>
      </c>
      <c r="OD516" s="27" t="s">
        <v>7</v>
      </c>
      <c r="OE516" s="27" t="s">
        <v>8</v>
      </c>
      <c r="OF516" s="27" t="s">
        <v>7</v>
      </c>
    </row>
    <row r="517" spans="1:407" x14ac:dyDescent="0.25">
      <c r="A517" s="7">
        <v>3.9995582228484383</v>
      </c>
      <c r="B517"/>
      <c r="C517"/>
      <c r="D517"/>
      <c r="E517"/>
      <c r="K517" s="27" t="s">
        <v>8</v>
      </c>
      <c r="L517" s="27" t="s">
        <v>7</v>
      </c>
      <c r="W517" s="27" t="s">
        <v>8</v>
      </c>
      <c r="X517" s="27" t="s">
        <v>7</v>
      </c>
      <c r="BN517" s="27" t="s">
        <v>7</v>
      </c>
      <c r="BO517" s="27" t="s">
        <v>8</v>
      </c>
      <c r="BP517" s="27" t="s">
        <v>7</v>
      </c>
      <c r="BQ517" s="27" t="s">
        <v>8</v>
      </c>
      <c r="BR517" s="27" t="s">
        <v>7</v>
      </c>
      <c r="BT517" s="27" t="s">
        <v>7</v>
      </c>
      <c r="BU517" s="27" t="s">
        <v>8</v>
      </c>
      <c r="BX517" s="27" t="s">
        <v>7</v>
      </c>
      <c r="BY517" s="27" t="s">
        <v>8</v>
      </c>
      <c r="BZ517" s="27" t="s">
        <v>7</v>
      </c>
      <c r="CK517" s="27" t="s">
        <v>8</v>
      </c>
      <c r="CL517" s="27" t="s">
        <v>7</v>
      </c>
      <c r="DQ517" s="27" t="s">
        <v>8</v>
      </c>
      <c r="DR517" s="27" t="s">
        <v>7</v>
      </c>
      <c r="DS517" s="27" t="s">
        <v>8</v>
      </c>
      <c r="DW517" s="27" t="s">
        <v>8</v>
      </c>
      <c r="ED517" s="27" t="s">
        <v>7</v>
      </c>
      <c r="EE517" s="27" t="s">
        <v>8</v>
      </c>
      <c r="EF517" s="27" t="s">
        <v>7</v>
      </c>
      <c r="EG517" s="27" t="s">
        <v>8</v>
      </c>
      <c r="EH517" s="27" t="s">
        <v>7</v>
      </c>
      <c r="JA517" s="27" t="s">
        <v>8</v>
      </c>
      <c r="JF517" s="27" t="s">
        <v>7</v>
      </c>
      <c r="JG517" s="27" t="s">
        <v>8</v>
      </c>
      <c r="JH517" s="27" t="s">
        <v>7</v>
      </c>
      <c r="JK517" s="27" t="s">
        <v>8</v>
      </c>
      <c r="JM517" s="27" t="s">
        <v>8</v>
      </c>
      <c r="JN517" s="27" t="s">
        <v>7</v>
      </c>
      <c r="JO517" s="27" t="s">
        <v>8</v>
      </c>
      <c r="JP517" s="27" t="s">
        <v>7</v>
      </c>
      <c r="JQ517" s="27" t="s">
        <v>8</v>
      </c>
      <c r="JR517" s="27" t="s">
        <v>7</v>
      </c>
      <c r="JT517" s="27" t="s">
        <v>7</v>
      </c>
      <c r="JU517" s="27" t="s">
        <v>8</v>
      </c>
      <c r="KZ517" s="27" t="s">
        <v>7</v>
      </c>
      <c r="LA517" s="27" t="s">
        <v>8</v>
      </c>
      <c r="LN517" s="27" t="s">
        <v>7</v>
      </c>
      <c r="LO517" s="27" t="s">
        <v>8</v>
      </c>
      <c r="LQ517" s="27" t="s">
        <v>8</v>
      </c>
      <c r="LR517" s="27" t="s">
        <v>7</v>
      </c>
      <c r="LS517" s="27" t="s">
        <v>8</v>
      </c>
      <c r="LT517" s="27" t="s">
        <v>7</v>
      </c>
      <c r="LU517" s="27" t="s">
        <v>8</v>
      </c>
      <c r="LV517" s="27" t="s">
        <v>7</v>
      </c>
      <c r="LW517" s="27" t="s">
        <v>8</v>
      </c>
      <c r="LY517" s="27" t="s">
        <v>8</v>
      </c>
      <c r="LZ517" s="27" t="s">
        <v>7</v>
      </c>
      <c r="MA517" s="27" t="s">
        <v>8</v>
      </c>
      <c r="MB517" s="27" t="s">
        <v>7</v>
      </c>
      <c r="MI517" s="27" t="s">
        <v>8</v>
      </c>
      <c r="MJ517" s="27" t="s">
        <v>7</v>
      </c>
      <c r="MK517" s="27" t="s">
        <v>8</v>
      </c>
      <c r="NB517" s="27" t="s">
        <v>7</v>
      </c>
      <c r="NC517" s="27" t="s">
        <v>8</v>
      </c>
      <c r="ND517" s="27" t="s">
        <v>7</v>
      </c>
      <c r="NE517" s="27" t="s">
        <v>8</v>
      </c>
      <c r="NF517" s="27" t="s">
        <v>7</v>
      </c>
      <c r="NG517" s="27" t="s">
        <v>8</v>
      </c>
      <c r="NH517" s="27" t="s">
        <v>7</v>
      </c>
      <c r="NI517" s="27" t="s">
        <v>8</v>
      </c>
      <c r="NT517" s="27" t="s">
        <v>7</v>
      </c>
      <c r="NU517" s="27" t="s">
        <v>8</v>
      </c>
      <c r="OD517" s="27" t="s">
        <v>7</v>
      </c>
      <c r="OE517" s="27" t="s">
        <v>8</v>
      </c>
      <c r="OF517" s="27" t="s">
        <v>7</v>
      </c>
    </row>
    <row r="518" spans="1:407" x14ac:dyDescent="0.25">
      <c r="A518" s="7">
        <v>3.9211355125965079</v>
      </c>
      <c r="B518"/>
      <c r="C518"/>
      <c r="D518"/>
      <c r="E518"/>
      <c r="I518" s="27" t="s">
        <v>8</v>
      </c>
      <c r="K518" s="27" t="s">
        <v>8</v>
      </c>
      <c r="L518" s="27" t="s">
        <v>7</v>
      </c>
      <c r="W518" s="27" t="s">
        <v>8</v>
      </c>
      <c r="BN518" s="27" t="s">
        <v>7</v>
      </c>
      <c r="BO518" s="27" t="s">
        <v>8</v>
      </c>
      <c r="BP518" s="27" t="s">
        <v>7</v>
      </c>
      <c r="BQ518" s="27" t="s">
        <v>8</v>
      </c>
      <c r="BT518" s="27" t="s">
        <v>7</v>
      </c>
      <c r="BX518" s="27" t="s">
        <v>7</v>
      </c>
      <c r="BY518" s="27" t="s">
        <v>8</v>
      </c>
      <c r="BZ518" s="27" t="s">
        <v>7</v>
      </c>
      <c r="CI518" s="27" t="s">
        <v>8</v>
      </c>
      <c r="CK518" s="27" t="s">
        <v>8</v>
      </c>
      <c r="CL518" s="27" t="s">
        <v>7</v>
      </c>
      <c r="DQ518" s="27" t="s">
        <v>8</v>
      </c>
      <c r="DR518" s="27" t="s">
        <v>7</v>
      </c>
      <c r="DS518" s="27" t="s">
        <v>8</v>
      </c>
      <c r="DT518" s="27" t="s">
        <v>7</v>
      </c>
      <c r="DW518" s="27" t="s">
        <v>8</v>
      </c>
      <c r="ED518" s="27" t="s">
        <v>7</v>
      </c>
      <c r="EE518" s="27" t="s">
        <v>8</v>
      </c>
      <c r="EF518" s="27" t="s">
        <v>7</v>
      </c>
      <c r="EH518" s="27" t="s">
        <v>7</v>
      </c>
      <c r="GM518" s="27" t="s">
        <v>8</v>
      </c>
      <c r="IK518" s="27" t="s">
        <v>8</v>
      </c>
      <c r="JA518" s="27" t="s">
        <v>8</v>
      </c>
      <c r="JF518" s="27" t="s">
        <v>7</v>
      </c>
      <c r="JG518" s="27" t="s">
        <v>8</v>
      </c>
      <c r="JH518" s="27" t="s">
        <v>7</v>
      </c>
      <c r="JK518" s="27" t="s">
        <v>8</v>
      </c>
      <c r="JL518" s="27" t="s">
        <v>7</v>
      </c>
      <c r="JM518" s="27" t="s">
        <v>8</v>
      </c>
      <c r="JN518" s="27" t="s">
        <v>7</v>
      </c>
      <c r="JO518" s="27" t="s">
        <v>8</v>
      </c>
      <c r="JP518" s="27" t="s">
        <v>7</v>
      </c>
      <c r="JQ518" s="27" t="s">
        <v>8</v>
      </c>
      <c r="JT518" s="27" t="s">
        <v>7</v>
      </c>
      <c r="JU518" s="27" t="s">
        <v>8</v>
      </c>
      <c r="KZ518" s="27" t="s">
        <v>7</v>
      </c>
      <c r="LA518" s="27" t="s">
        <v>8</v>
      </c>
      <c r="LN518" s="27" t="s">
        <v>7</v>
      </c>
      <c r="LO518" s="27" t="s">
        <v>8</v>
      </c>
      <c r="LP518" s="27" t="s">
        <v>7</v>
      </c>
      <c r="LQ518" s="27" t="s">
        <v>8</v>
      </c>
      <c r="LR518" s="27" t="s">
        <v>7</v>
      </c>
      <c r="LS518" s="27" t="s">
        <v>8</v>
      </c>
      <c r="LT518" s="27" t="s">
        <v>7</v>
      </c>
      <c r="LU518" s="27" t="s">
        <v>8</v>
      </c>
      <c r="LV518" s="27" t="s">
        <v>7</v>
      </c>
      <c r="LW518" s="27" t="s">
        <v>8</v>
      </c>
      <c r="LX518" s="27" t="s">
        <v>7</v>
      </c>
      <c r="LY518" s="27" t="s">
        <v>8</v>
      </c>
      <c r="LZ518" s="27" t="s">
        <v>7</v>
      </c>
      <c r="MA518" s="27" t="s">
        <v>8</v>
      </c>
      <c r="MB518" s="27" t="s">
        <v>7</v>
      </c>
      <c r="MG518" s="27" t="s">
        <v>8</v>
      </c>
      <c r="MI518" s="27" t="s">
        <v>8</v>
      </c>
      <c r="MJ518" s="27" t="s">
        <v>7</v>
      </c>
      <c r="NB518" s="27" t="s">
        <v>7</v>
      </c>
      <c r="NC518" s="27" t="s">
        <v>8</v>
      </c>
      <c r="ND518" s="27" t="s">
        <v>7</v>
      </c>
      <c r="NE518" s="27" t="s">
        <v>8</v>
      </c>
      <c r="NF518" s="27" t="s">
        <v>7</v>
      </c>
      <c r="NG518" s="27" t="s">
        <v>8</v>
      </c>
      <c r="NH518" s="27" t="s">
        <v>7</v>
      </c>
      <c r="NI518" s="27" t="s">
        <v>8</v>
      </c>
      <c r="NT518" s="27" t="s">
        <v>7</v>
      </c>
      <c r="OD518" s="27" t="s">
        <v>7</v>
      </c>
      <c r="OE518" s="27" t="s">
        <v>8</v>
      </c>
      <c r="OF518" s="27" t="s">
        <v>7</v>
      </c>
    </row>
    <row r="519" spans="1:407" x14ac:dyDescent="0.25">
      <c r="A519" s="7">
        <v>3.844250502545596</v>
      </c>
      <c r="B519"/>
      <c r="C519"/>
      <c r="D519"/>
      <c r="E519"/>
      <c r="I519" s="27" t="s">
        <v>8</v>
      </c>
      <c r="J519" s="27" t="s">
        <v>7</v>
      </c>
      <c r="K519" s="27" t="s">
        <v>8</v>
      </c>
      <c r="L519" s="27" t="s">
        <v>7</v>
      </c>
      <c r="Q519" s="27" t="s">
        <v>8</v>
      </c>
      <c r="U519" s="27" t="s">
        <v>8</v>
      </c>
      <c r="W519" s="27" t="s">
        <v>8</v>
      </c>
      <c r="BN519" s="27" t="s">
        <v>7</v>
      </c>
      <c r="BO519" s="27" t="s">
        <v>8</v>
      </c>
      <c r="BP519" s="27" t="s">
        <v>7</v>
      </c>
      <c r="BX519" s="27" t="s">
        <v>7</v>
      </c>
      <c r="BZ519" s="27" t="s">
        <v>7</v>
      </c>
      <c r="CI519" s="27" t="s">
        <v>8</v>
      </c>
      <c r="CJ519" s="27" t="s">
        <v>7</v>
      </c>
      <c r="CK519" s="27" t="s">
        <v>8</v>
      </c>
      <c r="CL519" s="27" t="s">
        <v>7</v>
      </c>
      <c r="DQ519" s="27" t="s">
        <v>8</v>
      </c>
      <c r="DR519" s="27" t="s">
        <v>7</v>
      </c>
      <c r="DS519" s="27" t="s">
        <v>8</v>
      </c>
      <c r="DT519" s="27" t="s">
        <v>7</v>
      </c>
      <c r="DW519" s="27" t="s">
        <v>8</v>
      </c>
      <c r="ED519" s="27" t="s">
        <v>7</v>
      </c>
      <c r="EE519" s="27" t="s">
        <v>8</v>
      </c>
      <c r="EH519" s="27" t="s">
        <v>7</v>
      </c>
      <c r="EK519" s="27" t="s">
        <v>8</v>
      </c>
      <c r="GM519" s="27" t="s">
        <v>8</v>
      </c>
      <c r="GN519" s="27" t="s">
        <v>7</v>
      </c>
      <c r="HS519" s="27" t="s">
        <v>8</v>
      </c>
      <c r="IK519" s="27" t="s">
        <v>8</v>
      </c>
      <c r="IL519" s="27" t="s">
        <v>7</v>
      </c>
      <c r="JA519" s="27" t="s">
        <v>8</v>
      </c>
      <c r="JF519" s="27" t="s">
        <v>7</v>
      </c>
      <c r="JG519" s="27" t="s">
        <v>8</v>
      </c>
      <c r="JH519" s="27" t="s">
        <v>7</v>
      </c>
      <c r="JK519" s="27" t="s">
        <v>8</v>
      </c>
      <c r="JL519" s="27" t="s">
        <v>7</v>
      </c>
      <c r="JM519" s="27" t="s">
        <v>8</v>
      </c>
      <c r="JN519" s="27" t="s">
        <v>7</v>
      </c>
      <c r="JO519" s="27" t="s">
        <v>8</v>
      </c>
      <c r="JP519" s="27" t="s">
        <v>7</v>
      </c>
      <c r="JQ519" s="27" t="s">
        <v>8</v>
      </c>
      <c r="JT519" s="27" t="s">
        <v>7</v>
      </c>
      <c r="JU519" s="27" t="s">
        <v>8</v>
      </c>
      <c r="KZ519" s="27" t="s">
        <v>7</v>
      </c>
      <c r="LA519" s="27" t="s">
        <v>8</v>
      </c>
      <c r="LN519" s="27" t="s">
        <v>7</v>
      </c>
      <c r="LO519" s="27" t="s">
        <v>8</v>
      </c>
      <c r="LP519" s="27" t="s">
        <v>7</v>
      </c>
      <c r="LQ519" s="27" t="s">
        <v>8</v>
      </c>
      <c r="LR519" s="27" t="s">
        <v>7</v>
      </c>
      <c r="LT519" s="27" t="s">
        <v>7</v>
      </c>
      <c r="LU519" s="27" t="s">
        <v>8</v>
      </c>
      <c r="LV519" s="27" t="s">
        <v>7</v>
      </c>
      <c r="LW519" s="27" t="s">
        <v>8</v>
      </c>
      <c r="LX519" s="27" t="s">
        <v>7</v>
      </c>
      <c r="LY519" s="27" t="s">
        <v>8</v>
      </c>
      <c r="LZ519" s="27" t="s">
        <v>7</v>
      </c>
      <c r="MB519" s="27" t="s">
        <v>7</v>
      </c>
      <c r="MC519" s="27" t="s">
        <v>8</v>
      </c>
      <c r="MG519" s="27" t="s">
        <v>8</v>
      </c>
      <c r="MH519" s="27" t="s">
        <v>7</v>
      </c>
      <c r="MI519" s="27" t="s">
        <v>8</v>
      </c>
      <c r="NB519" s="27" t="s">
        <v>7</v>
      </c>
      <c r="ND519" s="27" t="s">
        <v>7</v>
      </c>
      <c r="NF519" s="27" t="s">
        <v>7</v>
      </c>
      <c r="NG519" s="27" t="s">
        <v>8</v>
      </c>
      <c r="NH519" s="27" t="s">
        <v>7</v>
      </c>
      <c r="NI519" s="27" t="s">
        <v>8</v>
      </c>
      <c r="OD519" s="27" t="s">
        <v>7</v>
      </c>
      <c r="OE519" s="27" t="s">
        <v>8</v>
      </c>
      <c r="OF519" s="27" t="s">
        <v>7</v>
      </c>
      <c r="OG519" s="27" t="s">
        <v>8</v>
      </c>
    </row>
    <row r="520" spans="1:407" x14ac:dyDescent="0.25">
      <c r="A520" s="7">
        <v>3.7688730417113687</v>
      </c>
      <c r="B520"/>
      <c r="C520"/>
      <c r="D520"/>
      <c r="E520"/>
      <c r="I520" s="27" t="s">
        <v>8</v>
      </c>
      <c r="J520" s="27" t="s">
        <v>7</v>
      </c>
      <c r="K520" s="27" t="s">
        <v>8</v>
      </c>
      <c r="L520" s="27" t="s">
        <v>7</v>
      </c>
      <c r="Q520" s="27" t="s">
        <v>8</v>
      </c>
      <c r="R520" s="27" t="s">
        <v>7</v>
      </c>
      <c r="S520" s="27" t="s">
        <v>8</v>
      </c>
      <c r="U520" s="27" t="s">
        <v>8</v>
      </c>
      <c r="V520" s="27" t="s">
        <v>7</v>
      </c>
      <c r="W520" s="27" t="s">
        <v>8</v>
      </c>
      <c r="BN520" s="27" t="s">
        <v>7</v>
      </c>
      <c r="BO520" s="27" t="s">
        <v>8</v>
      </c>
      <c r="BZ520" s="27" t="s">
        <v>7</v>
      </c>
      <c r="CA520" s="27" t="s">
        <v>8</v>
      </c>
      <c r="CC520" s="27" t="s">
        <v>8</v>
      </c>
      <c r="CI520" s="27" t="s">
        <v>8</v>
      </c>
      <c r="CJ520" s="27" t="s">
        <v>7</v>
      </c>
      <c r="CK520" s="27" t="s">
        <v>8</v>
      </c>
      <c r="CL520" s="27" t="s">
        <v>7</v>
      </c>
      <c r="DQ520" s="27" t="s">
        <v>8</v>
      </c>
      <c r="DR520" s="27" t="s">
        <v>7</v>
      </c>
      <c r="DS520" s="27" t="s">
        <v>8</v>
      </c>
      <c r="DT520" s="27" t="s">
        <v>7</v>
      </c>
      <c r="DW520" s="27" t="s">
        <v>8</v>
      </c>
      <c r="ED520" s="27" t="s">
        <v>7</v>
      </c>
      <c r="EE520" s="27" t="s">
        <v>8</v>
      </c>
      <c r="EH520" s="27" t="s">
        <v>7</v>
      </c>
      <c r="EK520" s="27" t="s">
        <v>8</v>
      </c>
      <c r="EL520" s="27" t="s">
        <v>7</v>
      </c>
      <c r="GM520" s="27" t="s">
        <v>8</v>
      </c>
      <c r="GN520" s="27" t="s">
        <v>7</v>
      </c>
      <c r="HS520" s="27" t="s">
        <v>8</v>
      </c>
      <c r="HT520" s="27" t="s">
        <v>7</v>
      </c>
      <c r="IK520" s="27" t="s">
        <v>8</v>
      </c>
      <c r="IL520" s="27" t="s">
        <v>7</v>
      </c>
      <c r="JA520" s="27" t="s">
        <v>8</v>
      </c>
      <c r="JF520" s="27" t="s">
        <v>7</v>
      </c>
      <c r="JG520" s="27" t="s">
        <v>8</v>
      </c>
      <c r="JH520" s="27" t="s">
        <v>7</v>
      </c>
      <c r="JI520" s="27" t="s">
        <v>8</v>
      </c>
      <c r="JK520" s="27" t="s">
        <v>8</v>
      </c>
      <c r="JL520" s="27" t="s">
        <v>7</v>
      </c>
      <c r="JM520" s="27" t="s">
        <v>8</v>
      </c>
      <c r="JN520" s="27" t="s">
        <v>7</v>
      </c>
      <c r="JO520" s="27" t="s">
        <v>8</v>
      </c>
      <c r="JP520" s="27" t="s">
        <v>7</v>
      </c>
      <c r="JQ520" s="27" t="s">
        <v>8</v>
      </c>
      <c r="JT520" s="27" t="s">
        <v>7</v>
      </c>
      <c r="JU520" s="27" t="s">
        <v>8</v>
      </c>
      <c r="KZ520" s="27" t="s">
        <v>7</v>
      </c>
      <c r="LA520" s="27" t="s">
        <v>8</v>
      </c>
      <c r="LN520" s="27" t="s">
        <v>7</v>
      </c>
      <c r="LO520" s="27" t="s">
        <v>8</v>
      </c>
      <c r="LP520" s="27" t="s">
        <v>7</v>
      </c>
      <c r="LQ520" s="27" t="s">
        <v>8</v>
      </c>
      <c r="LT520" s="27" t="s">
        <v>7</v>
      </c>
      <c r="LV520" s="27" t="s">
        <v>7</v>
      </c>
      <c r="LX520" s="27" t="s">
        <v>7</v>
      </c>
      <c r="LY520" s="27" t="s">
        <v>8</v>
      </c>
      <c r="MB520" s="27" t="s">
        <v>7</v>
      </c>
      <c r="MC520" s="27" t="s">
        <v>8</v>
      </c>
      <c r="MD520" s="27" t="s">
        <v>7</v>
      </c>
      <c r="ME520" s="27" t="s">
        <v>8</v>
      </c>
      <c r="MG520" s="27" t="s">
        <v>8</v>
      </c>
      <c r="MH520" s="27" t="s">
        <v>7</v>
      </c>
      <c r="MI520" s="27" t="s">
        <v>8</v>
      </c>
      <c r="NF520" s="27" t="s">
        <v>7</v>
      </c>
      <c r="NG520" s="27" t="s">
        <v>8</v>
      </c>
      <c r="NH520" s="27" t="s">
        <v>7</v>
      </c>
      <c r="NI520" s="27" t="s">
        <v>8</v>
      </c>
      <c r="OD520" s="27" t="s">
        <v>7</v>
      </c>
      <c r="OE520" s="27" t="s">
        <v>8</v>
      </c>
      <c r="OF520" s="27" t="s">
        <v>7</v>
      </c>
      <c r="OG520" s="27" t="s">
        <v>8</v>
      </c>
      <c r="OH520" s="27" t="s">
        <v>7</v>
      </c>
    </row>
    <row r="521" spans="1:407" x14ac:dyDescent="0.25">
      <c r="A521" s="7">
        <v>3.6949735703052635</v>
      </c>
      <c r="B521"/>
      <c r="C521"/>
      <c r="D521"/>
      <c r="E521"/>
      <c r="I521" s="27" t="s">
        <v>8</v>
      </c>
      <c r="J521" s="27" t="s">
        <v>7</v>
      </c>
      <c r="L521" s="27" t="s">
        <v>7</v>
      </c>
      <c r="Q521" s="27" t="s">
        <v>8</v>
      </c>
      <c r="R521" s="27" t="s">
        <v>7</v>
      </c>
      <c r="S521" s="27" t="s">
        <v>8</v>
      </c>
      <c r="T521" s="27" t="s">
        <v>7</v>
      </c>
      <c r="U521" s="27" t="s">
        <v>8</v>
      </c>
      <c r="V521" s="27" t="s">
        <v>7</v>
      </c>
      <c r="W521" s="27" t="s">
        <v>8</v>
      </c>
      <c r="BN521" s="27" t="s">
        <v>7</v>
      </c>
      <c r="BO521" s="27" t="s">
        <v>8</v>
      </c>
      <c r="BZ521" s="27" t="s">
        <v>7</v>
      </c>
      <c r="CA521" s="27" t="s">
        <v>8</v>
      </c>
      <c r="CB521" s="27" t="s">
        <v>7</v>
      </c>
      <c r="CC521" s="27" t="s">
        <v>8</v>
      </c>
      <c r="CD521" s="27" t="s">
        <v>7</v>
      </c>
      <c r="CI521" s="27" t="s">
        <v>8</v>
      </c>
      <c r="CJ521" s="27" t="s">
        <v>7</v>
      </c>
      <c r="CL521" s="27" t="s">
        <v>7</v>
      </c>
      <c r="DQ521" s="27" t="s">
        <v>8</v>
      </c>
      <c r="DR521" s="27" t="s">
        <v>7</v>
      </c>
      <c r="DS521" s="27" t="s">
        <v>8</v>
      </c>
      <c r="DT521" s="27" t="s">
        <v>7</v>
      </c>
      <c r="DU521" s="27" t="s">
        <v>8</v>
      </c>
      <c r="DW521" s="27" t="s">
        <v>8</v>
      </c>
      <c r="ED521" s="27" t="s">
        <v>7</v>
      </c>
      <c r="EE521" s="27" t="s">
        <v>8</v>
      </c>
      <c r="EH521" s="27" t="s">
        <v>7</v>
      </c>
      <c r="EI521" s="27" t="s">
        <v>8</v>
      </c>
      <c r="EK521" s="27" t="s">
        <v>8</v>
      </c>
      <c r="EL521" s="27" t="s">
        <v>7</v>
      </c>
      <c r="GM521" s="27" t="s">
        <v>8</v>
      </c>
      <c r="GN521" s="27" t="s">
        <v>7</v>
      </c>
      <c r="HS521" s="27" t="s">
        <v>8</v>
      </c>
      <c r="HT521" s="27" t="s">
        <v>7</v>
      </c>
      <c r="IK521" s="27" t="s">
        <v>8</v>
      </c>
      <c r="IL521" s="27" t="s">
        <v>7</v>
      </c>
      <c r="JA521" s="27" t="s">
        <v>8</v>
      </c>
      <c r="JF521" s="27" t="s">
        <v>7</v>
      </c>
      <c r="JG521" s="27" t="s">
        <v>8</v>
      </c>
      <c r="JH521" s="27" t="s">
        <v>7</v>
      </c>
      <c r="JI521" s="27" t="s">
        <v>8</v>
      </c>
      <c r="JJ521" s="27" t="s">
        <v>7</v>
      </c>
      <c r="JK521" s="27" t="s">
        <v>8</v>
      </c>
      <c r="JL521" s="27" t="s">
        <v>7</v>
      </c>
      <c r="JM521" s="27" t="s">
        <v>8</v>
      </c>
      <c r="JN521" s="27" t="s">
        <v>7</v>
      </c>
      <c r="JP521" s="27" t="s">
        <v>7</v>
      </c>
      <c r="JT521" s="27" t="s">
        <v>7</v>
      </c>
      <c r="JU521" s="27" t="s">
        <v>8</v>
      </c>
      <c r="KZ521" s="27" t="s">
        <v>7</v>
      </c>
      <c r="LA521" s="27" t="s">
        <v>8</v>
      </c>
      <c r="LN521" s="27" t="s">
        <v>7</v>
      </c>
      <c r="LO521" s="27" t="s">
        <v>8</v>
      </c>
      <c r="LP521" s="27" t="s">
        <v>7</v>
      </c>
      <c r="LQ521" s="27" t="s">
        <v>8</v>
      </c>
      <c r="LX521" s="27" t="s">
        <v>7</v>
      </c>
      <c r="LY521" s="27" t="s">
        <v>8</v>
      </c>
      <c r="MB521" s="27" t="s">
        <v>7</v>
      </c>
      <c r="MC521" s="27" t="s">
        <v>8</v>
      </c>
      <c r="MD521" s="27" t="s">
        <v>7</v>
      </c>
      <c r="ME521" s="27" t="s">
        <v>8</v>
      </c>
      <c r="MF521" s="27" t="s">
        <v>7</v>
      </c>
      <c r="MG521" s="27" t="s">
        <v>8</v>
      </c>
      <c r="MH521" s="27" t="s">
        <v>7</v>
      </c>
      <c r="MI521" s="27" t="s">
        <v>8</v>
      </c>
      <c r="NF521" s="27" t="s">
        <v>7</v>
      </c>
      <c r="NH521" s="27" t="s">
        <v>7</v>
      </c>
      <c r="OD521" s="27" t="s">
        <v>7</v>
      </c>
      <c r="OF521" s="27" t="s">
        <v>7</v>
      </c>
      <c r="OG521" s="27" t="s">
        <v>8</v>
      </c>
      <c r="OH521" s="27" t="s">
        <v>7</v>
      </c>
    </row>
    <row r="522" spans="1:407" x14ac:dyDescent="0.25">
      <c r="A522" s="7">
        <v>3.6225231081424152</v>
      </c>
      <c r="B522"/>
      <c r="C522"/>
      <c r="D522"/>
      <c r="E522"/>
      <c r="I522" s="27" t="s">
        <v>8</v>
      </c>
      <c r="L522" s="27" t="s">
        <v>7</v>
      </c>
      <c r="O522" s="27" t="s">
        <v>8</v>
      </c>
      <c r="Q522" s="27" t="s">
        <v>8</v>
      </c>
      <c r="R522" s="27" t="s">
        <v>7</v>
      </c>
      <c r="S522" s="27" t="s">
        <v>8</v>
      </c>
      <c r="T522" s="27" t="s">
        <v>7</v>
      </c>
      <c r="U522" s="27" t="s">
        <v>8</v>
      </c>
      <c r="V522" s="27" t="s">
        <v>7</v>
      </c>
      <c r="W522" s="27" t="s">
        <v>8</v>
      </c>
      <c r="BN522" s="27" t="s">
        <v>7</v>
      </c>
      <c r="BO522" s="27" t="s">
        <v>8</v>
      </c>
      <c r="BZ522" s="27" t="s">
        <v>7</v>
      </c>
      <c r="CA522" s="27" t="s">
        <v>8</v>
      </c>
      <c r="CB522" s="27" t="s">
        <v>7</v>
      </c>
      <c r="CC522" s="27" t="s">
        <v>8</v>
      </c>
      <c r="CD522" s="27" t="s">
        <v>7</v>
      </c>
      <c r="CI522" s="27" t="s">
        <v>8</v>
      </c>
      <c r="CL522" s="27" t="s">
        <v>7</v>
      </c>
      <c r="DC522" s="27" t="s">
        <v>8</v>
      </c>
      <c r="DE522" s="27" t="s">
        <v>8</v>
      </c>
      <c r="DQ522" s="27" t="s">
        <v>8</v>
      </c>
      <c r="DR522" s="27" t="s">
        <v>7</v>
      </c>
      <c r="DS522" s="27" t="s">
        <v>8</v>
      </c>
      <c r="DT522" s="27" t="s">
        <v>7</v>
      </c>
      <c r="DU522" s="27" t="s">
        <v>8</v>
      </c>
      <c r="DV522" s="27" t="s">
        <v>7</v>
      </c>
      <c r="DW522" s="27" t="s">
        <v>8</v>
      </c>
      <c r="ED522" s="27" t="s">
        <v>7</v>
      </c>
      <c r="EH522" s="27" t="s">
        <v>7</v>
      </c>
      <c r="EI522" s="27" t="s">
        <v>8</v>
      </c>
      <c r="EJ522" s="27" t="s">
        <v>7</v>
      </c>
      <c r="EK522" s="27" t="s">
        <v>8</v>
      </c>
      <c r="EL522" s="27" t="s">
        <v>7</v>
      </c>
      <c r="GM522" s="27" t="s">
        <v>8</v>
      </c>
      <c r="GN522" s="27" t="s">
        <v>7</v>
      </c>
      <c r="GO522" s="27" t="s">
        <v>8</v>
      </c>
      <c r="HS522" s="27" t="s">
        <v>8</v>
      </c>
      <c r="HT522" s="27" t="s">
        <v>7</v>
      </c>
      <c r="IK522" s="27" t="s">
        <v>8</v>
      </c>
      <c r="IL522" s="27" t="s">
        <v>7</v>
      </c>
      <c r="JA522" s="27" t="s">
        <v>8</v>
      </c>
      <c r="JF522" s="27" t="s">
        <v>7</v>
      </c>
      <c r="JG522" s="27" t="s">
        <v>8</v>
      </c>
      <c r="JH522" s="27" t="s">
        <v>7</v>
      </c>
      <c r="JI522" s="27" t="s">
        <v>8</v>
      </c>
      <c r="JJ522" s="27" t="s">
        <v>7</v>
      </c>
      <c r="JK522" s="27" t="s">
        <v>8</v>
      </c>
      <c r="JL522" s="27" t="s">
        <v>7</v>
      </c>
      <c r="JT522" s="27" t="s">
        <v>7</v>
      </c>
      <c r="JU522" s="27" t="s">
        <v>8</v>
      </c>
      <c r="KZ522" s="27" t="s">
        <v>7</v>
      </c>
      <c r="LN522" s="27" t="s">
        <v>7</v>
      </c>
      <c r="LO522" s="27" t="s">
        <v>8</v>
      </c>
      <c r="LP522" s="27" t="s">
        <v>7</v>
      </c>
      <c r="LQ522" s="27" t="s">
        <v>8</v>
      </c>
      <c r="LX522" s="27" t="s">
        <v>7</v>
      </c>
      <c r="LY522" s="27" t="s">
        <v>8</v>
      </c>
      <c r="MB522" s="27" t="s">
        <v>7</v>
      </c>
      <c r="MD522" s="27" t="s">
        <v>7</v>
      </c>
      <c r="ME522" s="27" t="s">
        <v>8</v>
      </c>
      <c r="MF522" s="27" t="s">
        <v>7</v>
      </c>
      <c r="MG522" s="27" t="s">
        <v>8</v>
      </c>
      <c r="MH522" s="27" t="s">
        <v>7</v>
      </c>
      <c r="OF522" s="27" t="s">
        <v>7</v>
      </c>
      <c r="OG522" s="27" t="s">
        <v>8</v>
      </c>
      <c r="OH522" s="27" t="s">
        <v>7</v>
      </c>
    </row>
    <row r="523" spans="1:407" x14ac:dyDescent="0.25">
      <c r="A523" s="7">
        <v>3.5514932432768775</v>
      </c>
      <c r="B523"/>
      <c r="C523"/>
      <c r="D523"/>
      <c r="E523"/>
      <c r="I523" s="27" t="s">
        <v>8</v>
      </c>
      <c r="L523" s="27" t="s">
        <v>7</v>
      </c>
      <c r="M523" s="27" t="s">
        <v>8</v>
      </c>
      <c r="O523" s="27" t="s">
        <v>8</v>
      </c>
      <c r="P523" s="27" t="s">
        <v>7</v>
      </c>
      <c r="Q523" s="27" t="s">
        <v>8</v>
      </c>
      <c r="R523" s="27" t="s">
        <v>7</v>
      </c>
      <c r="T523" s="27" t="s">
        <v>7</v>
      </c>
      <c r="U523" s="27" t="s">
        <v>8</v>
      </c>
      <c r="V523" s="27" t="s">
        <v>7</v>
      </c>
      <c r="BN523" s="27" t="s">
        <v>7</v>
      </c>
      <c r="BO523" s="27" t="s">
        <v>8</v>
      </c>
      <c r="BZ523" s="27" t="s">
        <v>7</v>
      </c>
      <c r="CA523" s="27" t="s">
        <v>8</v>
      </c>
      <c r="CB523" s="27" t="s">
        <v>7</v>
      </c>
      <c r="CC523" s="27" t="s">
        <v>8</v>
      </c>
      <c r="CD523" s="27" t="s">
        <v>7</v>
      </c>
      <c r="CI523" s="27" t="s">
        <v>8</v>
      </c>
      <c r="CL523" s="27" t="s">
        <v>7</v>
      </c>
      <c r="DC523" s="27" t="s">
        <v>8</v>
      </c>
      <c r="DD523" s="27" t="s">
        <v>7</v>
      </c>
      <c r="DE523" s="27" t="s">
        <v>8</v>
      </c>
      <c r="DF523" s="27" t="s">
        <v>7</v>
      </c>
      <c r="DQ523" s="27" t="s">
        <v>8</v>
      </c>
      <c r="DR523" s="27" t="s">
        <v>7</v>
      </c>
      <c r="DT523" s="27" t="s">
        <v>7</v>
      </c>
      <c r="DU523" s="27" t="s">
        <v>8</v>
      </c>
      <c r="DV523" s="27" t="s">
        <v>7</v>
      </c>
      <c r="DW523" s="27" t="s">
        <v>8</v>
      </c>
      <c r="EH523" s="27" t="s">
        <v>7</v>
      </c>
      <c r="EI523" s="27" t="s">
        <v>8</v>
      </c>
      <c r="EJ523" s="27" t="s">
        <v>7</v>
      </c>
      <c r="EK523" s="27" t="s">
        <v>8</v>
      </c>
      <c r="EL523" s="27" t="s">
        <v>7</v>
      </c>
      <c r="GM523" s="27" t="s">
        <v>8</v>
      </c>
      <c r="GN523" s="27" t="s">
        <v>7</v>
      </c>
      <c r="GO523" s="27" t="s">
        <v>8</v>
      </c>
      <c r="GP523" s="27" t="s">
        <v>7</v>
      </c>
      <c r="HS523" s="27" t="s">
        <v>8</v>
      </c>
      <c r="HT523" s="27" t="s">
        <v>7</v>
      </c>
      <c r="IK523" s="27" t="s">
        <v>8</v>
      </c>
      <c r="IL523" s="27" t="s">
        <v>7</v>
      </c>
      <c r="JA523" s="27" t="s">
        <v>8</v>
      </c>
      <c r="JF523" s="27" t="s">
        <v>7</v>
      </c>
      <c r="JG523" s="27" t="s">
        <v>8</v>
      </c>
      <c r="JH523" s="27" t="s">
        <v>7</v>
      </c>
      <c r="JI523" s="27" t="s">
        <v>8</v>
      </c>
      <c r="JJ523" s="27" t="s">
        <v>7</v>
      </c>
      <c r="JK523" s="27" t="s">
        <v>8</v>
      </c>
      <c r="JT523" s="27" t="s">
        <v>7</v>
      </c>
      <c r="JU523" s="27" t="s">
        <v>8</v>
      </c>
      <c r="LN523" s="27" t="s">
        <v>7</v>
      </c>
      <c r="LO523" s="27" t="s">
        <v>8</v>
      </c>
      <c r="LP523" s="27" t="s">
        <v>7</v>
      </c>
      <c r="LQ523" s="27" t="s">
        <v>8</v>
      </c>
      <c r="LX523" s="27" t="s">
        <v>7</v>
      </c>
      <c r="LY523" s="27" t="s">
        <v>8</v>
      </c>
      <c r="MD523" s="27" t="s">
        <v>7</v>
      </c>
      <c r="MF523" s="27" t="s">
        <v>7</v>
      </c>
      <c r="MG523" s="27" t="s">
        <v>8</v>
      </c>
      <c r="OF523" s="27" t="s">
        <v>7</v>
      </c>
      <c r="OG523" s="27" t="s">
        <v>8</v>
      </c>
      <c r="OH523" s="27" t="s">
        <v>7</v>
      </c>
    </row>
    <row r="524" spans="1:407" x14ac:dyDescent="0.25">
      <c r="A524" s="7">
        <v>3.4818561208596837</v>
      </c>
      <c r="B524"/>
      <c r="C524"/>
      <c r="D524"/>
      <c r="E524"/>
      <c r="I524" s="27" t="s">
        <v>8</v>
      </c>
      <c r="L524" s="27" t="s">
        <v>7</v>
      </c>
      <c r="M524" s="27" t="s">
        <v>8</v>
      </c>
      <c r="N524" s="27" t="s">
        <v>7</v>
      </c>
      <c r="O524" s="27" t="s">
        <v>8</v>
      </c>
      <c r="P524" s="27" t="s">
        <v>7</v>
      </c>
      <c r="Q524" s="27" t="s">
        <v>8</v>
      </c>
      <c r="T524" s="27" t="s">
        <v>7</v>
      </c>
      <c r="BN524" s="27" t="s">
        <v>7</v>
      </c>
      <c r="BO524" s="27" t="s">
        <v>8</v>
      </c>
      <c r="BZ524" s="27" t="s">
        <v>7</v>
      </c>
      <c r="CB524" s="27" t="s">
        <v>7</v>
      </c>
      <c r="CC524" s="27" t="s">
        <v>8</v>
      </c>
      <c r="CD524" s="27" t="s">
        <v>7</v>
      </c>
      <c r="CI524" s="27" t="s">
        <v>8</v>
      </c>
      <c r="CL524" s="27" t="s">
        <v>7</v>
      </c>
      <c r="CY524" s="27" t="s">
        <v>8</v>
      </c>
      <c r="DA524" s="27" t="s">
        <v>8</v>
      </c>
      <c r="DC524" s="27" t="s">
        <v>8</v>
      </c>
      <c r="DD524" s="27" t="s">
        <v>7</v>
      </c>
      <c r="DE524" s="27" t="s">
        <v>8</v>
      </c>
      <c r="DF524" s="27" t="s">
        <v>7</v>
      </c>
      <c r="DQ524" s="27" t="s">
        <v>8</v>
      </c>
      <c r="DT524" s="27" t="s">
        <v>7</v>
      </c>
      <c r="DV524" s="27" t="s">
        <v>7</v>
      </c>
      <c r="DW524" s="27" t="s">
        <v>8</v>
      </c>
      <c r="EH524" s="27" t="s">
        <v>7</v>
      </c>
      <c r="EI524" s="27" t="s">
        <v>8</v>
      </c>
      <c r="EJ524" s="27" t="s">
        <v>7</v>
      </c>
      <c r="EK524" s="27" t="s">
        <v>8</v>
      </c>
      <c r="EL524" s="27" t="s">
        <v>7</v>
      </c>
      <c r="GG524" s="27" t="s">
        <v>8</v>
      </c>
      <c r="GM524" s="27" t="s">
        <v>8</v>
      </c>
      <c r="GN524" s="27" t="s">
        <v>7</v>
      </c>
      <c r="GO524" s="27" t="s">
        <v>8</v>
      </c>
      <c r="GP524" s="27" t="s">
        <v>7</v>
      </c>
      <c r="GU524" s="27" t="s">
        <v>8</v>
      </c>
      <c r="HS524" s="27" t="s">
        <v>8</v>
      </c>
      <c r="HT524" s="27" t="s">
        <v>7</v>
      </c>
      <c r="IK524" s="27" t="s">
        <v>8</v>
      </c>
      <c r="IL524" s="27" t="s">
        <v>7</v>
      </c>
      <c r="JA524" s="27" t="s">
        <v>8</v>
      </c>
      <c r="JF524" s="27" t="s">
        <v>7</v>
      </c>
      <c r="JG524" s="27" t="s">
        <v>8</v>
      </c>
      <c r="JH524" s="27" t="s">
        <v>7</v>
      </c>
      <c r="JI524" s="27" t="s">
        <v>8</v>
      </c>
      <c r="JJ524" s="27" t="s">
        <v>7</v>
      </c>
      <c r="JK524" s="27" t="s">
        <v>8</v>
      </c>
      <c r="JT524" s="27" t="s">
        <v>7</v>
      </c>
      <c r="LN524" s="27" t="s">
        <v>7</v>
      </c>
      <c r="LO524" s="27" t="s">
        <v>8</v>
      </c>
      <c r="LP524" s="27" t="s">
        <v>7</v>
      </c>
      <c r="LQ524" s="27" t="s">
        <v>8</v>
      </c>
      <c r="LX524" s="27" t="s">
        <v>7</v>
      </c>
      <c r="MF524" s="27" t="s">
        <v>7</v>
      </c>
      <c r="MG524" s="27" t="s">
        <v>8</v>
      </c>
      <c r="OF524" s="27" t="s">
        <v>7</v>
      </c>
      <c r="OG524" s="27" t="s">
        <v>8</v>
      </c>
      <c r="OH524" s="27" t="s">
        <v>7</v>
      </c>
      <c r="OI524" s="27" t="s">
        <v>8</v>
      </c>
      <c r="OK524" s="27" t="s">
        <v>8</v>
      </c>
      <c r="OO524" s="27" t="s">
        <v>8</v>
      </c>
    </row>
    <row r="525" spans="1:407" x14ac:dyDescent="0.25">
      <c r="A525" s="7">
        <v>3.4135844322153761</v>
      </c>
      <c r="B525"/>
      <c r="C525"/>
      <c r="D525"/>
      <c r="E525"/>
      <c r="I525" s="27" t="s">
        <v>8</v>
      </c>
      <c r="L525" s="27" t="s">
        <v>7</v>
      </c>
      <c r="M525" s="27" t="s">
        <v>8</v>
      </c>
      <c r="N525" s="27" t="s">
        <v>7</v>
      </c>
      <c r="O525" s="27" t="s">
        <v>8</v>
      </c>
      <c r="P525" s="27" t="s">
        <v>7</v>
      </c>
      <c r="Q525" s="27" t="s">
        <v>8</v>
      </c>
      <c r="BN525" s="27" t="s">
        <v>7</v>
      </c>
      <c r="BO525" s="27" t="s">
        <v>8</v>
      </c>
      <c r="CB525" s="27" t="s">
        <v>7</v>
      </c>
      <c r="CD525" s="27" t="s">
        <v>7</v>
      </c>
      <c r="CG525" s="27" t="s">
        <v>8</v>
      </c>
      <c r="CI525" s="27" t="s">
        <v>8</v>
      </c>
      <c r="CL525" s="27" t="s">
        <v>7</v>
      </c>
      <c r="CY525" s="27" t="s">
        <v>8</v>
      </c>
      <c r="CZ525" s="27" t="s">
        <v>7</v>
      </c>
      <c r="DA525" s="27" t="s">
        <v>8</v>
      </c>
      <c r="DB525" s="27" t="s">
        <v>7</v>
      </c>
      <c r="DC525" s="27" t="s">
        <v>8</v>
      </c>
      <c r="DD525" s="27" t="s">
        <v>7</v>
      </c>
      <c r="DE525" s="27" t="s">
        <v>8</v>
      </c>
      <c r="DF525" s="27" t="s">
        <v>7</v>
      </c>
      <c r="DQ525" s="27" t="s">
        <v>8</v>
      </c>
      <c r="DV525" s="27" t="s">
        <v>7</v>
      </c>
      <c r="EH525" s="27" t="s">
        <v>7</v>
      </c>
      <c r="EI525" s="27" t="s">
        <v>8</v>
      </c>
      <c r="EJ525" s="27" t="s">
        <v>7</v>
      </c>
      <c r="EL525" s="27" t="s">
        <v>7</v>
      </c>
      <c r="GG525" s="27" t="s">
        <v>8</v>
      </c>
      <c r="GH525" s="27" t="s">
        <v>7</v>
      </c>
      <c r="GM525" s="27" t="s">
        <v>8</v>
      </c>
      <c r="GN525" s="27" t="s">
        <v>7</v>
      </c>
      <c r="GO525" s="27" t="s">
        <v>8</v>
      </c>
      <c r="GP525" s="27" t="s">
        <v>7</v>
      </c>
      <c r="GQ525" s="27" t="s">
        <v>8</v>
      </c>
      <c r="GU525" s="27" t="s">
        <v>8</v>
      </c>
      <c r="GV525" s="27" t="s">
        <v>7</v>
      </c>
      <c r="HS525" s="27" t="s">
        <v>8</v>
      </c>
      <c r="HT525" s="27" t="s">
        <v>7</v>
      </c>
      <c r="II525" s="27" t="s">
        <v>8</v>
      </c>
      <c r="IK525" s="27" t="s">
        <v>8</v>
      </c>
      <c r="IL525" s="27" t="s">
        <v>7</v>
      </c>
      <c r="JA525" s="27" t="s">
        <v>8</v>
      </c>
      <c r="JF525" s="27" t="s">
        <v>7</v>
      </c>
      <c r="JG525" s="27" t="s">
        <v>8</v>
      </c>
      <c r="JH525" s="27" t="s">
        <v>7</v>
      </c>
      <c r="JJ525" s="27" t="s">
        <v>7</v>
      </c>
      <c r="JK525" s="27" t="s">
        <v>8</v>
      </c>
      <c r="LN525" s="27" t="s">
        <v>7</v>
      </c>
      <c r="LO525" s="27" t="s">
        <v>8</v>
      </c>
      <c r="LP525" s="27" t="s">
        <v>7</v>
      </c>
      <c r="MF525" s="18" t="s">
        <v>7</v>
      </c>
      <c r="MG525" s="27" t="s">
        <v>8</v>
      </c>
      <c r="OF525" s="27" t="s">
        <v>7</v>
      </c>
      <c r="OG525" s="27" t="s">
        <v>8</v>
      </c>
      <c r="OH525" s="27" t="s">
        <v>7</v>
      </c>
      <c r="OI525" s="27" t="s">
        <v>8</v>
      </c>
      <c r="OJ525" s="27" t="s">
        <v>7</v>
      </c>
      <c r="OK525" s="27" t="s">
        <v>8</v>
      </c>
      <c r="OL525" s="27" t="s">
        <v>7</v>
      </c>
      <c r="OO525" s="27" t="s">
        <v>8</v>
      </c>
      <c r="OP525" s="27" t="s">
        <v>7</v>
      </c>
    </row>
    <row r="526" spans="1:407" x14ac:dyDescent="0.25">
      <c r="A526" s="7">
        <v>3.3466514041327216</v>
      </c>
      <c r="B526"/>
      <c r="C526"/>
      <c r="D526"/>
      <c r="E526"/>
      <c r="I526" s="27" t="s">
        <v>8</v>
      </c>
      <c r="L526" s="27" t="s">
        <v>7</v>
      </c>
      <c r="M526" s="27" t="s">
        <v>8</v>
      </c>
      <c r="N526" s="27" t="s">
        <v>7</v>
      </c>
      <c r="P526" s="27" t="s">
        <v>7</v>
      </c>
      <c r="Q526" s="27" t="s">
        <v>8</v>
      </c>
      <c r="BN526" s="27" t="s">
        <v>7</v>
      </c>
      <c r="CD526" s="27" t="s">
        <v>7</v>
      </c>
      <c r="CE526" s="27" t="s">
        <v>8</v>
      </c>
      <c r="CG526" s="27" t="s">
        <v>8</v>
      </c>
      <c r="CH526" s="27" t="s">
        <v>7</v>
      </c>
      <c r="CI526" s="27" t="s">
        <v>8</v>
      </c>
      <c r="CL526" s="27" t="s">
        <v>7</v>
      </c>
      <c r="CY526" s="27" t="s">
        <v>8</v>
      </c>
      <c r="CZ526" s="27" t="s">
        <v>7</v>
      </c>
      <c r="DA526" s="27" t="s">
        <v>8</v>
      </c>
      <c r="DB526" s="27" t="s">
        <v>7</v>
      </c>
      <c r="DC526" s="27" t="s">
        <v>8</v>
      </c>
      <c r="DD526" s="27" t="s">
        <v>7</v>
      </c>
      <c r="DF526" s="27" t="s">
        <v>7</v>
      </c>
      <c r="DQ526" s="27" t="s">
        <v>8</v>
      </c>
      <c r="EH526" s="27" t="s">
        <v>7</v>
      </c>
      <c r="EI526" s="27" t="s">
        <v>8</v>
      </c>
      <c r="EL526" s="27" t="s">
        <v>7</v>
      </c>
      <c r="GG526" s="27" t="s">
        <v>8</v>
      </c>
      <c r="GH526" s="27" t="s">
        <v>7</v>
      </c>
      <c r="GM526" s="27" t="s">
        <v>8</v>
      </c>
      <c r="GN526" s="27" t="s">
        <v>7</v>
      </c>
      <c r="GO526" s="27" t="s">
        <v>8</v>
      </c>
      <c r="GP526" s="27" t="s">
        <v>7</v>
      </c>
      <c r="GQ526" s="27" t="s">
        <v>8</v>
      </c>
      <c r="GR526" s="27" t="s">
        <v>7</v>
      </c>
      <c r="GU526" s="27" t="s">
        <v>8</v>
      </c>
      <c r="GV526" s="27" t="s">
        <v>7</v>
      </c>
      <c r="HS526" s="27" t="s">
        <v>8</v>
      </c>
      <c r="HT526" s="27" t="s">
        <v>7</v>
      </c>
      <c r="II526" s="27" t="s">
        <v>8</v>
      </c>
      <c r="IJ526" s="27" t="s">
        <v>7</v>
      </c>
      <c r="IK526" s="27" t="s">
        <v>8</v>
      </c>
      <c r="IL526" s="27" t="s">
        <v>7</v>
      </c>
      <c r="IY526" s="27" t="s">
        <v>8</v>
      </c>
      <c r="JA526" s="27" t="s">
        <v>8</v>
      </c>
      <c r="JF526" s="27" t="s">
        <v>7</v>
      </c>
      <c r="JG526" s="27" t="s">
        <v>8</v>
      </c>
      <c r="JJ526" s="27" t="s">
        <v>7</v>
      </c>
      <c r="JK526" s="27" t="s">
        <v>8</v>
      </c>
      <c r="LN526" s="27" t="s">
        <v>7</v>
      </c>
      <c r="LO526" s="27" t="s">
        <v>8</v>
      </c>
      <c r="MF526" s="27" t="s">
        <v>7</v>
      </c>
      <c r="MG526" s="27" t="s">
        <v>8</v>
      </c>
      <c r="OF526" s="27" t="s">
        <v>7</v>
      </c>
      <c r="OG526" s="27" t="s">
        <v>8</v>
      </c>
      <c r="OH526" s="27" t="s">
        <v>7</v>
      </c>
      <c r="OI526" s="27" t="s">
        <v>8</v>
      </c>
      <c r="OJ526" s="27" t="s">
        <v>7</v>
      </c>
      <c r="OK526" s="27" t="s">
        <v>8</v>
      </c>
      <c r="OL526" s="27" t="s">
        <v>7</v>
      </c>
      <c r="OO526" s="27" t="s">
        <v>8</v>
      </c>
      <c r="OP526" s="27" t="s">
        <v>7</v>
      </c>
    </row>
    <row r="527" spans="1:407" x14ac:dyDescent="0.25">
      <c r="A527" s="7">
        <v>3.2810307883654133</v>
      </c>
      <c r="B527"/>
      <c r="C527"/>
      <c r="D527"/>
      <c r="E527"/>
      <c r="I527" s="27" t="s">
        <v>8</v>
      </c>
      <c r="L527" s="27" t="s">
        <v>7</v>
      </c>
      <c r="P527" s="27" t="s">
        <v>7</v>
      </c>
      <c r="Q527" s="27" t="s">
        <v>8</v>
      </c>
      <c r="CD527" s="27" t="s">
        <v>7</v>
      </c>
      <c r="CE527" s="27" t="s">
        <v>8</v>
      </c>
      <c r="CF527" s="27" t="s">
        <v>7</v>
      </c>
      <c r="CG527" s="27" t="s">
        <v>8</v>
      </c>
      <c r="CH527" s="27" t="s">
        <v>7</v>
      </c>
      <c r="CI527" s="27" t="s">
        <v>8</v>
      </c>
      <c r="CL527" s="27" t="s">
        <v>7</v>
      </c>
      <c r="CU527" s="27" t="s">
        <v>8</v>
      </c>
      <c r="CY527" s="27" t="s">
        <v>8</v>
      </c>
      <c r="CZ527" s="27" t="s">
        <v>7</v>
      </c>
      <c r="DA527" s="27" t="s">
        <v>8</v>
      </c>
      <c r="DB527" s="27" t="s">
        <v>7</v>
      </c>
      <c r="DC527" s="27" t="s">
        <v>8</v>
      </c>
      <c r="DF527" s="27" t="s">
        <v>7</v>
      </c>
      <c r="DQ527" s="27" t="s">
        <v>8</v>
      </c>
      <c r="EH527" s="27" t="s">
        <v>7</v>
      </c>
      <c r="EL527" s="27" t="s">
        <v>7</v>
      </c>
      <c r="GG527" s="27" t="s">
        <v>8</v>
      </c>
      <c r="GH527" s="27" t="s">
        <v>7</v>
      </c>
      <c r="GK527" s="27" t="s">
        <v>8</v>
      </c>
      <c r="GM527" s="27" t="s">
        <v>8</v>
      </c>
      <c r="GN527" s="27" t="s">
        <v>7</v>
      </c>
      <c r="GO527" s="27" t="s">
        <v>8</v>
      </c>
      <c r="GP527" s="27" t="s">
        <v>7</v>
      </c>
      <c r="GQ527" s="27" t="s">
        <v>8</v>
      </c>
      <c r="GR527" s="27" t="s">
        <v>7</v>
      </c>
      <c r="GU527" s="27" t="s">
        <v>8</v>
      </c>
      <c r="GV527" s="27" t="s">
        <v>7</v>
      </c>
      <c r="HS527" s="27" t="s">
        <v>8</v>
      </c>
      <c r="HT527" s="27" t="s">
        <v>7</v>
      </c>
      <c r="HU527" s="27" t="s">
        <v>8</v>
      </c>
      <c r="IA527" s="27" t="s">
        <v>8</v>
      </c>
      <c r="II527" s="27" t="s">
        <v>8</v>
      </c>
      <c r="IJ527" s="27" t="s">
        <v>7</v>
      </c>
      <c r="IK527" s="27" t="s">
        <v>8</v>
      </c>
      <c r="IL527" s="27" t="s">
        <v>7</v>
      </c>
      <c r="IY527" s="27" t="s">
        <v>8</v>
      </c>
      <c r="IZ527" s="27" t="s">
        <v>7</v>
      </c>
      <c r="JA527" s="27" t="s">
        <v>8</v>
      </c>
      <c r="JF527" s="27" t="s">
        <v>7</v>
      </c>
      <c r="JG527" s="27" t="s">
        <v>8</v>
      </c>
      <c r="JJ527" s="27" t="s">
        <v>7</v>
      </c>
      <c r="LN527" s="27" t="s">
        <v>7</v>
      </c>
      <c r="LO527" s="27" t="s">
        <v>8</v>
      </c>
      <c r="MF527" s="27" t="s">
        <v>7</v>
      </c>
      <c r="MG527" s="27" t="s">
        <v>8</v>
      </c>
      <c r="OF527" s="27" t="s">
        <v>7</v>
      </c>
      <c r="OG527" s="27" t="s">
        <v>8</v>
      </c>
      <c r="OH527" s="27" t="s">
        <v>7</v>
      </c>
      <c r="OI527" s="27" t="s">
        <v>8</v>
      </c>
      <c r="OJ527" s="27" t="s">
        <v>7</v>
      </c>
      <c r="OK527" s="27" t="s">
        <v>8</v>
      </c>
      <c r="OL527" s="27" t="s">
        <v>7</v>
      </c>
      <c r="OM527" s="27" t="s">
        <v>8</v>
      </c>
      <c r="OO527" s="27" t="s">
        <v>8</v>
      </c>
      <c r="OP527" s="27" t="s">
        <v>7</v>
      </c>
    </row>
    <row r="528" spans="1:407" x14ac:dyDescent="0.25">
      <c r="A528" s="7">
        <v>3.2166968513386403</v>
      </c>
      <c r="B528"/>
      <c r="C528"/>
      <c r="D528"/>
      <c r="E528"/>
      <c r="I528" s="27" t="s">
        <v>8</v>
      </c>
      <c r="P528" s="27" t="s">
        <v>7</v>
      </c>
      <c r="Q528" s="27" t="s">
        <v>8</v>
      </c>
      <c r="CD528" s="27" t="s">
        <v>7</v>
      </c>
      <c r="CE528" s="27" t="s">
        <v>8</v>
      </c>
      <c r="CF528" s="27" t="s">
        <v>7</v>
      </c>
      <c r="CG528" s="27" t="s">
        <v>8</v>
      </c>
      <c r="CH528" s="27" t="s">
        <v>7</v>
      </c>
      <c r="CI528" s="27" t="s">
        <v>8</v>
      </c>
      <c r="CL528" s="27" t="s">
        <v>7</v>
      </c>
      <c r="CU528" s="27" t="s">
        <v>8</v>
      </c>
      <c r="CV528" s="27" t="s">
        <v>7</v>
      </c>
      <c r="CY528" s="27" t="s">
        <v>8</v>
      </c>
      <c r="CZ528" s="27" t="s">
        <v>7</v>
      </c>
      <c r="DA528" s="27" t="s">
        <v>8</v>
      </c>
      <c r="DB528" s="27" t="s">
        <v>7</v>
      </c>
      <c r="DF528" s="27" t="s">
        <v>7</v>
      </c>
      <c r="DQ528" s="27" t="s">
        <v>8</v>
      </c>
      <c r="EL528" s="27" t="s">
        <v>7</v>
      </c>
      <c r="GG528" s="27" t="s">
        <v>8</v>
      </c>
      <c r="GH528" s="27" t="s">
        <v>7</v>
      </c>
      <c r="GI528" s="27" t="s">
        <v>8</v>
      </c>
      <c r="GK528" s="27" t="s">
        <v>8</v>
      </c>
      <c r="GL528" s="27" t="s">
        <v>7</v>
      </c>
      <c r="GM528" s="27" t="s">
        <v>8</v>
      </c>
      <c r="GN528" s="27" t="s">
        <v>7</v>
      </c>
      <c r="GP528" s="27" t="s">
        <v>7</v>
      </c>
      <c r="GR528" s="27" t="s">
        <v>7</v>
      </c>
      <c r="GU528" s="27" t="s">
        <v>8</v>
      </c>
      <c r="GV528" s="27" t="s">
        <v>7</v>
      </c>
      <c r="GW528" s="27" t="s">
        <v>8</v>
      </c>
      <c r="HS528" s="27" t="s">
        <v>8</v>
      </c>
      <c r="HT528" s="27" t="s">
        <v>7</v>
      </c>
      <c r="HU528" s="27" t="s">
        <v>8</v>
      </c>
      <c r="HV528" s="27" t="s">
        <v>7</v>
      </c>
      <c r="HY528" s="27" t="s">
        <v>8</v>
      </c>
      <c r="IA528" s="27" t="s">
        <v>8</v>
      </c>
      <c r="IB528" s="27" t="s">
        <v>7</v>
      </c>
      <c r="II528" s="27" t="s">
        <v>8</v>
      </c>
      <c r="IJ528" s="27" t="s">
        <v>7</v>
      </c>
      <c r="IK528" s="27" t="s">
        <v>8</v>
      </c>
      <c r="IL528" s="27" t="s">
        <v>7</v>
      </c>
      <c r="IW528" s="27" t="s">
        <v>8</v>
      </c>
      <c r="IY528" s="27" t="s">
        <v>8</v>
      </c>
      <c r="IZ528" s="27" t="s">
        <v>7</v>
      </c>
      <c r="JA528" s="27" t="s">
        <v>8</v>
      </c>
      <c r="JF528" s="27" t="s">
        <v>7</v>
      </c>
      <c r="LN528" s="27" t="s">
        <v>7</v>
      </c>
      <c r="LO528" s="27" t="s">
        <v>8</v>
      </c>
      <c r="MF528" s="27" t="s">
        <v>7</v>
      </c>
      <c r="MG528" s="27" t="s">
        <v>8</v>
      </c>
      <c r="OF528" s="27" t="s">
        <v>7</v>
      </c>
      <c r="OG528" s="27" t="s">
        <v>8</v>
      </c>
      <c r="OH528" s="27" t="s">
        <v>7</v>
      </c>
      <c r="OI528" s="27" t="s">
        <v>8</v>
      </c>
      <c r="OJ528" s="27" t="s">
        <v>7</v>
      </c>
      <c r="OK528" s="27" t="s">
        <v>8</v>
      </c>
      <c r="OL528" s="27" t="s">
        <v>7</v>
      </c>
      <c r="OM528" s="27" t="s">
        <v>8</v>
      </c>
      <c r="ON528" s="27" t="s">
        <v>7</v>
      </c>
      <c r="OO528" s="27" t="s">
        <v>8</v>
      </c>
      <c r="OP528" s="27" t="s">
        <v>7</v>
      </c>
      <c r="OQ528" s="27" t="s">
        <v>8</v>
      </c>
    </row>
    <row r="529" spans="1:413" x14ac:dyDescent="0.25">
      <c r="A529" s="7">
        <v>3.1536243640574906</v>
      </c>
      <c r="B529"/>
      <c r="C529"/>
      <c r="D529"/>
      <c r="E529"/>
      <c r="I529" s="27" t="s">
        <v>8</v>
      </c>
      <c r="P529" s="27" t="s">
        <v>7</v>
      </c>
      <c r="CD529" s="27" t="s">
        <v>7</v>
      </c>
      <c r="CE529" s="27" t="s">
        <v>8</v>
      </c>
      <c r="CF529" s="27" t="s">
        <v>7</v>
      </c>
      <c r="CG529" s="27" t="s">
        <v>8</v>
      </c>
      <c r="CH529" s="27" t="s">
        <v>7</v>
      </c>
      <c r="CL529" s="27" t="s">
        <v>7</v>
      </c>
      <c r="CU529" s="27" t="s">
        <v>8</v>
      </c>
      <c r="CV529" s="27" t="s">
        <v>7</v>
      </c>
      <c r="CY529" s="27" t="s">
        <v>8</v>
      </c>
      <c r="CZ529" s="27" t="s">
        <v>7</v>
      </c>
      <c r="DA529" s="27" t="s">
        <v>8</v>
      </c>
      <c r="DF529" s="27" t="s">
        <v>7</v>
      </c>
      <c r="DQ529" s="27" t="s">
        <v>8</v>
      </c>
      <c r="EL529" s="27" t="s">
        <v>7</v>
      </c>
      <c r="GG529" s="27" t="s">
        <v>8</v>
      </c>
      <c r="GH529" s="27" t="s">
        <v>7</v>
      </c>
      <c r="GI529" s="27" t="s">
        <v>8</v>
      </c>
      <c r="GJ529" s="27" t="s">
        <v>7</v>
      </c>
      <c r="GK529" s="27" t="s">
        <v>8</v>
      </c>
      <c r="GL529" s="27" t="s">
        <v>7</v>
      </c>
      <c r="GM529" s="27" t="s">
        <v>8</v>
      </c>
      <c r="GR529" s="27" t="s">
        <v>7</v>
      </c>
      <c r="GS529" s="27" t="s">
        <v>8</v>
      </c>
      <c r="GU529" s="27" t="s">
        <v>8</v>
      </c>
      <c r="GV529" s="27" t="s">
        <v>7</v>
      </c>
      <c r="GW529" s="27" t="s">
        <v>8</v>
      </c>
      <c r="GX529" s="27" t="s">
        <v>7</v>
      </c>
      <c r="HS529" s="27" t="s">
        <v>8</v>
      </c>
      <c r="HT529" s="27" t="s">
        <v>7</v>
      </c>
      <c r="HU529" s="27" t="s">
        <v>8</v>
      </c>
      <c r="HV529" s="27" t="s">
        <v>7</v>
      </c>
      <c r="HY529" s="27" t="s">
        <v>8</v>
      </c>
      <c r="HZ529" s="27" t="s">
        <v>7</v>
      </c>
      <c r="IA529" s="27" t="s">
        <v>8</v>
      </c>
      <c r="IB529" s="27" t="s">
        <v>7</v>
      </c>
      <c r="II529" s="27" t="s">
        <v>8</v>
      </c>
      <c r="IJ529" s="27" t="s">
        <v>7</v>
      </c>
      <c r="IK529" s="27" t="s">
        <v>8</v>
      </c>
      <c r="IL529" s="27" t="s">
        <v>7</v>
      </c>
      <c r="IW529" s="27" t="s">
        <v>8</v>
      </c>
      <c r="IX529" s="27" t="s">
        <v>7</v>
      </c>
      <c r="IY529" s="27" t="s">
        <v>8</v>
      </c>
      <c r="IZ529" s="27" t="s">
        <v>7</v>
      </c>
      <c r="JA529" s="27" t="s">
        <v>8</v>
      </c>
      <c r="LN529" s="27" t="s">
        <v>7</v>
      </c>
      <c r="LO529" s="27" t="s">
        <v>8</v>
      </c>
      <c r="MF529" s="27" t="s">
        <v>7</v>
      </c>
      <c r="OF529" s="27" t="s">
        <v>7</v>
      </c>
      <c r="OG529" s="27" t="s">
        <v>8</v>
      </c>
      <c r="OH529" s="27" t="s">
        <v>7</v>
      </c>
      <c r="OI529" s="27" t="s">
        <v>8</v>
      </c>
      <c r="OJ529" s="27" t="s">
        <v>7</v>
      </c>
      <c r="OK529" s="27" t="s">
        <v>8</v>
      </c>
      <c r="OL529" s="27" t="s">
        <v>7</v>
      </c>
      <c r="OM529" s="27" t="s">
        <v>8</v>
      </c>
      <c r="ON529" s="27" t="s">
        <v>7</v>
      </c>
      <c r="OO529" s="27" t="s">
        <v>8</v>
      </c>
      <c r="OP529" s="27" t="s">
        <v>7</v>
      </c>
      <c r="OQ529" s="27" t="s">
        <v>8</v>
      </c>
      <c r="OR529" s="27" t="s">
        <v>7</v>
      </c>
    </row>
    <row r="530" spans="1:413" x14ac:dyDescent="0.25">
      <c r="A530" s="7">
        <v>3.0917885922132262</v>
      </c>
      <c r="B530"/>
      <c r="C530"/>
      <c r="D530"/>
      <c r="E530"/>
      <c r="I530" s="27" t="s">
        <v>8</v>
      </c>
      <c r="CD530" s="27" t="s">
        <v>7</v>
      </c>
      <c r="CF530" s="27" t="s">
        <v>7</v>
      </c>
      <c r="CL530" s="27" t="s">
        <v>7</v>
      </c>
      <c r="CQ530" s="27" t="s">
        <v>8</v>
      </c>
      <c r="CU530" s="27" t="s">
        <v>8</v>
      </c>
      <c r="CV530" s="27" t="s">
        <v>7</v>
      </c>
      <c r="CY530" s="27" t="s">
        <v>8</v>
      </c>
      <c r="CZ530" s="27" t="s">
        <v>7</v>
      </c>
      <c r="DF530" s="27" t="s">
        <v>7</v>
      </c>
      <c r="DQ530" s="27" t="s">
        <v>8</v>
      </c>
      <c r="EL530" s="27" t="s">
        <v>7</v>
      </c>
      <c r="EM530" s="27" t="s">
        <v>8</v>
      </c>
      <c r="FI530" s="27" t="s">
        <v>8</v>
      </c>
      <c r="GG530" s="27" t="s">
        <v>8</v>
      </c>
      <c r="GH530" s="27" t="s">
        <v>7</v>
      </c>
      <c r="GI530" s="27" t="s">
        <v>8</v>
      </c>
      <c r="GJ530" s="27" t="s">
        <v>7</v>
      </c>
      <c r="GK530" s="27" t="s">
        <v>8</v>
      </c>
      <c r="GL530" s="27" t="s">
        <v>7</v>
      </c>
      <c r="GM530" s="27" t="s">
        <v>8</v>
      </c>
      <c r="GR530" s="27" t="s">
        <v>7</v>
      </c>
      <c r="GS530" s="27" t="s">
        <v>8</v>
      </c>
      <c r="GT530" s="27" t="s">
        <v>7</v>
      </c>
      <c r="GU530" s="27" t="s">
        <v>8</v>
      </c>
      <c r="GV530" s="27" t="s">
        <v>7</v>
      </c>
      <c r="GW530" s="27" t="s">
        <v>8</v>
      </c>
      <c r="GX530" s="27" t="s">
        <v>7</v>
      </c>
      <c r="HS530" s="27" t="s">
        <v>8</v>
      </c>
      <c r="HT530" s="27" t="s">
        <v>7</v>
      </c>
      <c r="HU530" s="27" t="s">
        <v>8</v>
      </c>
      <c r="HV530" s="27" t="s">
        <v>7</v>
      </c>
      <c r="HY530" s="27" t="s">
        <v>8</v>
      </c>
      <c r="HZ530" s="27" t="s">
        <v>7</v>
      </c>
      <c r="IA530" s="27" t="s">
        <v>8</v>
      </c>
      <c r="IB530" s="27" t="s">
        <v>7</v>
      </c>
      <c r="IG530" s="27" t="s">
        <v>8</v>
      </c>
      <c r="II530" s="27" t="s">
        <v>8</v>
      </c>
      <c r="IJ530" s="27" t="s">
        <v>7</v>
      </c>
      <c r="IK530" s="27" t="s">
        <v>8</v>
      </c>
      <c r="IL530" s="27" t="s">
        <v>7</v>
      </c>
      <c r="IU530" s="27" t="s">
        <v>8</v>
      </c>
      <c r="IW530" s="27" t="s">
        <v>8</v>
      </c>
      <c r="IX530" s="27" t="s">
        <v>7</v>
      </c>
      <c r="IY530" s="27" t="s">
        <v>8</v>
      </c>
      <c r="IZ530" s="27" t="s">
        <v>7</v>
      </c>
      <c r="JA530" s="27" t="s">
        <v>8</v>
      </c>
      <c r="LN530" s="27" t="s">
        <v>7</v>
      </c>
      <c r="OF530" s="27" t="s">
        <v>7</v>
      </c>
      <c r="OG530" s="27" t="s">
        <v>8</v>
      </c>
      <c r="OH530" s="27" t="s">
        <v>7</v>
      </c>
      <c r="OI530" s="27" t="s">
        <v>8</v>
      </c>
      <c r="OJ530" s="27" t="s">
        <v>7</v>
      </c>
      <c r="OK530" s="27" t="s">
        <v>8</v>
      </c>
      <c r="OL530" s="27" t="s">
        <v>7</v>
      </c>
      <c r="ON530" s="27" t="s">
        <v>7</v>
      </c>
      <c r="OP530" s="27" t="s">
        <v>7</v>
      </c>
      <c r="OQ530" s="27" t="s">
        <v>8</v>
      </c>
      <c r="OR530" s="27" t="s">
        <v>7</v>
      </c>
    </row>
    <row r="531" spans="1:413" x14ac:dyDescent="0.25">
      <c r="A531" s="7">
        <v>3.0311652864835552</v>
      </c>
      <c r="B531"/>
      <c r="C531"/>
      <c r="D531"/>
      <c r="E531"/>
      <c r="I531" s="27" t="s">
        <v>8</v>
      </c>
      <c r="CL531" s="27" t="s">
        <v>7</v>
      </c>
      <c r="CQ531" s="27" t="s">
        <v>8</v>
      </c>
      <c r="CR531" s="27" t="s">
        <v>7</v>
      </c>
      <c r="CS531" s="27" t="s">
        <v>8</v>
      </c>
      <c r="CU531" s="27" t="s">
        <v>8</v>
      </c>
      <c r="CV531" s="27" t="s">
        <v>7</v>
      </c>
      <c r="CY531" s="27" t="s">
        <v>8</v>
      </c>
      <c r="DF531" s="27" t="s">
        <v>7</v>
      </c>
      <c r="DQ531" s="27" t="s">
        <v>8</v>
      </c>
      <c r="EL531" s="27" t="s">
        <v>7</v>
      </c>
      <c r="EM531" s="27" t="s">
        <v>8</v>
      </c>
      <c r="EN531" s="27" t="s">
        <v>7</v>
      </c>
      <c r="FI531" s="27" t="s">
        <v>8</v>
      </c>
      <c r="FJ531" s="27" t="s">
        <v>7</v>
      </c>
      <c r="GG531" s="27" t="s">
        <v>8</v>
      </c>
      <c r="GH531" s="27" t="s">
        <v>7</v>
      </c>
      <c r="GI531" s="27" t="s">
        <v>8</v>
      </c>
      <c r="GJ531" s="27" t="s">
        <v>7</v>
      </c>
      <c r="GK531" s="27" t="s">
        <v>8</v>
      </c>
      <c r="GL531" s="27" t="s">
        <v>7</v>
      </c>
      <c r="GM531" s="27" t="s">
        <v>8</v>
      </c>
      <c r="GR531" s="27" t="s">
        <v>7</v>
      </c>
      <c r="GS531" s="27" t="s">
        <v>8</v>
      </c>
      <c r="GT531" s="27" t="s">
        <v>7</v>
      </c>
      <c r="GU531" s="27" t="s">
        <v>8</v>
      </c>
      <c r="GV531" s="27" t="s">
        <v>7</v>
      </c>
      <c r="GW531" s="27" t="s">
        <v>8</v>
      </c>
      <c r="GX531" s="27" t="s">
        <v>7</v>
      </c>
      <c r="GY531" s="27" t="s">
        <v>8</v>
      </c>
      <c r="HS531" s="27" t="s">
        <v>8</v>
      </c>
      <c r="HT531" s="27" t="s">
        <v>7</v>
      </c>
      <c r="HU531" s="27" t="s">
        <v>8</v>
      </c>
      <c r="HV531" s="27" t="s">
        <v>7</v>
      </c>
      <c r="HW531" s="27" t="s">
        <v>8</v>
      </c>
      <c r="HY531" s="27" t="s">
        <v>8</v>
      </c>
      <c r="HZ531" s="27" t="s">
        <v>7</v>
      </c>
      <c r="IB531" s="27" t="s">
        <v>7</v>
      </c>
      <c r="IG531" s="27" t="s">
        <v>8</v>
      </c>
      <c r="IH531" s="27" t="s">
        <v>7</v>
      </c>
      <c r="II531" s="27" t="s">
        <v>8</v>
      </c>
      <c r="IJ531" s="27" t="s">
        <v>7</v>
      </c>
      <c r="IK531" s="27" t="s">
        <v>8</v>
      </c>
      <c r="IL531" s="27" t="s">
        <v>7</v>
      </c>
      <c r="IU531" s="27" t="s">
        <v>8</v>
      </c>
      <c r="IV531" s="27" t="s">
        <v>7</v>
      </c>
      <c r="IW531" s="27" t="s">
        <v>8</v>
      </c>
      <c r="IX531" s="27" t="s">
        <v>7</v>
      </c>
      <c r="IY531" s="27" t="s">
        <v>8</v>
      </c>
      <c r="IZ531" s="27" t="s">
        <v>7</v>
      </c>
      <c r="OF531" s="27" t="s">
        <v>7</v>
      </c>
      <c r="OG531" s="27" t="s">
        <v>8</v>
      </c>
      <c r="OH531" s="27" t="s">
        <v>7</v>
      </c>
      <c r="OJ531" s="27" t="s">
        <v>7</v>
      </c>
      <c r="OP531" s="27" t="s">
        <v>7</v>
      </c>
      <c r="OQ531" s="27" t="s">
        <v>8</v>
      </c>
      <c r="OR531" s="27" t="s">
        <v>7</v>
      </c>
    </row>
    <row r="532" spans="1:413" x14ac:dyDescent="0.25">
      <c r="A532" s="7">
        <v>2.9717306730230932</v>
      </c>
      <c r="B532"/>
      <c r="C532"/>
      <c r="D532"/>
      <c r="E532"/>
      <c r="G532" s="27" t="s">
        <v>8</v>
      </c>
      <c r="I532" s="27" t="s">
        <v>8</v>
      </c>
      <c r="CL532" s="27" t="s">
        <v>7</v>
      </c>
      <c r="CM532" s="27" t="s">
        <v>8</v>
      </c>
      <c r="CQ532" s="27" t="s">
        <v>8</v>
      </c>
      <c r="CR532" s="27" t="s">
        <v>7</v>
      </c>
      <c r="CS532" s="27" t="s">
        <v>8</v>
      </c>
      <c r="CT532" s="27" t="s">
        <v>7</v>
      </c>
      <c r="CU532" s="27" t="s">
        <v>8</v>
      </c>
      <c r="CV532" s="27" t="s">
        <v>7</v>
      </c>
      <c r="CW532" s="27" t="s">
        <v>8</v>
      </c>
      <c r="CY532" s="27" t="s">
        <v>8</v>
      </c>
      <c r="DF532" s="27" t="s">
        <v>7</v>
      </c>
      <c r="DQ532" s="27" t="s">
        <v>8</v>
      </c>
      <c r="EL532" s="27" t="s">
        <v>7</v>
      </c>
      <c r="EM532" s="27" t="s">
        <v>8</v>
      </c>
      <c r="EN532" s="27" t="s">
        <v>7</v>
      </c>
      <c r="FI532" s="27" t="s">
        <v>8</v>
      </c>
      <c r="FJ532" s="27" t="s">
        <v>7</v>
      </c>
      <c r="GG532" s="27" t="s">
        <v>8</v>
      </c>
      <c r="GH532" s="27" t="s">
        <v>7</v>
      </c>
      <c r="GI532" s="27" t="s">
        <v>8</v>
      </c>
      <c r="GJ532" s="27" t="s">
        <v>7</v>
      </c>
      <c r="GL532" s="27" t="s">
        <v>7</v>
      </c>
      <c r="GM532" s="27" t="s">
        <v>8</v>
      </c>
      <c r="GR532" s="27" t="s">
        <v>7</v>
      </c>
      <c r="GT532" s="27" t="s">
        <v>7</v>
      </c>
      <c r="GU532" s="27" t="s">
        <v>8</v>
      </c>
      <c r="GV532" s="27" t="s">
        <v>7</v>
      </c>
      <c r="GW532" s="27" t="s">
        <v>8</v>
      </c>
      <c r="GX532" s="27" t="s">
        <v>7</v>
      </c>
      <c r="GY532" s="27" t="s">
        <v>8</v>
      </c>
      <c r="GZ532" s="27" t="s">
        <v>7</v>
      </c>
      <c r="HS532" s="27" t="s">
        <v>8</v>
      </c>
      <c r="HT532" s="27" t="s">
        <v>7</v>
      </c>
      <c r="HU532" s="27" t="s">
        <v>8</v>
      </c>
      <c r="HV532" s="27" t="s">
        <v>7</v>
      </c>
      <c r="HW532" s="27" t="s">
        <v>8</v>
      </c>
      <c r="HX532" s="27" t="s">
        <v>7</v>
      </c>
      <c r="HY532" s="27" t="s">
        <v>8</v>
      </c>
      <c r="IB532" s="27" t="s">
        <v>7</v>
      </c>
      <c r="IG532" s="27" t="s">
        <v>8</v>
      </c>
      <c r="IH532" s="27" t="s">
        <v>7</v>
      </c>
      <c r="II532" s="27" t="s">
        <v>8</v>
      </c>
      <c r="IJ532" s="27" t="s">
        <v>7</v>
      </c>
      <c r="IK532" s="27" t="s">
        <v>8</v>
      </c>
      <c r="IL532" s="27" t="s">
        <v>7</v>
      </c>
      <c r="IU532" s="27" t="s">
        <v>8</v>
      </c>
      <c r="IV532" s="27" t="s">
        <v>7</v>
      </c>
      <c r="IW532" s="27" t="s">
        <v>8</v>
      </c>
      <c r="IX532" s="27" t="s">
        <v>7</v>
      </c>
      <c r="OF532" s="27" t="s">
        <v>7</v>
      </c>
      <c r="OG532" s="27" t="s">
        <v>8</v>
      </c>
      <c r="OP532" s="27" t="s">
        <v>7</v>
      </c>
      <c r="OR532" s="27" t="s">
        <v>7</v>
      </c>
    </row>
    <row r="533" spans="1:413" x14ac:dyDescent="0.25">
      <c r="A533" s="7">
        <v>2.9134614441402875</v>
      </c>
      <c r="B533"/>
      <c r="C533"/>
      <c r="D533"/>
      <c r="E533"/>
      <c r="G533" s="27" t="s">
        <v>8</v>
      </c>
      <c r="H533" s="27" t="s">
        <v>7</v>
      </c>
      <c r="I533" s="27" t="s">
        <v>8</v>
      </c>
      <c r="CL533" s="27" t="s">
        <v>7</v>
      </c>
      <c r="CM533" s="27" t="s">
        <v>8</v>
      </c>
      <c r="CN533" s="27" t="s">
        <v>7</v>
      </c>
      <c r="CQ533" s="27" t="s">
        <v>8</v>
      </c>
      <c r="CR533" s="27" t="s">
        <v>7</v>
      </c>
      <c r="CS533" s="27" t="s">
        <v>8</v>
      </c>
      <c r="CT533" s="27" t="s">
        <v>7</v>
      </c>
      <c r="CU533" s="27" t="s">
        <v>8</v>
      </c>
      <c r="CV533" s="27" t="s">
        <v>7</v>
      </c>
      <c r="CW533" s="27" t="s">
        <v>8</v>
      </c>
      <c r="CX533" s="27" t="s">
        <v>7</v>
      </c>
      <c r="CY533" s="27" t="s">
        <v>8</v>
      </c>
      <c r="DF533" s="27" t="s">
        <v>7</v>
      </c>
      <c r="DO533" s="27" t="s">
        <v>8</v>
      </c>
      <c r="DQ533" s="27" t="s">
        <v>8</v>
      </c>
      <c r="EL533" s="27" t="s">
        <v>7</v>
      </c>
      <c r="EM533" s="27" t="s">
        <v>8</v>
      </c>
      <c r="EN533" s="27" t="s">
        <v>7</v>
      </c>
      <c r="FI533" s="27" t="s">
        <v>8</v>
      </c>
      <c r="FJ533" s="27" t="s">
        <v>7</v>
      </c>
      <c r="GG533" s="27" t="s">
        <v>8</v>
      </c>
      <c r="GH533" s="27" t="s">
        <v>7</v>
      </c>
      <c r="GL533" s="27" t="s">
        <v>7</v>
      </c>
      <c r="GT533" s="27" t="s">
        <v>7</v>
      </c>
      <c r="GU533" s="27" t="s">
        <v>8</v>
      </c>
      <c r="GV533" s="27" t="s">
        <v>7</v>
      </c>
      <c r="GW533" s="27" t="s">
        <v>8</v>
      </c>
      <c r="GX533" s="27" t="s">
        <v>7</v>
      </c>
      <c r="GY533" s="27" t="s">
        <v>8</v>
      </c>
      <c r="GZ533" s="27" t="s">
        <v>7</v>
      </c>
      <c r="HG533" s="27" t="s">
        <v>8</v>
      </c>
      <c r="HS533" s="27" t="s">
        <v>8</v>
      </c>
      <c r="HT533" s="27" t="s">
        <v>7</v>
      </c>
      <c r="HU533" s="27" t="s">
        <v>8</v>
      </c>
      <c r="HV533" s="27" t="s">
        <v>7</v>
      </c>
      <c r="HW533" s="27" t="s">
        <v>8</v>
      </c>
      <c r="HX533" s="27" t="s">
        <v>7</v>
      </c>
      <c r="HY533" s="27" t="s">
        <v>8</v>
      </c>
      <c r="IB533" s="27" t="s">
        <v>7</v>
      </c>
      <c r="IG533" s="27" t="s">
        <v>8</v>
      </c>
      <c r="IH533" s="27" t="s">
        <v>7</v>
      </c>
      <c r="II533" s="27" t="s">
        <v>8</v>
      </c>
      <c r="IJ533" s="27" t="s">
        <v>7</v>
      </c>
      <c r="IL533" s="27" t="s">
        <v>7</v>
      </c>
      <c r="IO533" s="27" t="s">
        <v>8</v>
      </c>
      <c r="IQ533" s="27" t="s">
        <v>8</v>
      </c>
      <c r="IU533" s="27" t="s">
        <v>8</v>
      </c>
      <c r="IV533" s="27" t="s">
        <v>7</v>
      </c>
      <c r="IW533" s="27" t="s">
        <v>8</v>
      </c>
      <c r="OF533" s="27" t="s">
        <v>7</v>
      </c>
      <c r="OG533" s="27" t="s">
        <v>8</v>
      </c>
      <c r="OR533" s="27" t="s">
        <v>7</v>
      </c>
      <c r="OS533" s="27" t="s">
        <v>8</v>
      </c>
    </row>
    <row r="534" spans="1:413" x14ac:dyDescent="0.25">
      <c r="A534" s="7">
        <v>2.8563347491571447</v>
      </c>
      <c r="B534"/>
      <c r="C534"/>
      <c r="D534"/>
      <c r="E534" t="s">
        <v>8</v>
      </c>
      <c r="G534" s="27" t="s">
        <v>8</v>
      </c>
      <c r="H534" s="27" t="s">
        <v>7</v>
      </c>
      <c r="I534" s="27" t="s">
        <v>8</v>
      </c>
      <c r="CL534" s="27" t="s">
        <v>7</v>
      </c>
      <c r="CM534" s="27" t="s">
        <v>8</v>
      </c>
      <c r="CN534" s="27" t="s">
        <v>7</v>
      </c>
      <c r="CO534" s="27" t="s">
        <v>8</v>
      </c>
      <c r="CQ534" s="27" t="s">
        <v>8</v>
      </c>
      <c r="CR534" s="27" t="s">
        <v>7</v>
      </c>
      <c r="CT534" s="27" t="s">
        <v>7</v>
      </c>
      <c r="CV534" s="27" t="s">
        <v>7</v>
      </c>
      <c r="CW534" s="27" t="s">
        <v>8</v>
      </c>
      <c r="CX534" s="27" t="s">
        <v>7</v>
      </c>
      <c r="CY534" s="27" t="s">
        <v>8</v>
      </c>
      <c r="DF534" s="27" t="s">
        <v>7</v>
      </c>
      <c r="DO534" s="27" t="s">
        <v>8</v>
      </c>
      <c r="DP534" s="27" t="s">
        <v>7</v>
      </c>
      <c r="DQ534" s="27" t="s">
        <v>8</v>
      </c>
      <c r="EL534" s="27" t="s">
        <v>7</v>
      </c>
      <c r="EN534" s="27" t="s">
        <v>7</v>
      </c>
      <c r="FI534" s="27" t="s">
        <v>8</v>
      </c>
      <c r="FJ534" s="27" t="s">
        <v>7</v>
      </c>
      <c r="FS534" s="27" t="s">
        <v>8</v>
      </c>
      <c r="FU534" s="27" t="s">
        <v>8</v>
      </c>
      <c r="GG534" s="27" t="s">
        <v>8</v>
      </c>
      <c r="GT534" s="27" t="s">
        <v>7</v>
      </c>
      <c r="GV534" s="27" t="s">
        <v>7</v>
      </c>
      <c r="GW534" s="27" t="s">
        <v>8</v>
      </c>
      <c r="GX534" s="27" t="s">
        <v>7</v>
      </c>
      <c r="GY534" s="27" t="s">
        <v>8</v>
      </c>
      <c r="GZ534" s="27" t="s">
        <v>7</v>
      </c>
      <c r="HA534" s="27" t="s">
        <v>8</v>
      </c>
      <c r="HG534" s="27" t="s">
        <v>8</v>
      </c>
      <c r="HH534" s="27" t="s">
        <v>7</v>
      </c>
      <c r="HS534" s="27" t="s">
        <v>8</v>
      </c>
      <c r="HT534" s="27" t="s">
        <v>7</v>
      </c>
      <c r="HU534" s="27" t="s">
        <v>8</v>
      </c>
      <c r="HV534" s="27" t="s">
        <v>7</v>
      </c>
      <c r="HW534" s="27" t="s">
        <v>8</v>
      </c>
      <c r="HX534" s="27" t="s">
        <v>7</v>
      </c>
      <c r="HY534" s="27" t="s">
        <v>8</v>
      </c>
      <c r="IB534" s="27" t="s">
        <v>7</v>
      </c>
      <c r="IE534" s="27" t="s">
        <v>8</v>
      </c>
      <c r="IG534" s="27" t="s">
        <v>8</v>
      </c>
      <c r="IH534" s="27" t="s">
        <v>7</v>
      </c>
      <c r="II534" s="27" t="s">
        <v>8</v>
      </c>
      <c r="IL534" s="27" t="s">
        <v>7</v>
      </c>
      <c r="IO534" s="27" t="s">
        <v>8</v>
      </c>
      <c r="IP534" s="27" t="s">
        <v>7</v>
      </c>
      <c r="IQ534" s="27" t="s">
        <v>8</v>
      </c>
      <c r="IR534" s="27" t="s">
        <v>7</v>
      </c>
      <c r="IU534" s="27" t="s">
        <v>8</v>
      </c>
      <c r="IV534" s="27" t="s">
        <v>7</v>
      </c>
      <c r="IW534" s="27" t="s">
        <v>8</v>
      </c>
      <c r="OF534" s="27" t="s">
        <v>7</v>
      </c>
      <c r="OG534" s="27" t="s">
        <v>8</v>
      </c>
      <c r="OR534" s="27" t="s">
        <v>7</v>
      </c>
      <c r="OS534" s="27" t="s">
        <v>8</v>
      </c>
      <c r="OT534" s="27" t="s">
        <v>7</v>
      </c>
    </row>
    <row r="535" spans="1:413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G535" s="27" t="s">
        <v>8</v>
      </c>
      <c r="H535" s="27" t="s">
        <v>7</v>
      </c>
      <c r="I535" s="27" t="s">
        <v>8</v>
      </c>
      <c r="CL535" s="27" t="s">
        <v>7</v>
      </c>
      <c r="CM535" s="27" t="s">
        <v>8</v>
      </c>
      <c r="CN535" s="27" t="s">
        <v>7</v>
      </c>
      <c r="CO535" s="27" t="s">
        <v>8</v>
      </c>
      <c r="CP535" s="27" t="s">
        <v>7</v>
      </c>
      <c r="CQ535" s="27" t="s">
        <v>8</v>
      </c>
      <c r="CV535" s="27" t="s">
        <v>7</v>
      </c>
      <c r="CW535" s="27" t="s">
        <v>8</v>
      </c>
      <c r="CX535" s="27" t="s">
        <v>7</v>
      </c>
      <c r="CY535" s="27" t="s">
        <v>8</v>
      </c>
      <c r="DF535" s="27" t="s">
        <v>7</v>
      </c>
      <c r="DI535" s="27" t="s">
        <v>8</v>
      </c>
      <c r="DO535" s="27" t="s">
        <v>8</v>
      </c>
      <c r="DP535" s="27" t="s">
        <v>7</v>
      </c>
      <c r="DQ535" s="27" t="s">
        <v>8</v>
      </c>
      <c r="EN535" s="27" t="s">
        <v>7</v>
      </c>
      <c r="FA535" s="27" t="s">
        <v>8</v>
      </c>
      <c r="FI535" s="27" t="s">
        <v>8</v>
      </c>
      <c r="FJ535" s="27" t="s">
        <v>7</v>
      </c>
      <c r="FK535" s="27" t="s">
        <v>8</v>
      </c>
      <c r="FM535" s="27" t="s">
        <v>8</v>
      </c>
      <c r="FS535" s="27" t="s">
        <v>8</v>
      </c>
      <c r="FT535" s="27" t="s">
        <v>7</v>
      </c>
      <c r="FU535" s="27" t="s">
        <v>8</v>
      </c>
      <c r="FV535" s="27" t="s">
        <v>7</v>
      </c>
      <c r="GG535" s="27" t="s">
        <v>8</v>
      </c>
      <c r="GV535" s="27" t="s">
        <v>7</v>
      </c>
      <c r="GW535" s="27" t="s">
        <v>8</v>
      </c>
      <c r="GX535" s="27" t="s">
        <v>7</v>
      </c>
      <c r="GZ535" s="27" t="s">
        <v>7</v>
      </c>
      <c r="HA535" s="27" t="s">
        <v>8</v>
      </c>
      <c r="HB535" s="27" t="s">
        <v>7</v>
      </c>
      <c r="HG535" s="27" t="s">
        <v>8</v>
      </c>
      <c r="HH535" s="27" t="s">
        <v>7</v>
      </c>
      <c r="HS535" s="27" t="s">
        <v>8</v>
      </c>
      <c r="HT535" s="27" t="s">
        <v>7</v>
      </c>
      <c r="HU535" s="27" t="s">
        <v>8</v>
      </c>
      <c r="HV535" s="27" t="s">
        <v>7</v>
      </c>
      <c r="HX535" s="27" t="s">
        <v>7</v>
      </c>
      <c r="HY535" s="27" t="s">
        <v>8</v>
      </c>
      <c r="IB535" s="27" t="s">
        <v>7</v>
      </c>
      <c r="IE535" s="27" t="s">
        <v>8</v>
      </c>
      <c r="IF535" s="27" t="s">
        <v>7</v>
      </c>
      <c r="IG535" s="27" t="s">
        <v>8</v>
      </c>
      <c r="IH535" s="27" t="s">
        <v>7</v>
      </c>
      <c r="II535" s="27" t="s">
        <v>8</v>
      </c>
      <c r="IL535" s="27" t="s">
        <v>7</v>
      </c>
      <c r="IO535" s="27" t="s">
        <v>8</v>
      </c>
      <c r="IP535" s="27" t="s">
        <v>7</v>
      </c>
      <c r="IQ535" s="27" t="s">
        <v>8</v>
      </c>
      <c r="IR535" s="27" t="s">
        <v>7</v>
      </c>
      <c r="IU535" s="27" t="s">
        <v>8</v>
      </c>
      <c r="IV535" s="27" t="s">
        <v>7</v>
      </c>
      <c r="OF535" s="27" t="s">
        <v>7</v>
      </c>
      <c r="OG535" s="27" t="s">
        <v>8</v>
      </c>
      <c r="OR535" s="27" t="s">
        <v>7</v>
      </c>
      <c r="OS535" s="27" t="s">
        <v>8</v>
      </c>
      <c r="OT535" s="27" t="s">
        <v>7</v>
      </c>
    </row>
    <row r="536" spans="1:413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G536" s="27" t="s">
        <v>8</v>
      </c>
      <c r="H536" s="27" t="s">
        <v>7</v>
      </c>
      <c r="CL536" s="27" t="s">
        <v>7</v>
      </c>
      <c r="CM536" s="27" t="s">
        <v>8</v>
      </c>
      <c r="CN536" s="27" t="s">
        <v>7</v>
      </c>
      <c r="CO536" s="27" t="s">
        <v>8</v>
      </c>
      <c r="CP536" s="27" t="s">
        <v>7</v>
      </c>
      <c r="CQ536" s="27" t="s">
        <v>8</v>
      </c>
      <c r="CV536" s="27" t="s">
        <v>7</v>
      </c>
      <c r="CX536" s="27" t="s">
        <v>7</v>
      </c>
      <c r="CY536" s="27" t="s">
        <v>8</v>
      </c>
      <c r="DF536" s="27" t="s">
        <v>7</v>
      </c>
      <c r="DI536" s="27" t="s">
        <v>8</v>
      </c>
      <c r="DJ536" s="27" t="s">
        <v>7</v>
      </c>
      <c r="DK536" s="27" t="s">
        <v>8</v>
      </c>
      <c r="DO536" s="27" t="s">
        <v>8</v>
      </c>
      <c r="DP536" s="27" t="s">
        <v>7</v>
      </c>
      <c r="DQ536" s="27" t="s">
        <v>8</v>
      </c>
      <c r="EN536" s="27" t="s">
        <v>7</v>
      </c>
      <c r="FA536" s="27" t="s">
        <v>8</v>
      </c>
      <c r="FB536" s="27" t="s">
        <v>7</v>
      </c>
      <c r="FC536" s="27" t="s">
        <v>8</v>
      </c>
      <c r="FG536" s="27" t="s">
        <v>8</v>
      </c>
      <c r="FI536" s="27" t="s">
        <v>8</v>
      </c>
      <c r="FJ536" s="27" t="s">
        <v>7</v>
      </c>
      <c r="FK536" s="27" t="s">
        <v>8</v>
      </c>
      <c r="FL536" s="27" t="s">
        <v>7</v>
      </c>
      <c r="FM536" s="27" t="s">
        <v>8</v>
      </c>
      <c r="FN536" s="27" t="s">
        <v>7</v>
      </c>
      <c r="FO536" s="27" t="s">
        <v>8</v>
      </c>
      <c r="FS536" s="27" t="s">
        <v>8</v>
      </c>
      <c r="FT536" s="27" t="s">
        <v>7</v>
      </c>
      <c r="FU536" s="27" t="s">
        <v>8</v>
      </c>
      <c r="FV536" s="27" t="s">
        <v>7</v>
      </c>
      <c r="GG536" s="27" t="s">
        <v>8</v>
      </c>
      <c r="GV536" s="27" t="s">
        <v>7</v>
      </c>
      <c r="GW536" s="27" t="s">
        <v>8</v>
      </c>
      <c r="GZ536" s="27" t="s">
        <v>7</v>
      </c>
      <c r="HA536" s="27" t="s">
        <v>8</v>
      </c>
      <c r="HB536" s="27" t="s">
        <v>7</v>
      </c>
      <c r="HC536" s="27" t="s">
        <v>8</v>
      </c>
      <c r="HG536" s="27" t="s">
        <v>8</v>
      </c>
      <c r="HH536" s="27" t="s">
        <v>7</v>
      </c>
      <c r="HK536" s="27" t="s">
        <v>8</v>
      </c>
      <c r="HQ536" s="27" t="s">
        <v>8</v>
      </c>
      <c r="HS536" s="27" t="s">
        <v>8</v>
      </c>
      <c r="HT536" s="27" t="s">
        <v>7</v>
      </c>
      <c r="HX536" s="27" t="s">
        <v>7</v>
      </c>
      <c r="HY536" s="27" t="s">
        <v>8</v>
      </c>
      <c r="IB536" s="27" t="s">
        <v>7</v>
      </c>
      <c r="IE536" s="27" t="s">
        <v>8</v>
      </c>
      <c r="IF536" s="27" t="s">
        <v>7</v>
      </c>
      <c r="IG536" s="27" t="s">
        <v>8</v>
      </c>
      <c r="IH536" s="27" t="s">
        <v>7</v>
      </c>
      <c r="IL536" s="27" t="s">
        <v>7</v>
      </c>
      <c r="IM536" s="27" t="s">
        <v>8</v>
      </c>
      <c r="IO536" s="27" t="s">
        <v>8</v>
      </c>
      <c r="IP536" s="27" t="s">
        <v>7</v>
      </c>
      <c r="IQ536" s="27" t="s">
        <v>8</v>
      </c>
      <c r="IR536" s="27" t="s">
        <v>7</v>
      </c>
      <c r="IS536" s="27" t="s">
        <v>8</v>
      </c>
      <c r="IU536" s="27" t="s">
        <v>8</v>
      </c>
      <c r="OF536" s="27" t="s">
        <v>7</v>
      </c>
      <c r="OG536" s="27" t="s">
        <v>8</v>
      </c>
      <c r="OR536" s="27" t="s">
        <v>7</v>
      </c>
      <c r="OS536" s="27" t="s">
        <v>8</v>
      </c>
      <c r="OT536" s="27" t="s">
        <v>7</v>
      </c>
    </row>
    <row r="537" spans="1:413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CL537" s="27" t="s">
        <v>7</v>
      </c>
      <c r="CM537" s="27" t="s">
        <v>8</v>
      </c>
      <c r="CN537" s="27" t="s">
        <v>7</v>
      </c>
      <c r="CO537" s="27" t="s">
        <v>8</v>
      </c>
      <c r="CP537" s="27" t="s">
        <v>7</v>
      </c>
      <c r="CX537" s="27" t="s">
        <v>7</v>
      </c>
      <c r="CY537" s="27" t="s">
        <v>8</v>
      </c>
      <c r="DF537" s="27" t="s">
        <v>7</v>
      </c>
      <c r="DG537" s="27" t="s">
        <v>8</v>
      </c>
      <c r="DI537" s="27" t="s">
        <v>8</v>
      </c>
      <c r="DJ537" s="27" t="s">
        <v>7</v>
      </c>
      <c r="DK537" s="27" t="s">
        <v>8</v>
      </c>
      <c r="DL537" s="27" t="s">
        <v>7</v>
      </c>
      <c r="DM537" s="27" t="s">
        <v>8</v>
      </c>
      <c r="DO537" s="27" t="s">
        <v>8</v>
      </c>
      <c r="DP537" s="27" t="s">
        <v>7</v>
      </c>
      <c r="EN537" s="27" t="s">
        <v>7</v>
      </c>
      <c r="FA537" s="27" t="s">
        <v>8</v>
      </c>
      <c r="FB537" s="27" t="s">
        <v>7</v>
      </c>
      <c r="FC537" s="27" t="s">
        <v>8</v>
      </c>
      <c r="FD537" s="27" t="s">
        <v>7</v>
      </c>
      <c r="FG537" s="27" t="s">
        <v>8</v>
      </c>
      <c r="FH537" s="27" t="s">
        <v>7</v>
      </c>
      <c r="FI537" s="27" t="s">
        <v>8</v>
      </c>
      <c r="FJ537" s="27" t="s">
        <v>7</v>
      </c>
      <c r="FK537" s="27" t="s">
        <v>8</v>
      </c>
      <c r="FL537" s="27" t="s">
        <v>7</v>
      </c>
      <c r="FM537" s="27" t="s">
        <v>8</v>
      </c>
      <c r="FN537" s="27" t="s">
        <v>7</v>
      </c>
      <c r="FO537" s="27" t="s">
        <v>8</v>
      </c>
      <c r="FP537" s="27" t="s">
        <v>7</v>
      </c>
      <c r="FS537" s="27" t="s">
        <v>8</v>
      </c>
      <c r="FT537" s="27" t="s">
        <v>7</v>
      </c>
      <c r="FU537" s="27" t="s">
        <v>8</v>
      </c>
      <c r="FV537" s="27" t="s">
        <v>7</v>
      </c>
      <c r="GE537" s="27" t="s">
        <v>8</v>
      </c>
      <c r="GG537" s="27" t="s">
        <v>8</v>
      </c>
      <c r="GV537" s="27" t="s">
        <v>7</v>
      </c>
      <c r="GW537" s="27" t="s">
        <v>8</v>
      </c>
      <c r="GZ537" s="27" t="s">
        <v>7</v>
      </c>
      <c r="HB537" s="27" t="s">
        <v>7</v>
      </c>
      <c r="HC537" s="27" t="s">
        <v>8</v>
      </c>
      <c r="HD537" s="27" t="s">
        <v>7</v>
      </c>
      <c r="HG537" s="27" t="s">
        <v>8</v>
      </c>
      <c r="HH537" s="27" t="s">
        <v>7</v>
      </c>
      <c r="HI537" s="27" t="s">
        <v>8</v>
      </c>
      <c r="HK537" s="27" t="s">
        <v>8</v>
      </c>
      <c r="HL537" s="27" t="s">
        <v>7</v>
      </c>
      <c r="HQ537" s="27" t="s">
        <v>8</v>
      </c>
      <c r="HR537" s="27" t="s">
        <v>7</v>
      </c>
      <c r="HS537" s="27" t="s">
        <v>8</v>
      </c>
      <c r="HX537" s="27" t="s">
        <v>7</v>
      </c>
      <c r="IB537" s="27" t="s">
        <v>7</v>
      </c>
      <c r="IC537" s="27" t="s">
        <v>8</v>
      </c>
      <c r="IE537" s="27" t="s">
        <v>8</v>
      </c>
      <c r="IF537" s="27" t="s">
        <v>7</v>
      </c>
      <c r="IG537" s="27" t="s">
        <v>8</v>
      </c>
      <c r="IL537" s="27" t="s">
        <v>7</v>
      </c>
      <c r="IM537" s="27" t="s">
        <v>8</v>
      </c>
      <c r="IN537" s="27" t="s">
        <v>7</v>
      </c>
      <c r="IO537" s="27" t="s">
        <v>8</v>
      </c>
      <c r="IP537" s="27" t="s">
        <v>7</v>
      </c>
      <c r="IR537" s="27" t="s">
        <v>7</v>
      </c>
      <c r="IS537" s="27" t="s">
        <v>8</v>
      </c>
      <c r="IT537" s="27" t="s">
        <v>7</v>
      </c>
      <c r="IU537" s="27" t="s">
        <v>8</v>
      </c>
      <c r="OF537" s="27" t="s">
        <v>7</v>
      </c>
      <c r="OG537" s="27" t="s">
        <v>8</v>
      </c>
      <c r="OR537" s="27" t="s">
        <v>7</v>
      </c>
      <c r="OS537" s="27" t="s">
        <v>8</v>
      </c>
      <c r="OT537" s="27" t="s">
        <v>7</v>
      </c>
    </row>
    <row r="538" spans="1:413" x14ac:dyDescent="0.25">
      <c r="A538" s="7">
        <v>2.6388117932094191</v>
      </c>
      <c r="B538"/>
      <c r="C538"/>
      <c r="D538"/>
      <c r="E538" t="s">
        <v>8</v>
      </c>
      <c r="CL538" s="27" t="s">
        <v>7</v>
      </c>
      <c r="CM538" s="27" t="s">
        <v>8</v>
      </c>
      <c r="CN538" s="27" t="s">
        <v>7</v>
      </c>
      <c r="CX538" s="27" t="s">
        <v>7</v>
      </c>
      <c r="CY538" s="27" t="s">
        <v>8</v>
      </c>
      <c r="DF538" s="27" t="s">
        <v>7</v>
      </c>
      <c r="DG538" s="27" t="s">
        <v>8</v>
      </c>
      <c r="DH538" s="27" t="s">
        <v>7</v>
      </c>
      <c r="DI538" s="27" t="s">
        <v>8</v>
      </c>
      <c r="DJ538" s="27" t="s">
        <v>7</v>
      </c>
      <c r="DK538" s="27" t="s">
        <v>8</v>
      </c>
      <c r="DL538" s="27" t="s">
        <v>7</v>
      </c>
      <c r="DM538" s="27" t="s">
        <v>8</v>
      </c>
      <c r="DN538" s="27" t="s">
        <v>7</v>
      </c>
      <c r="DO538" s="27" t="s">
        <v>8</v>
      </c>
      <c r="EN538" s="27" t="s">
        <v>7</v>
      </c>
      <c r="FA538" s="27" t="s">
        <v>8</v>
      </c>
      <c r="FB538" s="27" t="s">
        <v>7</v>
      </c>
      <c r="FC538" s="27" t="s">
        <v>8</v>
      </c>
      <c r="FD538" s="27" t="s">
        <v>7</v>
      </c>
      <c r="FG538" s="27" t="s">
        <v>8</v>
      </c>
      <c r="FH538" s="27" t="s">
        <v>7</v>
      </c>
      <c r="FI538" s="27" t="s">
        <v>8</v>
      </c>
      <c r="FJ538" s="27" t="s">
        <v>7</v>
      </c>
      <c r="FL538" s="27" t="s">
        <v>7</v>
      </c>
      <c r="FN538" s="27" t="s">
        <v>7</v>
      </c>
      <c r="FO538" s="27" t="s">
        <v>8</v>
      </c>
      <c r="FP538" s="27" t="s">
        <v>7</v>
      </c>
      <c r="FQ538" s="27" t="s">
        <v>8</v>
      </c>
      <c r="FS538" s="27" t="s">
        <v>8</v>
      </c>
      <c r="FT538" s="27" t="s">
        <v>7</v>
      </c>
      <c r="FV538" s="27" t="s">
        <v>7</v>
      </c>
      <c r="GE538" s="27" t="s">
        <v>8</v>
      </c>
      <c r="GF538" s="27" t="s">
        <v>7</v>
      </c>
      <c r="GG538" s="27" t="s">
        <v>8</v>
      </c>
      <c r="GV538" s="27" t="s">
        <v>7</v>
      </c>
      <c r="GW538" s="27" t="s">
        <v>8</v>
      </c>
      <c r="HB538" s="27" t="s">
        <v>7</v>
      </c>
      <c r="HC538" s="27" t="s">
        <v>8</v>
      </c>
      <c r="HD538" s="27" t="s">
        <v>7</v>
      </c>
      <c r="HG538" s="27" t="s">
        <v>8</v>
      </c>
      <c r="HH538" s="27" t="s">
        <v>7</v>
      </c>
      <c r="HI538" s="27" t="s">
        <v>8</v>
      </c>
      <c r="HJ538" s="27" t="s">
        <v>7</v>
      </c>
      <c r="HK538" s="27" t="s">
        <v>8</v>
      </c>
      <c r="HL538" s="27" t="s">
        <v>7</v>
      </c>
      <c r="HO538" s="27" t="s">
        <v>8</v>
      </c>
      <c r="HQ538" s="27" t="s">
        <v>8</v>
      </c>
      <c r="HR538" s="27" t="s">
        <v>7</v>
      </c>
      <c r="HS538" s="27" t="s">
        <v>8</v>
      </c>
      <c r="IB538" s="27" t="s">
        <v>7</v>
      </c>
      <c r="IC538" s="27" t="s">
        <v>8</v>
      </c>
      <c r="ID538" s="27" t="s">
        <v>7</v>
      </c>
      <c r="IE538" s="27" t="s">
        <v>8</v>
      </c>
      <c r="IF538" s="27" t="s">
        <v>7</v>
      </c>
      <c r="IG538" s="27" t="s">
        <v>8</v>
      </c>
      <c r="IL538" s="27" t="s">
        <v>7</v>
      </c>
      <c r="IM538" s="27" t="s">
        <v>8</v>
      </c>
      <c r="IN538" s="27" t="s">
        <v>7</v>
      </c>
      <c r="IO538" s="27" t="s">
        <v>8</v>
      </c>
      <c r="IR538" s="27" t="s">
        <v>7</v>
      </c>
      <c r="IS538" s="27" t="s">
        <v>8</v>
      </c>
      <c r="IT538" s="27" t="s">
        <v>7</v>
      </c>
      <c r="IU538" s="27" t="s">
        <v>8</v>
      </c>
      <c r="OF538" s="27" t="s">
        <v>7</v>
      </c>
      <c r="OG538" s="27" t="s">
        <v>8</v>
      </c>
      <c r="OR538" s="27" t="s">
        <v>7</v>
      </c>
      <c r="OS538" s="27" t="s">
        <v>8</v>
      </c>
      <c r="OT538" s="27" t="s">
        <v>7</v>
      </c>
    </row>
    <row r="539" spans="1:413" x14ac:dyDescent="0.25">
      <c r="A539" s="7">
        <v>2.5870703854994304</v>
      </c>
      <c r="B539"/>
      <c r="C539"/>
      <c r="D539"/>
      <c r="E539" t="s">
        <v>8</v>
      </c>
      <c r="CL539" s="27" t="s">
        <v>7</v>
      </c>
      <c r="CM539" s="27" t="s">
        <v>8</v>
      </c>
      <c r="CX539" s="27" t="s">
        <v>7</v>
      </c>
      <c r="CY539" s="27" t="s">
        <v>8</v>
      </c>
      <c r="DF539" s="27" t="s">
        <v>7</v>
      </c>
      <c r="DG539" s="27" t="s">
        <v>8</v>
      </c>
      <c r="DH539" s="27" t="s">
        <v>7</v>
      </c>
      <c r="DI539" s="27" t="s">
        <v>8</v>
      </c>
      <c r="DJ539" s="27" t="s">
        <v>7</v>
      </c>
      <c r="DL539" s="27" t="s">
        <v>7</v>
      </c>
      <c r="DM539" s="27" t="s">
        <v>8</v>
      </c>
      <c r="DN539" s="27" t="s">
        <v>7</v>
      </c>
      <c r="DO539" s="27" t="s">
        <v>8</v>
      </c>
      <c r="EN539" s="27" t="s">
        <v>7</v>
      </c>
      <c r="FA539" s="27" t="s">
        <v>8</v>
      </c>
      <c r="FB539" s="27" t="s">
        <v>7</v>
      </c>
      <c r="FD539" s="27" t="s">
        <v>7</v>
      </c>
      <c r="FE539" s="27" t="s">
        <v>8</v>
      </c>
      <c r="FG539" s="27" t="s">
        <v>8</v>
      </c>
      <c r="FH539" s="27" t="s">
        <v>7</v>
      </c>
      <c r="FI539" s="27" t="s">
        <v>8</v>
      </c>
      <c r="FN539" s="27" t="s">
        <v>7</v>
      </c>
      <c r="FO539" s="27" t="s">
        <v>8</v>
      </c>
      <c r="FP539" s="27" t="s">
        <v>7</v>
      </c>
      <c r="FQ539" s="27" t="s">
        <v>8</v>
      </c>
      <c r="FR539" s="27" t="s">
        <v>7</v>
      </c>
      <c r="FS539" s="27" t="s">
        <v>8</v>
      </c>
      <c r="FV539" s="27" t="s">
        <v>7</v>
      </c>
      <c r="FW539" s="27" t="s">
        <v>8</v>
      </c>
      <c r="FY539" s="27" t="s">
        <v>8</v>
      </c>
      <c r="GA539" s="27" t="s">
        <v>8</v>
      </c>
      <c r="GE539" s="27" t="s">
        <v>8</v>
      </c>
      <c r="GF539" s="27" t="s">
        <v>7</v>
      </c>
      <c r="GG539" s="27" t="s">
        <v>8</v>
      </c>
      <c r="GV539" s="27" t="s">
        <v>7</v>
      </c>
      <c r="GW539" s="27" t="s">
        <v>8</v>
      </c>
      <c r="HB539" s="27" t="s">
        <v>7</v>
      </c>
      <c r="HD539" s="27" t="s">
        <v>7</v>
      </c>
      <c r="HE539" s="27" t="s">
        <v>8</v>
      </c>
      <c r="HG539" s="27" t="s">
        <v>8</v>
      </c>
      <c r="HH539" s="27" t="s">
        <v>7</v>
      </c>
      <c r="HI539" s="27" t="s">
        <v>8</v>
      </c>
      <c r="HJ539" s="27" t="s">
        <v>7</v>
      </c>
      <c r="HK539" s="27" t="s">
        <v>8</v>
      </c>
      <c r="HL539" s="27" t="s">
        <v>7</v>
      </c>
      <c r="HM539" s="27" t="s">
        <v>8</v>
      </c>
      <c r="HO539" s="27" t="s">
        <v>8</v>
      </c>
      <c r="HP539" s="27" t="s">
        <v>7</v>
      </c>
      <c r="HQ539" s="27" t="s">
        <v>8</v>
      </c>
      <c r="HR539" s="27" t="s">
        <v>7</v>
      </c>
      <c r="HS539" s="27" t="s">
        <v>8</v>
      </c>
      <c r="IB539" s="27" t="s">
        <v>7</v>
      </c>
      <c r="IC539" s="27" t="s">
        <v>8</v>
      </c>
      <c r="ID539" s="27" t="s">
        <v>7</v>
      </c>
      <c r="IE539" s="27" t="s">
        <v>8</v>
      </c>
      <c r="IF539" s="27" t="s">
        <v>7</v>
      </c>
      <c r="IG539" s="27" t="s">
        <v>8</v>
      </c>
      <c r="IL539" s="27" t="s">
        <v>7</v>
      </c>
      <c r="IM539" s="27" t="s">
        <v>8</v>
      </c>
      <c r="IN539" s="27" t="s">
        <v>7</v>
      </c>
      <c r="IO539" s="27" t="s">
        <v>8</v>
      </c>
      <c r="IR539" s="27" t="s">
        <v>7</v>
      </c>
      <c r="IS539" s="27" t="s">
        <v>8</v>
      </c>
      <c r="IT539" s="27" t="s">
        <v>7</v>
      </c>
      <c r="IU539" s="27" t="s">
        <v>8</v>
      </c>
      <c r="OF539" s="27" t="s">
        <v>7</v>
      </c>
      <c r="OG539" s="27" t="s">
        <v>8</v>
      </c>
      <c r="OR539" s="27" t="s">
        <v>7</v>
      </c>
      <c r="OT539" s="27" t="s">
        <v>7</v>
      </c>
    </row>
    <row r="540" spans="1:413" x14ac:dyDescent="0.25">
      <c r="A540" s="7">
        <v>2.53634351519552</v>
      </c>
      <c r="B540"/>
      <c r="C540"/>
      <c r="D540"/>
      <c r="E540" t="s">
        <v>8</v>
      </c>
      <c r="CL540" s="27" t="s">
        <v>7</v>
      </c>
      <c r="CM540" s="27" t="s">
        <v>8</v>
      </c>
      <c r="CX540" s="27" t="s">
        <v>7</v>
      </c>
      <c r="DF540" s="27" t="s">
        <v>7</v>
      </c>
      <c r="DG540" s="27" t="s">
        <v>8</v>
      </c>
      <c r="DH540" s="27" t="s">
        <v>7</v>
      </c>
      <c r="DI540" s="27" t="s">
        <v>8</v>
      </c>
      <c r="DL540" s="27" t="s">
        <v>7</v>
      </c>
      <c r="DM540" s="27" t="s">
        <v>8</v>
      </c>
      <c r="DN540" s="27" t="s">
        <v>7</v>
      </c>
      <c r="DO540" s="27" t="s">
        <v>8</v>
      </c>
      <c r="EN540" s="27" t="s">
        <v>7</v>
      </c>
      <c r="FA540" s="27" t="s">
        <v>8</v>
      </c>
      <c r="FD540" s="27" t="s">
        <v>7</v>
      </c>
      <c r="FE540" s="27" t="s">
        <v>8</v>
      </c>
      <c r="FF540" s="27" t="s">
        <v>7</v>
      </c>
      <c r="FG540" s="27" t="s">
        <v>8</v>
      </c>
      <c r="FH540" s="27" t="s">
        <v>7</v>
      </c>
      <c r="FI540" s="27" t="s">
        <v>8</v>
      </c>
      <c r="FN540" s="27" t="s">
        <v>7</v>
      </c>
      <c r="FO540" s="27" t="s">
        <v>8</v>
      </c>
      <c r="FP540" s="27" t="s">
        <v>7</v>
      </c>
      <c r="FQ540" s="27" t="s">
        <v>8</v>
      </c>
      <c r="FR540" s="27" t="s">
        <v>7</v>
      </c>
      <c r="FS540" s="27" t="s">
        <v>8</v>
      </c>
      <c r="FV540" s="27" t="s">
        <v>7</v>
      </c>
      <c r="FW540" s="27" t="s">
        <v>8</v>
      </c>
      <c r="FX540" s="27" t="s">
        <v>7</v>
      </c>
      <c r="FY540" s="27" t="s">
        <v>8</v>
      </c>
      <c r="FZ540" s="27" t="s">
        <v>7</v>
      </c>
      <c r="GA540" s="27" t="s">
        <v>8</v>
      </c>
      <c r="GB540" s="27" t="s">
        <v>7</v>
      </c>
      <c r="GE540" s="27" t="s">
        <v>8</v>
      </c>
      <c r="GF540" s="27" t="s">
        <v>7</v>
      </c>
      <c r="GG540" s="27" t="s">
        <v>8</v>
      </c>
      <c r="GV540" s="27" t="s">
        <v>7</v>
      </c>
      <c r="HD540" s="27" t="s">
        <v>7</v>
      </c>
      <c r="HE540" s="27" t="s">
        <v>8</v>
      </c>
      <c r="HF540" s="27" t="s">
        <v>7</v>
      </c>
      <c r="HG540" s="27" t="s">
        <v>8</v>
      </c>
      <c r="HH540" s="27" t="s">
        <v>7</v>
      </c>
      <c r="HJ540" s="27" t="s">
        <v>7</v>
      </c>
      <c r="HL540" s="27" t="s">
        <v>7</v>
      </c>
      <c r="HM540" s="27" t="s">
        <v>8</v>
      </c>
      <c r="HN540" s="27" t="s">
        <v>7</v>
      </c>
      <c r="HO540" s="27" t="s">
        <v>8</v>
      </c>
      <c r="HP540" s="27" t="s">
        <v>7</v>
      </c>
      <c r="HQ540" s="27" t="s">
        <v>8</v>
      </c>
      <c r="HR540" s="27" t="s">
        <v>7</v>
      </c>
      <c r="HS540" s="27" t="s">
        <v>8</v>
      </c>
      <c r="IB540" s="27" t="s">
        <v>7</v>
      </c>
      <c r="IC540" s="27" t="s">
        <v>8</v>
      </c>
      <c r="ID540" s="27" t="s">
        <v>7</v>
      </c>
      <c r="IE540" s="27" t="s">
        <v>8</v>
      </c>
      <c r="IF540" s="27" t="s">
        <v>7</v>
      </c>
      <c r="IL540" s="27" t="s">
        <v>7</v>
      </c>
      <c r="IM540" s="27" t="s">
        <v>8</v>
      </c>
      <c r="IN540" s="27" t="s">
        <v>7</v>
      </c>
      <c r="IR540" s="27" t="s">
        <v>7</v>
      </c>
      <c r="IS540" s="27" t="s">
        <v>8</v>
      </c>
      <c r="IT540" s="27" t="s">
        <v>7</v>
      </c>
      <c r="IU540" s="27" t="s">
        <v>8</v>
      </c>
      <c r="OF540" s="27" t="s">
        <v>7</v>
      </c>
      <c r="OG540" s="27" t="s">
        <v>8</v>
      </c>
      <c r="OT540" s="27" t="s">
        <v>7</v>
      </c>
    </row>
    <row r="541" spans="1:413" x14ac:dyDescent="0.25">
      <c r="A541" s="7">
        <v>2.4866112894073726</v>
      </c>
      <c r="B541"/>
      <c r="C541"/>
      <c r="D541"/>
      <c r="E541" t="s">
        <v>8</v>
      </c>
      <c r="CL541" s="27" t="s">
        <v>7</v>
      </c>
      <c r="CM541" s="27" t="s">
        <v>8</v>
      </c>
      <c r="DF541" s="27" t="s">
        <v>7</v>
      </c>
      <c r="DH541" s="27" t="s">
        <v>7</v>
      </c>
      <c r="DI541" s="27" t="s">
        <v>8</v>
      </c>
      <c r="DL541" s="27" t="s">
        <v>7</v>
      </c>
      <c r="DM541" s="27" t="s">
        <v>8</v>
      </c>
      <c r="DN541" s="27" t="s">
        <v>7</v>
      </c>
      <c r="DO541" s="27" t="s">
        <v>8</v>
      </c>
      <c r="EN541" s="27" t="s">
        <v>7</v>
      </c>
      <c r="ES541" s="27" t="s">
        <v>8</v>
      </c>
      <c r="EY541" s="27" t="s">
        <v>8</v>
      </c>
      <c r="FA541" s="27" t="s">
        <v>8</v>
      </c>
      <c r="FD541" s="27" t="s">
        <v>7</v>
      </c>
      <c r="FE541" s="27" t="s">
        <v>8</v>
      </c>
      <c r="FF541" s="27" t="s">
        <v>7</v>
      </c>
      <c r="FG541" s="27" t="s">
        <v>8</v>
      </c>
      <c r="FH541" s="27" t="s">
        <v>7</v>
      </c>
      <c r="FI541" s="27" t="s">
        <v>8</v>
      </c>
      <c r="FN541" s="27" t="s">
        <v>7</v>
      </c>
      <c r="FO541" s="27" t="s">
        <v>8</v>
      </c>
      <c r="FP541" s="27" t="s">
        <v>7</v>
      </c>
      <c r="FQ541" s="27" t="s">
        <v>8</v>
      </c>
      <c r="FR541" s="27" t="s">
        <v>7</v>
      </c>
      <c r="FV541" s="27" t="s">
        <v>7</v>
      </c>
      <c r="FW541" s="27" t="s">
        <v>8</v>
      </c>
      <c r="FX541" s="27" t="s">
        <v>7</v>
      </c>
      <c r="FY541" s="27" t="s">
        <v>8</v>
      </c>
      <c r="FZ541" s="27" t="s">
        <v>7</v>
      </c>
      <c r="GA541" s="27" t="s">
        <v>8</v>
      </c>
      <c r="GB541" s="27" t="s">
        <v>7</v>
      </c>
      <c r="GC541" s="27" t="s">
        <v>8</v>
      </c>
      <c r="GE541" s="27" t="s">
        <v>8</v>
      </c>
      <c r="GF541" s="27" t="s">
        <v>7</v>
      </c>
      <c r="GG541" s="27" t="s">
        <v>8</v>
      </c>
      <c r="HD541" s="27" t="s">
        <v>7</v>
      </c>
      <c r="HE541" s="27" t="s">
        <v>8</v>
      </c>
      <c r="HF541" s="27" t="s">
        <v>7</v>
      </c>
      <c r="HG541" s="27" t="s">
        <v>8</v>
      </c>
      <c r="HL541" s="27" t="s">
        <v>7</v>
      </c>
      <c r="HM541" s="27" t="s">
        <v>8</v>
      </c>
      <c r="HN541" s="27" t="s">
        <v>7</v>
      </c>
      <c r="HO541" s="27" t="s">
        <v>8</v>
      </c>
      <c r="HP541" s="27" t="s">
        <v>7</v>
      </c>
      <c r="HR541" s="27" t="s">
        <v>7</v>
      </c>
      <c r="IB541" s="27" t="s">
        <v>7</v>
      </c>
      <c r="IC541" s="27" t="s">
        <v>8</v>
      </c>
      <c r="ID541" s="27" t="s">
        <v>7</v>
      </c>
      <c r="IL541" s="27" t="s">
        <v>7</v>
      </c>
      <c r="IM541" s="27" t="s">
        <v>8</v>
      </c>
      <c r="IR541" s="27" t="s">
        <v>7</v>
      </c>
      <c r="IS541" s="27" t="s">
        <v>8</v>
      </c>
      <c r="IT541" s="27" t="s">
        <v>7</v>
      </c>
      <c r="OF541" s="27" t="s">
        <v>7</v>
      </c>
      <c r="OG541" s="27" t="s">
        <v>8</v>
      </c>
      <c r="OT541" s="27" t="s">
        <v>7</v>
      </c>
    </row>
    <row r="542" spans="1:413" x14ac:dyDescent="0.25">
      <c r="A542" s="7">
        <v>2.4378542053013459</v>
      </c>
      <c r="B542"/>
      <c r="C542"/>
      <c r="D542"/>
      <c r="E542" t="s">
        <v>8</v>
      </c>
      <c r="CL542" s="27" t="s">
        <v>7</v>
      </c>
      <c r="DH542" s="27" t="s">
        <v>7</v>
      </c>
      <c r="DI542" s="27" t="s">
        <v>8</v>
      </c>
      <c r="DL542" s="27" t="s">
        <v>7</v>
      </c>
      <c r="DM542" s="27" t="s">
        <v>8</v>
      </c>
      <c r="DN542" s="27" t="s">
        <v>7</v>
      </c>
      <c r="EN542" s="27" t="s">
        <v>7</v>
      </c>
      <c r="ES542" s="27" t="s">
        <v>8</v>
      </c>
      <c r="ET542" s="27" t="s">
        <v>7</v>
      </c>
      <c r="EY542" s="27" t="s">
        <v>8</v>
      </c>
      <c r="EZ542" s="27" t="s">
        <v>7</v>
      </c>
      <c r="FA542" s="27" t="s">
        <v>8</v>
      </c>
      <c r="FD542" s="27" t="s">
        <v>7</v>
      </c>
      <c r="FF542" s="27" t="s">
        <v>7</v>
      </c>
      <c r="FG542" s="27" t="s">
        <v>8</v>
      </c>
      <c r="FH542" s="27" t="s">
        <v>7</v>
      </c>
      <c r="FN542" s="27" t="s">
        <v>7</v>
      </c>
      <c r="FO542" s="27" t="s">
        <v>8</v>
      </c>
      <c r="FP542" s="27" t="s">
        <v>7</v>
      </c>
      <c r="FV542" s="27" t="s">
        <v>7</v>
      </c>
      <c r="FX542" s="27" t="s">
        <v>7</v>
      </c>
      <c r="FZ542" s="27" t="s">
        <v>7</v>
      </c>
      <c r="GB542" s="27" t="s">
        <v>7</v>
      </c>
      <c r="GC542" s="27" t="s">
        <v>8</v>
      </c>
      <c r="GD542" s="27" t="s">
        <v>7</v>
      </c>
      <c r="GE542" s="27" t="s">
        <v>8</v>
      </c>
      <c r="GF542" s="27" t="s">
        <v>7</v>
      </c>
      <c r="HD542" s="27" t="s">
        <v>7</v>
      </c>
      <c r="HF542" s="27" t="s">
        <v>7</v>
      </c>
      <c r="HL542" s="27" t="s">
        <v>7</v>
      </c>
      <c r="HM542" s="27" t="s">
        <v>8</v>
      </c>
      <c r="HN542" s="27" t="s">
        <v>7</v>
      </c>
      <c r="IB542" s="27" t="s">
        <v>7</v>
      </c>
      <c r="IC542" s="27" t="s">
        <v>8</v>
      </c>
      <c r="IL542" s="27" t="s">
        <v>7</v>
      </c>
      <c r="IM542" s="27" t="s">
        <v>8</v>
      </c>
      <c r="IR542" s="27" t="s">
        <v>7</v>
      </c>
      <c r="OF542" s="27" t="s">
        <v>7</v>
      </c>
      <c r="OT542" s="27" t="s">
        <v>7</v>
      </c>
    </row>
    <row r="543" spans="1:413" x14ac:dyDescent="0.25">
      <c r="A543" s="7">
        <v>2.3900531424522997</v>
      </c>
      <c r="B543"/>
      <c r="C543"/>
      <c r="D543"/>
      <c r="E543" t="s">
        <v>8</v>
      </c>
      <c r="DH543" s="27" t="s">
        <v>7</v>
      </c>
      <c r="DI543" s="27" t="s">
        <v>8</v>
      </c>
      <c r="DL543" s="27" t="s">
        <v>7</v>
      </c>
      <c r="DM543" s="27" t="s">
        <v>8</v>
      </c>
      <c r="EN543" s="27" t="s">
        <v>7</v>
      </c>
      <c r="ES543" s="27" t="s">
        <v>8</v>
      </c>
      <c r="ET543" s="27" t="s">
        <v>7</v>
      </c>
      <c r="EU543" s="27" t="s">
        <v>8</v>
      </c>
      <c r="EY543" s="27" t="s">
        <v>8</v>
      </c>
      <c r="EZ543" s="27" t="s">
        <v>7</v>
      </c>
      <c r="FA543" s="27" t="s">
        <v>8</v>
      </c>
      <c r="FF543" s="27" t="s">
        <v>7</v>
      </c>
      <c r="FG543" s="27" t="s">
        <v>8</v>
      </c>
      <c r="FN543" s="27" t="s">
        <v>7</v>
      </c>
      <c r="FO543" s="27" t="s">
        <v>8</v>
      </c>
      <c r="GB543" s="27" t="s">
        <v>7</v>
      </c>
      <c r="GC543" s="27" t="s">
        <v>8</v>
      </c>
      <c r="GD543" s="27" t="s">
        <v>7</v>
      </c>
      <c r="GE543" s="27" t="s">
        <v>8</v>
      </c>
      <c r="HL543" s="27" t="s">
        <v>7</v>
      </c>
      <c r="HM543" s="27" t="s">
        <v>8</v>
      </c>
      <c r="IB543" s="27" t="s">
        <v>7</v>
      </c>
      <c r="IC543" s="27" t="s">
        <v>8</v>
      </c>
      <c r="IL543" s="27" t="s">
        <v>7</v>
      </c>
      <c r="OT543" s="27" t="s">
        <v>7</v>
      </c>
    </row>
    <row r="544" spans="1:413" x14ac:dyDescent="0.25">
      <c r="A544" s="7">
        <v>2.343189355345392</v>
      </c>
      <c r="B544"/>
      <c r="C544"/>
      <c r="D544"/>
      <c r="E544" t="s">
        <v>8</v>
      </c>
      <c r="DH544" s="27" t="s">
        <v>7</v>
      </c>
      <c r="DL544" s="27" t="s">
        <v>7</v>
      </c>
      <c r="DM544" s="27" t="s">
        <v>8</v>
      </c>
      <c r="EN544" s="27" t="s">
        <v>7</v>
      </c>
      <c r="ES544" s="27" t="s">
        <v>8</v>
      </c>
      <c r="ET544" s="27" t="s">
        <v>7</v>
      </c>
      <c r="EU544" s="27" t="s">
        <v>8</v>
      </c>
      <c r="EV544" s="27" t="s">
        <v>7</v>
      </c>
      <c r="EW544" s="27" t="s">
        <v>8</v>
      </c>
      <c r="EY544" s="27" t="s">
        <v>8</v>
      </c>
      <c r="EZ544" s="27" t="s">
        <v>7</v>
      </c>
      <c r="FA544" s="27" t="s">
        <v>8</v>
      </c>
      <c r="FF544" s="27" t="s">
        <v>7</v>
      </c>
      <c r="FN544" s="27" t="s">
        <v>7</v>
      </c>
      <c r="FO544" s="27" t="s">
        <v>8</v>
      </c>
      <c r="GB544" s="27" t="s">
        <v>7</v>
      </c>
      <c r="GC544" s="27" t="s">
        <v>8</v>
      </c>
      <c r="GD544" s="27" t="s">
        <v>7</v>
      </c>
      <c r="HL544" s="27" t="s">
        <v>7</v>
      </c>
      <c r="HM544" s="27" t="s">
        <v>8</v>
      </c>
      <c r="IB544" s="27" t="s">
        <v>7</v>
      </c>
      <c r="IC544" s="27" t="s">
        <v>8</v>
      </c>
      <c r="OT544" s="27" t="s">
        <v>7</v>
      </c>
      <c r="OW544" s="27" t="s">
        <v>8</v>
      </c>
    </row>
    <row r="545" spans="1:414" x14ac:dyDescent="0.25">
      <c r="A545" s="7">
        <v>2.2972444660248938</v>
      </c>
      <c r="B545"/>
      <c r="C545"/>
      <c r="D545"/>
      <c r="E545" t="s">
        <v>8</v>
      </c>
      <c r="DL545" s="27" t="s">
        <v>7</v>
      </c>
      <c r="DM545" s="27" t="s">
        <v>8</v>
      </c>
      <c r="EN545" s="27" t="s">
        <v>7</v>
      </c>
      <c r="ES545" s="27" t="s">
        <v>8</v>
      </c>
      <c r="ET545" s="27" t="s">
        <v>7</v>
      </c>
      <c r="EU545" s="27" t="s">
        <v>8</v>
      </c>
      <c r="EV545" s="27" t="s">
        <v>7</v>
      </c>
      <c r="EW545" s="27" t="s">
        <v>8</v>
      </c>
      <c r="EX545" s="27" t="s">
        <v>7</v>
      </c>
      <c r="EY545" s="27" t="s">
        <v>8</v>
      </c>
      <c r="EZ545" s="27" t="s">
        <v>7</v>
      </c>
      <c r="FN545" s="27" t="s">
        <v>7</v>
      </c>
      <c r="GB545" s="27" t="s">
        <v>7</v>
      </c>
      <c r="GC545" s="27" t="s">
        <v>8</v>
      </c>
      <c r="HL545" s="27" t="s">
        <v>7</v>
      </c>
      <c r="HM545" s="27" t="s">
        <v>8</v>
      </c>
      <c r="IB545" s="27" t="s">
        <v>7</v>
      </c>
      <c r="IC545" s="27" t="s">
        <v>8</v>
      </c>
      <c r="OT545" s="27" t="s">
        <v>7</v>
      </c>
      <c r="OW545" s="27" t="s">
        <v>8</v>
      </c>
      <c r="OX545" s="27" t="s">
        <v>7</v>
      </c>
    </row>
    <row r="546" spans="1:414" x14ac:dyDescent="0.25">
      <c r="A546" s="7">
        <v>2.252200456887151</v>
      </c>
      <c r="B546"/>
      <c r="C546"/>
      <c r="D546"/>
      <c r="E546" t="s">
        <v>8</v>
      </c>
      <c r="DL546" s="27" t="s">
        <v>7</v>
      </c>
      <c r="DM546" s="27" t="s">
        <v>8</v>
      </c>
      <c r="EN546" s="27" t="s">
        <v>7</v>
      </c>
      <c r="ES546" s="27" t="s">
        <v>8</v>
      </c>
      <c r="ET546" s="27" t="s">
        <v>7</v>
      </c>
      <c r="EU546" s="27" t="s">
        <v>8</v>
      </c>
      <c r="EV546" s="27" t="s">
        <v>7</v>
      </c>
      <c r="EW546" s="27" t="s">
        <v>8</v>
      </c>
      <c r="EX546" s="27" t="s">
        <v>7</v>
      </c>
      <c r="EY546" s="27" t="s">
        <v>8</v>
      </c>
      <c r="GB546" s="27" t="s">
        <v>7</v>
      </c>
      <c r="GC546" s="27" t="s">
        <v>8</v>
      </c>
      <c r="HL546" s="27" t="s">
        <v>7</v>
      </c>
      <c r="IB546" s="27" t="s">
        <v>7</v>
      </c>
      <c r="IC546" s="27" t="s">
        <v>8</v>
      </c>
      <c r="OT546" s="27" t="s">
        <v>7</v>
      </c>
      <c r="OU546" s="27" t="s">
        <v>8</v>
      </c>
      <c r="OW546" s="27" t="s">
        <v>8</v>
      </c>
      <c r="OX546" s="27" t="s">
        <v>7</v>
      </c>
    </row>
    <row r="547" spans="1:414" x14ac:dyDescent="0.25">
      <c r="A547" s="7">
        <v>2.208039663614854</v>
      </c>
      <c r="B547"/>
      <c r="C547"/>
      <c r="D547"/>
      <c r="E547" t="s">
        <v>8</v>
      </c>
      <c r="DL547" s="27" t="s">
        <v>7</v>
      </c>
      <c r="DM547" s="27" t="s">
        <v>8</v>
      </c>
      <c r="EN547" s="27" t="s">
        <v>7</v>
      </c>
      <c r="ES547" s="27" t="s">
        <v>8</v>
      </c>
      <c r="ET547" s="27" t="s">
        <v>7</v>
      </c>
      <c r="EU547" s="27" t="s">
        <v>8</v>
      </c>
      <c r="EV547" s="27" t="s">
        <v>7</v>
      </c>
      <c r="EW547" s="27" t="s">
        <v>8</v>
      </c>
      <c r="EX547" s="27" t="s">
        <v>7</v>
      </c>
      <c r="EY547" s="27" t="s">
        <v>8</v>
      </c>
      <c r="GB547" s="27" t="s">
        <v>7</v>
      </c>
      <c r="IB547" s="27" t="s">
        <v>7</v>
      </c>
      <c r="IC547" s="27" t="s">
        <v>8</v>
      </c>
      <c r="OT547" s="27" t="s">
        <v>7</v>
      </c>
      <c r="OU547" s="27" t="s">
        <v>8</v>
      </c>
      <c r="OV547" s="27" t="s">
        <v>7</v>
      </c>
      <c r="OW547" s="27" t="s">
        <v>8</v>
      </c>
      <c r="OX547" s="27" t="s">
        <v>7</v>
      </c>
    </row>
    <row r="548" spans="1:414" x14ac:dyDescent="0.25">
      <c r="A548" s="7">
        <v>2.1647447682498568</v>
      </c>
      <c r="B548"/>
      <c r="C548"/>
      <c r="D548"/>
      <c r="E548" t="s">
        <v>8</v>
      </c>
      <c r="DL548" s="27" t="s">
        <v>7</v>
      </c>
      <c r="EN548" s="27" t="s">
        <v>7</v>
      </c>
      <c r="ES548" s="27" t="s">
        <v>8</v>
      </c>
      <c r="ET548" s="27" t="s">
        <v>7</v>
      </c>
      <c r="EU548" s="27" t="s">
        <v>8</v>
      </c>
      <c r="EV548" s="27" t="s">
        <v>7</v>
      </c>
      <c r="EW548" s="27" t="s">
        <v>8</v>
      </c>
      <c r="EX548" s="27" t="s">
        <v>7</v>
      </c>
      <c r="EY548" s="27" t="s">
        <v>8</v>
      </c>
      <c r="IB548" s="27" t="s">
        <v>7</v>
      </c>
      <c r="IC548" s="27" t="s">
        <v>8</v>
      </c>
      <c r="OT548" s="27" t="s">
        <v>7</v>
      </c>
      <c r="OU548" s="27" t="s">
        <v>8</v>
      </c>
      <c r="OV548" s="27" t="s">
        <v>7</v>
      </c>
      <c r="OW548" s="27" t="s">
        <v>8</v>
      </c>
    </row>
    <row r="549" spans="1:414" x14ac:dyDescent="0.25">
      <c r="A549" s="7">
        <v>2.1222987924018204</v>
      </c>
      <c r="B549"/>
      <c r="C549"/>
      <c r="D549"/>
      <c r="E549" t="s">
        <v>8</v>
      </c>
      <c r="EN549" s="27" t="s">
        <v>7</v>
      </c>
      <c r="EO549" s="27" t="s">
        <v>8</v>
      </c>
      <c r="ES549" s="27" t="s">
        <v>8</v>
      </c>
      <c r="ET549" s="27" t="s">
        <v>7</v>
      </c>
      <c r="EV549" s="27" t="s">
        <v>7</v>
      </c>
      <c r="EW549" s="27" t="s">
        <v>8</v>
      </c>
      <c r="EX549" s="27" t="s">
        <v>7</v>
      </c>
      <c r="IB549" s="27" t="s">
        <v>7</v>
      </c>
      <c r="IC549" s="27" t="s">
        <v>8</v>
      </c>
      <c r="OT549" s="27" t="s">
        <v>7</v>
      </c>
      <c r="OU549" s="27" t="s">
        <v>8</v>
      </c>
      <c r="OV549" s="27" t="s">
        <v>7</v>
      </c>
      <c r="OW549" s="27" t="s">
        <v>8</v>
      </c>
    </row>
    <row r="550" spans="1:414" x14ac:dyDescent="0.25">
      <c r="A550" s="7">
        <v>2.0806850905900198</v>
      </c>
      <c r="B550"/>
      <c r="C550"/>
      <c r="D550"/>
      <c r="E550" t="s">
        <v>8</v>
      </c>
      <c r="EN550" s="27" t="s">
        <v>7</v>
      </c>
      <c r="EO550" s="27" t="s">
        <v>8</v>
      </c>
      <c r="EP550" s="27" t="s">
        <v>7</v>
      </c>
      <c r="ES550" s="27" t="s">
        <v>8</v>
      </c>
      <c r="EV550" s="27" t="s">
        <v>7</v>
      </c>
      <c r="IB550" s="27" t="s">
        <v>7</v>
      </c>
      <c r="IC550" s="27" t="s">
        <v>8</v>
      </c>
      <c r="OT550" s="27" t="s">
        <v>7</v>
      </c>
      <c r="OU550" s="27" t="s">
        <v>8</v>
      </c>
      <c r="OV550" s="27" t="s">
        <v>7</v>
      </c>
      <c r="OW550" s="27" t="s">
        <v>8</v>
      </c>
    </row>
    <row r="551" spans="1:414" x14ac:dyDescent="0.25">
      <c r="A551" s="7">
        <v>2.0398873437157055</v>
      </c>
      <c r="B551"/>
      <c r="C551"/>
      <c r="D551"/>
      <c r="E551" t="s">
        <v>8</v>
      </c>
      <c r="EN551" s="27" t="s">
        <v>7</v>
      </c>
      <c r="EO551" s="27" t="s">
        <v>8</v>
      </c>
      <c r="EP551" s="27" t="s">
        <v>7</v>
      </c>
      <c r="ES551" s="27" t="s">
        <v>8</v>
      </c>
      <c r="IB551" s="27" t="s">
        <v>7</v>
      </c>
      <c r="IC551" s="27" t="s">
        <v>8</v>
      </c>
      <c r="OT551" s="27" t="s">
        <v>7</v>
      </c>
      <c r="OV551" s="27" t="s">
        <v>7</v>
      </c>
      <c r="OW551" s="27" t="s">
        <v>8</v>
      </c>
    </row>
    <row r="552" spans="1:414" x14ac:dyDescent="0.25">
      <c r="A552" s="7">
        <v>1.9998895526624565</v>
      </c>
      <c r="B552"/>
      <c r="C552"/>
      <c r="D552"/>
      <c r="E552" t="s">
        <v>8</v>
      </c>
      <c r="EN552" s="27" t="s">
        <v>7</v>
      </c>
      <c r="EO552" s="27" t="s">
        <v>8</v>
      </c>
      <c r="EP552" s="27" t="s">
        <v>7</v>
      </c>
      <c r="EQ552" s="27" t="s">
        <v>8</v>
      </c>
      <c r="ES552" s="27" t="s">
        <v>8</v>
      </c>
      <c r="IB552" s="27" t="s">
        <v>7</v>
      </c>
      <c r="OV552" s="27" t="s">
        <v>7</v>
      </c>
    </row>
    <row r="553" spans="1:414" x14ac:dyDescent="0.25">
      <c r="A553" s="7">
        <v>1.9606760320220162</v>
      </c>
      <c r="B553"/>
      <c r="C553"/>
      <c r="D553"/>
      <c r="E553" t="s">
        <v>8</v>
      </c>
      <c r="EN553" s="27" t="s">
        <v>7</v>
      </c>
      <c r="EO553" s="27" t="s">
        <v>8</v>
      </c>
      <c r="EP553" s="27" t="s">
        <v>7</v>
      </c>
      <c r="EQ553" s="27" t="s">
        <v>8</v>
      </c>
      <c r="ER553" s="27" t="s">
        <v>7</v>
      </c>
      <c r="ES553" s="27" t="s">
        <v>8</v>
      </c>
    </row>
    <row r="554" spans="1:414" x14ac:dyDescent="0.25">
      <c r="A554" s="7">
        <v>1.9222314039431532</v>
      </c>
      <c r="B554"/>
      <c r="C554"/>
      <c r="D554"/>
      <c r="E554" t="s">
        <v>8</v>
      </c>
      <c r="EN554" s="27" t="s">
        <v>7</v>
      </c>
      <c r="EO554" s="27" t="s">
        <v>8</v>
      </c>
      <c r="EP554" s="27" t="s">
        <v>7</v>
      </c>
      <c r="EQ554" s="27" t="s">
        <v>8</v>
      </c>
      <c r="ER554" s="27" t="s">
        <v>7</v>
      </c>
      <c r="ES554" s="27" t="s">
        <v>8</v>
      </c>
    </row>
    <row r="555" spans="1:414" x14ac:dyDescent="0.25">
      <c r="A555" s="7">
        <v>1.8845405921011305</v>
      </c>
      <c r="B555"/>
      <c r="C555"/>
      <c r="D555"/>
      <c r="E555" t="s">
        <v>8</v>
      </c>
      <c r="EN555" s="27" t="s">
        <v>7</v>
      </c>
      <c r="EO555" s="27" t="s">
        <v>8</v>
      </c>
      <c r="EP555" s="27" t="s">
        <v>7</v>
      </c>
      <c r="EQ555" s="27" t="s">
        <v>8</v>
      </c>
      <c r="ER555" s="27" t="s">
        <v>7</v>
      </c>
    </row>
    <row r="556" spans="1:414" x14ac:dyDescent="0.25">
      <c r="A556" s="7">
        <v>1.8475888157854219</v>
      </c>
      <c r="B556"/>
      <c r="C556"/>
      <c r="D556"/>
      <c r="E556" t="s">
        <v>8</v>
      </c>
      <c r="EN556" s="27" t="s">
        <v>7</v>
      </c>
      <c r="EO556" s="27" t="s">
        <v>8</v>
      </c>
      <c r="EP556" s="27" t="s">
        <v>7</v>
      </c>
      <c r="EQ556" s="27" t="s">
        <v>8</v>
      </c>
    </row>
    <row r="557" spans="1:414" x14ac:dyDescent="0.25">
      <c r="A557" s="7">
        <v>1.8113615841033548</v>
      </c>
      <c r="B557"/>
      <c r="C557"/>
      <c r="D557"/>
      <c r="E557" t="s">
        <v>8</v>
      </c>
      <c r="EN557" s="27" t="s">
        <v>7</v>
      </c>
      <c r="EO557" s="27" t="s">
        <v>8</v>
      </c>
      <c r="EP557" s="27" t="s">
        <v>7</v>
      </c>
      <c r="EQ557" s="27" t="s">
        <v>8</v>
      </c>
    </row>
    <row r="558" spans="1:414" x14ac:dyDescent="0.25">
      <c r="A558" s="7">
        <v>1.7758446902974065</v>
      </c>
      <c r="B558"/>
      <c r="C558"/>
      <c r="D558"/>
      <c r="E558" t="s">
        <v>8</v>
      </c>
      <c r="EN558" s="27" t="s">
        <v>7</v>
      </c>
      <c r="EO558" s="27" t="s">
        <v>8</v>
      </c>
      <c r="EP558" s="27" t="s">
        <v>7</v>
      </c>
      <c r="EQ558" s="27" t="s">
        <v>8</v>
      </c>
    </row>
    <row r="559" spans="1:414" x14ac:dyDescent="0.25">
      <c r="A559" s="7">
        <v>1.7410242061739281</v>
      </c>
      <c r="B559"/>
      <c r="C559"/>
      <c r="D559"/>
      <c r="E559" t="s">
        <v>8</v>
      </c>
      <c r="EN559" s="27" t="s">
        <v>7</v>
      </c>
      <c r="EO559" s="27" t="s">
        <v>8</v>
      </c>
      <c r="EP559" s="27" t="s">
        <v>7</v>
      </c>
    </row>
    <row r="560" spans="1:414" x14ac:dyDescent="0.25">
      <c r="A560" s="7">
        <v>1.7068864766411058</v>
      </c>
      <c r="B560"/>
      <c r="C560"/>
      <c r="D560"/>
      <c r="E560" t="s">
        <v>8</v>
      </c>
      <c r="EN560" s="27" t="s">
        <v>7</v>
      </c>
      <c r="EO560" s="27" t="s">
        <v>8</v>
      </c>
    </row>
    <row r="561" spans="1:145" x14ac:dyDescent="0.25">
      <c r="A561" s="7">
        <v>1.6734181143540252</v>
      </c>
      <c r="B561"/>
      <c r="C561"/>
      <c r="D561"/>
      <c r="E561" t="s">
        <v>8</v>
      </c>
      <c r="EN561" s="27" t="s">
        <v>7</v>
      </c>
      <c r="EO561" s="27" t="s">
        <v>8</v>
      </c>
    </row>
    <row r="562" spans="1:145" x14ac:dyDescent="0.25">
      <c r="A562" s="7">
        <v>1.6406059944647307</v>
      </c>
      <c r="B562"/>
      <c r="C562"/>
      <c r="D562"/>
      <c r="E562" t="s">
        <v>8</v>
      </c>
      <c r="EN562" s="27" t="s">
        <v>7</v>
      </c>
      <c r="EO562" s="27" t="s">
        <v>8</v>
      </c>
    </row>
    <row r="563" spans="1:145" x14ac:dyDescent="0.25">
      <c r="A563" s="7">
        <v>1.6084372494752261</v>
      </c>
      <c r="B563"/>
      <c r="C563"/>
      <c r="D563"/>
      <c r="E563" t="s">
        <v>8</v>
      </c>
      <c r="EN563" s="27" t="s">
        <v>7</v>
      </c>
      <c r="EO563" s="27" t="s">
        <v>8</v>
      </c>
    </row>
    <row r="564" spans="1:145" x14ac:dyDescent="0.25">
      <c r="A564" s="7">
        <v>1.5768992641913981</v>
      </c>
      <c r="B564"/>
      <c r="C564"/>
      <c r="D564"/>
      <c r="E564" t="s">
        <v>8</v>
      </c>
      <c r="EN564" s="27" t="s">
        <v>7</v>
      </c>
      <c r="EO564" s="27" t="s">
        <v>8</v>
      </c>
    </row>
    <row r="565" spans="1:145" x14ac:dyDescent="0.25">
      <c r="A565" s="7">
        <v>1.5459796707758806</v>
      </c>
      <c r="B565"/>
      <c r="C565"/>
      <c r="D565"/>
      <c r="E565" t="s">
        <v>8</v>
      </c>
      <c r="EN565" s="27" t="s">
        <v>7</v>
      </c>
      <c r="EO565" s="27" t="s">
        <v>8</v>
      </c>
    </row>
    <row r="566" spans="1:145" x14ac:dyDescent="0.25">
      <c r="A566" s="7">
        <v>1.5156663438979221</v>
      </c>
      <c r="B566"/>
      <c r="C566"/>
      <c r="D566"/>
      <c r="E566" t="s">
        <v>8</v>
      </c>
      <c r="EN566" s="27" t="s">
        <v>7</v>
      </c>
      <c r="EO566" s="27" t="s">
        <v>8</v>
      </c>
    </row>
    <row r="567" spans="1:145" x14ac:dyDescent="0.25">
      <c r="A567" s="7">
        <v>1.4859473959783549</v>
      </c>
      <c r="B567"/>
      <c r="C567"/>
      <c r="D567"/>
      <c r="E567" t="s">
        <v>8</v>
      </c>
      <c r="EN567" s="27" t="s">
        <v>7</v>
      </c>
      <c r="EO567" s="27" t="s">
        <v>8</v>
      </c>
    </row>
    <row r="568" spans="1:145" x14ac:dyDescent="0.25">
      <c r="A568" s="7">
        <v>1.4568111725277988</v>
      </c>
      <c r="B568"/>
      <c r="C568"/>
      <c r="D568"/>
      <c r="E568" t="s">
        <v>8</v>
      </c>
      <c r="EN568" s="27" t="s">
        <v>7</v>
      </c>
      <c r="EO568" s="27" t="s">
        <v>8</v>
      </c>
    </row>
    <row r="569" spans="1:145" x14ac:dyDescent="0.25">
      <c r="A569" s="7">
        <v>1.4282462475762734</v>
      </c>
      <c r="B569"/>
      <c r="C569"/>
      <c r="D569"/>
      <c r="E569" t="s">
        <v>8</v>
      </c>
      <c r="EN569" s="27" t="s">
        <v>7</v>
      </c>
      <c r="EO569" s="27" t="s">
        <v>8</v>
      </c>
    </row>
    <row r="570" spans="1:145" x14ac:dyDescent="0.25">
      <c r="A570" s="7">
        <v>1.4002414191924248</v>
      </c>
      <c r="B570"/>
      <c r="C570"/>
      <c r="D570"/>
      <c r="E570" t="s">
        <v>8</v>
      </c>
      <c r="EN570" s="27" t="s">
        <v>7</v>
      </c>
      <c r="EO570" s="27" t="s">
        <v>8</v>
      </c>
    </row>
    <row r="571" spans="1:145" x14ac:dyDescent="0.25">
      <c r="A571" s="7">
        <v>1.3727857050906125</v>
      </c>
      <c r="B571"/>
      <c r="C571"/>
      <c r="D571"/>
      <c r="E571" t="s">
        <v>8</v>
      </c>
      <c r="EN571" s="27" t="s">
        <v>7</v>
      </c>
    </row>
    <row r="572" spans="1:145" x14ac:dyDescent="0.25">
      <c r="A572" s="7">
        <v>1.3458683383241299</v>
      </c>
      <c r="B572"/>
      <c r="C572"/>
      <c r="D572"/>
      <c r="E572" t="s">
        <v>8</v>
      </c>
    </row>
    <row r="573" spans="1:145" x14ac:dyDescent="0.25">
      <c r="A573" s="7">
        <v>1.3194787630628724</v>
      </c>
      <c r="B573"/>
      <c r="C573"/>
      <c r="D573"/>
      <c r="E573" t="s">
        <v>8</v>
      </c>
    </row>
    <row r="574" spans="1:145" x14ac:dyDescent="0.25">
      <c r="A574" s="7">
        <v>1.2936066304537963</v>
      </c>
      <c r="B574"/>
      <c r="C574"/>
      <c r="D574"/>
      <c r="E574" t="s">
        <v>8</v>
      </c>
    </row>
    <row r="575" spans="1:145" x14ac:dyDescent="0.25">
      <c r="A575" s="7">
        <v>1.2682417945625455</v>
      </c>
      <c r="B575"/>
      <c r="C575"/>
      <c r="D575"/>
      <c r="E575" t="s">
        <v>8</v>
      </c>
    </row>
    <row r="576" spans="1:14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91" operator="equal">
      <formula>$U$1</formula>
    </cfRule>
    <cfRule type="cellIs" dxfId="89" priority="1492" operator="equal">
      <formula>$S$1</formula>
    </cfRule>
  </conditionalFormatting>
  <conditionalFormatting sqref="D27">
    <cfRule type="cellIs" dxfId="88" priority="1489" operator="equal">
      <formula>$S$1</formula>
    </cfRule>
    <cfRule type="cellIs" dxfId="87" priority="1490" operator="equal">
      <formula>$U$1</formula>
    </cfRule>
  </conditionalFormatting>
  <conditionalFormatting sqref="C164">
    <cfRule type="cellIs" dxfId="86" priority="1487" operator="equal">
      <formula>$U$1</formula>
    </cfRule>
    <cfRule type="cellIs" dxfId="85" priority="1488" operator="equal">
      <formula>$S$1</formula>
    </cfRule>
  </conditionalFormatting>
  <conditionalFormatting sqref="D164">
    <cfRule type="cellIs" dxfId="84" priority="1485" operator="equal">
      <formula>$S$1</formula>
    </cfRule>
    <cfRule type="cellIs" dxfId="83" priority="1486" operator="equal">
      <formula>$U$1</formula>
    </cfRule>
  </conditionalFormatting>
  <conditionalFormatting sqref="C55">
    <cfRule type="cellIs" dxfId="82" priority="1483" operator="equal">
      <formula>$U$1</formula>
    </cfRule>
    <cfRule type="cellIs" dxfId="81" priority="1484" operator="equal">
      <formula>$S$1</formula>
    </cfRule>
  </conditionalFormatting>
  <conditionalFormatting sqref="D55">
    <cfRule type="cellIs" dxfId="80" priority="1481" operator="equal">
      <formula>$S$1</formula>
    </cfRule>
    <cfRule type="cellIs" dxfId="79" priority="1482" operator="equal">
      <formula>$U$1</formula>
    </cfRule>
  </conditionalFormatting>
  <conditionalFormatting sqref="C89">
    <cfRule type="cellIs" dxfId="78" priority="1479" operator="equal">
      <formula>$U$1</formula>
    </cfRule>
    <cfRule type="cellIs" dxfId="77" priority="1480" operator="equal">
      <formula>$S$1</formula>
    </cfRule>
  </conditionalFormatting>
  <conditionalFormatting sqref="D89">
    <cfRule type="cellIs" dxfId="76" priority="1477" operator="equal">
      <formula>$S$1</formula>
    </cfRule>
    <cfRule type="cellIs" dxfId="75" priority="1478" operator="equal">
      <formula>$U$1</formula>
    </cfRule>
  </conditionalFormatting>
  <conditionalFormatting sqref="C136">
    <cfRule type="cellIs" dxfId="74" priority="1475" operator="equal">
      <formula>$U$1</formula>
    </cfRule>
    <cfRule type="cellIs" dxfId="73" priority="1476" operator="equal">
      <formula>$S$1</formula>
    </cfRule>
  </conditionalFormatting>
  <conditionalFormatting sqref="D136">
    <cfRule type="cellIs" dxfId="72" priority="1473" operator="equal">
      <formula>$S$1</formula>
    </cfRule>
    <cfRule type="cellIs" dxfId="71" priority="1474" operator="equal">
      <formula>$U$1</formula>
    </cfRule>
  </conditionalFormatting>
  <conditionalFormatting sqref="C1">
    <cfRule type="cellIs" dxfId="70" priority="147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92" zoomScale="90" zoomScaleNormal="90" workbookViewId="0">
      <pane xSplit="4" topLeftCell="CC1" activePane="topRight" state="frozen"/>
      <selection activeCell="A109" sqref="A109"/>
      <selection pane="topRight" activeCell="DV225" sqref="DV22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$A$224</v>
      </c>
      <c r="D111" s="1" t="str">
        <f>ADDRESS(C121-1,D121,1,1)</f>
        <v>$DV$224</v>
      </c>
      <c r="E111"/>
    </row>
    <row r="112" spans="1:5" x14ac:dyDescent="0.25">
      <c r="A112" s="30">
        <v>515.50191262726139</v>
      </c>
      <c r="C112" s="1" t="str">
        <f>ADDRESS(C121,1,1,1)</f>
        <v>$A$225</v>
      </c>
      <c r="D112" s="1" t="str">
        <f>ADDRESS(C121,D121-1,1,1)</f>
        <v>$DU$225</v>
      </c>
      <c r="E112"/>
    </row>
    <row r="113" spans="1:5" x14ac:dyDescent="0.25">
      <c r="A113" s="30">
        <v>490.95420250215363</v>
      </c>
      <c r="C113" s="1" t="str">
        <f>ADDRESS(C121+1,1,1,1)</f>
        <v>$A$226</v>
      </c>
      <c r="D113" s="1" t="str">
        <f>ADDRESS(C121-1,D121+1,1,1)</f>
        <v>$DW$224</v>
      </c>
    </row>
    <row r="114" spans="1:5" x14ac:dyDescent="0.25">
      <c r="A114" s="30">
        <v>467.57543095443202</v>
      </c>
      <c r="C114" s="1" t="str">
        <f>ADDRESS(C121,D121,1,1)</f>
        <v>$DV$225</v>
      </c>
      <c r="D114" s="1" t="str">
        <f>ADDRESS(C121+1,D121+1,1,1)</f>
        <v>$DW$226</v>
      </c>
    </row>
    <row r="115" spans="1:5" x14ac:dyDescent="0.25">
      <c r="A115" s="30">
        <v>445.30993424231622</v>
      </c>
      <c r="C115" s="1" t="str">
        <f>ADDRESS(C121+1,D121,1,1)</f>
        <v>$DV$226</v>
      </c>
    </row>
    <row r="116" spans="1:5" x14ac:dyDescent="0.25">
      <c r="A116" s="30">
        <v>424.10469927839637</v>
      </c>
      <c r="C116" s="1">
        <f>C117-1</f>
        <v>224</v>
      </c>
    </row>
    <row r="117" spans="1:5" x14ac:dyDescent="0.25">
      <c r="A117" s="30">
        <v>403.9092374079965</v>
      </c>
      <c r="C117" s="1">
        <f>C121</f>
        <v>225</v>
      </c>
      <c r="D117" s="1">
        <f>D121</f>
        <v>126</v>
      </c>
    </row>
    <row r="118" spans="1:5" x14ac:dyDescent="0.25">
      <c r="A118" s="30">
        <v>384.6754641980919</v>
      </c>
      <c r="C118" s="1">
        <f>C117+1</f>
        <v>226</v>
      </c>
      <c r="D118" s="1">
        <f>D117+1</f>
        <v>127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225</v>
      </c>
      <c r="D121" s="19">
        <v>126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R225</v>
      </c>
      <c r="D123" s="1" t="str">
        <f>"C"&amp;D121</f>
        <v>C126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2.0789281794113688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100" x14ac:dyDescent="0.25">
      <c r="A177" s="30">
        <v>21.623492570684135</v>
      </c>
      <c r="E177"/>
    </row>
    <row r="178" spans="1:100" x14ac:dyDescent="0.25">
      <c r="A178" s="30">
        <v>20.593802448270605</v>
      </c>
      <c r="C178" s="7"/>
      <c r="D178"/>
      <c r="E178"/>
    </row>
    <row r="179" spans="1:100" x14ac:dyDescent="0.25">
      <c r="A179" s="30">
        <v>19.613145188829147</v>
      </c>
      <c r="E179"/>
    </row>
    <row r="180" spans="1:100" x14ac:dyDescent="0.25">
      <c r="A180" s="30">
        <v>18.679185894122998</v>
      </c>
      <c r="E180"/>
    </row>
    <row r="181" spans="1:100" x14ac:dyDescent="0.25">
      <c r="A181" s="30">
        <v>17.78970085154571</v>
      </c>
      <c r="C181"/>
      <c r="D181"/>
      <c r="E181"/>
    </row>
    <row r="182" spans="1:100" x14ac:dyDescent="0.25">
      <c r="A182" s="30">
        <v>16.942572239567344</v>
      </c>
      <c r="E182"/>
    </row>
    <row r="183" spans="1:100" x14ac:dyDescent="0.25">
      <c r="A183" s="30">
        <v>16.135783085302233</v>
      </c>
      <c r="E183"/>
    </row>
    <row r="184" spans="1:100" x14ac:dyDescent="0.25">
      <c r="A184" s="30">
        <v>15.367412462192602</v>
      </c>
      <c r="E184"/>
    </row>
    <row r="185" spans="1:100" x14ac:dyDescent="0.25">
      <c r="A185" s="30">
        <v>14.635630916373906</v>
      </c>
      <c r="C185"/>
      <c r="E185"/>
      <c r="CO185" s="31" t="s">
        <v>8</v>
      </c>
    </row>
    <row r="186" spans="1:100" x14ac:dyDescent="0.25">
      <c r="A186" s="30">
        <v>13.938696110832291</v>
      </c>
      <c r="E186"/>
      <c r="CO186" s="27" t="s">
        <v>8</v>
      </c>
      <c r="CP186" s="31" t="s">
        <v>7</v>
      </c>
    </row>
    <row r="187" spans="1:100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CO187" s="27" t="s">
        <v>8</v>
      </c>
      <c r="CP187" s="27" t="s">
        <v>7</v>
      </c>
      <c r="CQ187" s="31"/>
    </row>
    <row r="188" spans="1:100" x14ac:dyDescent="0.25">
      <c r="A188" s="30">
        <v>12.64280826379346</v>
      </c>
      <c r="E188"/>
      <c r="CM188" s="27" t="s">
        <v>8</v>
      </c>
      <c r="CO188" s="27" t="s">
        <v>8</v>
      </c>
      <c r="CP188" s="27" t="s">
        <v>7</v>
      </c>
      <c r="CR188" s="31"/>
    </row>
    <row r="189" spans="1:100" x14ac:dyDescent="0.25">
      <c r="A189" s="30">
        <v>12.04076977504139</v>
      </c>
      <c r="E189"/>
      <c r="CM189" s="27" t="s">
        <v>8</v>
      </c>
      <c r="CN189" s="27" t="s">
        <v>7</v>
      </c>
      <c r="CO189" s="27" t="s">
        <v>8</v>
      </c>
      <c r="CP189" s="27" t="s">
        <v>7</v>
      </c>
      <c r="CS189" s="31"/>
    </row>
    <row r="190" spans="1:100" x14ac:dyDescent="0.25">
      <c r="A190" s="30">
        <v>11.467399785753704</v>
      </c>
      <c r="E190"/>
      <c r="CM190" s="27" t="s">
        <v>8</v>
      </c>
      <c r="CN190" s="27" t="s">
        <v>7</v>
      </c>
      <c r="CO190" s="27" t="s">
        <v>8</v>
      </c>
      <c r="CP190" s="27" t="s">
        <v>7</v>
      </c>
      <c r="CQ190" s="27" t="s">
        <v>8</v>
      </c>
      <c r="CT190" s="31"/>
    </row>
    <row r="191" spans="1:100" x14ac:dyDescent="0.25">
      <c r="A191" s="30">
        <v>10.921333129289241</v>
      </c>
      <c r="E191"/>
      <c r="CM191" s="27" t="s">
        <v>8</v>
      </c>
      <c r="CN191" s="27" t="s">
        <v>7</v>
      </c>
      <c r="CO191" s="27" t="s">
        <v>8</v>
      </c>
      <c r="CP191" s="27" t="s">
        <v>7</v>
      </c>
      <c r="CQ191" s="27" t="s">
        <v>8</v>
      </c>
      <c r="CR191" s="27" t="s">
        <v>7</v>
      </c>
      <c r="CU191" s="31"/>
    </row>
    <row r="192" spans="1:100" x14ac:dyDescent="0.25">
      <c r="A192" s="30">
        <v>10.401269646942135</v>
      </c>
      <c r="E192"/>
      <c r="CM192" s="27" t="s">
        <v>8</v>
      </c>
      <c r="CN192" s="27" t="s">
        <v>7</v>
      </c>
      <c r="CO192" s="27" t="s">
        <v>8</v>
      </c>
      <c r="CP192" s="27" t="s">
        <v>7</v>
      </c>
      <c r="CQ192" s="27" t="s">
        <v>8</v>
      </c>
      <c r="CR192" s="27" t="s">
        <v>7</v>
      </c>
      <c r="CV192" s="31"/>
    </row>
    <row r="193" spans="1:124" x14ac:dyDescent="0.25">
      <c r="A193" s="30">
        <v>9.9059710923258422</v>
      </c>
      <c r="E193"/>
      <c r="CM193" s="27" t="s">
        <v>8</v>
      </c>
      <c r="CN193" s="27" t="s">
        <v>7</v>
      </c>
      <c r="CO193" s="27" t="s">
        <v>8</v>
      </c>
      <c r="CP193" s="27" t="s">
        <v>7</v>
      </c>
      <c r="CQ193" s="27" t="s">
        <v>8</v>
      </c>
      <c r="CR193" s="27" t="s">
        <v>7</v>
      </c>
      <c r="CW193" s="31"/>
    </row>
    <row r="194" spans="1:124" x14ac:dyDescent="0.25">
      <c r="A194" s="30">
        <v>9.4342581831674686</v>
      </c>
      <c r="E194"/>
      <c r="CM194" s="27" t="s">
        <v>8</v>
      </c>
      <c r="CN194" s="27" t="s">
        <v>7</v>
      </c>
      <c r="CO194" s="27" t="s">
        <v>8</v>
      </c>
      <c r="CP194" s="27" t="s">
        <v>7</v>
      </c>
      <c r="CR194" s="27" t="s">
        <v>7</v>
      </c>
      <c r="CX194" s="31"/>
    </row>
    <row r="195" spans="1:124" x14ac:dyDescent="0.25">
      <c r="A195" s="30">
        <v>8.9850077934928265</v>
      </c>
      <c r="E195"/>
      <c r="CM195" s="27" t="s">
        <v>8</v>
      </c>
      <c r="CN195" s="27" t="s">
        <v>7</v>
      </c>
      <c r="CO195" s="27" t="s">
        <v>8</v>
      </c>
      <c r="CR195" s="33" t="s">
        <v>7</v>
      </c>
      <c r="CY195" s="31"/>
    </row>
    <row r="196" spans="1:124" x14ac:dyDescent="0.25">
      <c r="A196" s="30">
        <v>8.5571502795169767</v>
      </c>
      <c r="E196"/>
      <c r="O196" s="27" t="s">
        <v>8</v>
      </c>
      <c r="CG196" s="27" t="s">
        <v>8</v>
      </c>
      <c r="CM196" s="27" t="s">
        <v>8</v>
      </c>
      <c r="CN196" s="27" t="s">
        <v>7</v>
      </c>
      <c r="CR196" s="27" t="s">
        <v>7</v>
      </c>
      <c r="CZ196" s="31"/>
    </row>
    <row r="197" spans="1:124" x14ac:dyDescent="0.25">
      <c r="A197" s="30">
        <v>8.1496669328733109</v>
      </c>
      <c r="E197"/>
      <c r="M197" s="27" t="s">
        <v>8</v>
      </c>
      <c r="O197" s="27" t="s">
        <v>8</v>
      </c>
      <c r="P197" s="27" t="s">
        <v>7</v>
      </c>
      <c r="CG197" s="27" t="s">
        <v>8</v>
      </c>
      <c r="CH197" s="27" t="s">
        <v>7</v>
      </c>
      <c r="CM197" s="27" t="s">
        <v>8</v>
      </c>
      <c r="CR197" s="27" t="s">
        <v>7</v>
      </c>
      <c r="DA197" s="31"/>
    </row>
    <row r="198" spans="1:124" x14ac:dyDescent="0.25">
      <c r="A198" s="30">
        <v>7.7615875551174378</v>
      </c>
      <c r="E198"/>
      <c r="M198" s="27" t="s">
        <v>8</v>
      </c>
      <c r="N198" s="27" t="s">
        <v>7</v>
      </c>
      <c r="O198" s="27" t="s">
        <v>8</v>
      </c>
      <c r="P198" s="27" t="s">
        <v>7</v>
      </c>
      <c r="CG198" s="27" t="s">
        <v>8</v>
      </c>
      <c r="CH198" s="27" t="s">
        <v>7</v>
      </c>
      <c r="CM198" s="27" t="s">
        <v>8</v>
      </c>
      <c r="CR198" s="27" t="s">
        <v>7</v>
      </c>
      <c r="DB198" s="31"/>
    </row>
    <row r="199" spans="1:124" x14ac:dyDescent="0.25">
      <c r="A199" s="30">
        <v>7.3919881477308929</v>
      </c>
      <c r="E199"/>
      <c r="M199" s="27" t="s">
        <v>8</v>
      </c>
      <c r="N199" s="27" t="s">
        <v>7</v>
      </c>
      <c r="O199" s="27" t="s">
        <v>8</v>
      </c>
      <c r="P199" s="27" t="s">
        <v>7</v>
      </c>
      <c r="Q199" s="27" t="s">
        <v>8</v>
      </c>
      <c r="CG199" s="27" t="s">
        <v>8</v>
      </c>
      <c r="CH199" s="27" t="s">
        <v>7</v>
      </c>
      <c r="CI199" s="27" t="s">
        <v>8</v>
      </c>
      <c r="CM199" s="27" t="s">
        <v>8</v>
      </c>
      <c r="CR199" s="27" t="s">
        <v>7</v>
      </c>
      <c r="CU199" s="27" t="s">
        <v>8</v>
      </c>
      <c r="DC199" s="31"/>
    </row>
    <row r="200" spans="1:124" x14ac:dyDescent="0.25">
      <c r="A200" s="30">
        <v>7.0399887121246598</v>
      </c>
      <c r="E200"/>
      <c r="M200" s="27" t="s">
        <v>8</v>
      </c>
      <c r="N200" s="27" t="s">
        <v>7</v>
      </c>
      <c r="P200" s="27" t="s">
        <v>7</v>
      </c>
      <c r="Q200" s="27" t="s">
        <v>8</v>
      </c>
      <c r="R200" s="27" t="s">
        <v>7</v>
      </c>
      <c r="CE200" s="27" t="s">
        <v>8</v>
      </c>
      <c r="CG200" s="27" t="s">
        <v>8</v>
      </c>
      <c r="CH200" s="27" t="s">
        <v>7</v>
      </c>
      <c r="CI200" s="27" t="s">
        <v>8</v>
      </c>
      <c r="CJ200" s="27" t="s">
        <v>7</v>
      </c>
      <c r="CM200" s="27" t="s">
        <v>8</v>
      </c>
      <c r="CR200" s="27" t="s">
        <v>7</v>
      </c>
      <c r="CU200" s="32" t="s">
        <v>8</v>
      </c>
      <c r="CV200" s="27" t="s">
        <v>7</v>
      </c>
      <c r="DD200" s="31"/>
    </row>
    <row r="201" spans="1:124" x14ac:dyDescent="0.25">
      <c r="A201" s="30">
        <v>6.7047511544044376</v>
      </c>
      <c r="E201"/>
      <c r="K201" s="27" t="s">
        <v>8</v>
      </c>
      <c r="M201" s="27" t="s">
        <v>8</v>
      </c>
      <c r="P201" s="27" t="s">
        <v>7</v>
      </c>
      <c r="Q201" s="27" t="s">
        <v>8</v>
      </c>
      <c r="R201" s="27" t="s">
        <v>7</v>
      </c>
      <c r="CE201" s="27" t="s">
        <v>8</v>
      </c>
      <c r="CF201" s="27" t="s">
        <v>7</v>
      </c>
      <c r="CG201" s="27" t="s">
        <v>8</v>
      </c>
      <c r="CH201" s="27" t="s">
        <v>7</v>
      </c>
      <c r="CI201" s="27" t="s">
        <v>8</v>
      </c>
      <c r="CJ201" s="27" t="s">
        <v>7</v>
      </c>
      <c r="CM201" s="27" t="s">
        <v>8</v>
      </c>
      <c r="CR201" s="27" t="s">
        <v>7</v>
      </c>
      <c r="CS201" s="27" t="s">
        <v>8</v>
      </c>
      <c r="CU201" s="27" t="s">
        <v>8</v>
      </c>
      <c r="CV201" s="27" t="s">
        <v>7</v>
      </c>
      <c r="CW201" s="27" t="s">
        <v>8</v>
      </c>
      <c r="DE201" s="31"/>
    </row>
    <row r="202" spans="1:124" x14ac:dyDescent="0.25">
      <c r="A202" s="30">
        <v>6.3854772899089882</v>
      </c>
      <c r="E202"/>
      <c r="K202" s="27" t="s">
        <v>8</v>
      </c>
      <c r="L202" s="27" t="s">
        <v>7</v>
      </c>
      <c r="M202" s="27" t="s">
        <v>8</v>
      </c>
      <c r="P202" s="27" t="s">
        <v>7</v>
      </c>
      <c r="Q202" s="27" t="s">
        <v>8</v>
      </c>
      <c r="R202" s="27" t="s">
        <v>7</v>
      </c>
      <c r="CC202" s="27" t="s">
        <v>8</v>
      </c>
      <c r="CE202" s="27" t="s">
        <v>8</v>
      </c>
      <c r="CF202" s="27" t="s">
        <v>7</v>
      </c>
      <c r="CG202" s="27" t="s">
        <v>8</v>
      </c>
      <c r="CH202" s="27" t="s">
        <v>7</v>
      </c>
      <c r="CI202" s="27" t="s">
        <v>8</v>
      </c>
      <c r="CJ202" s="27" t="s">
        <v>7</v>
      </c>
      <c r="CM202" s="27" t="s">
        <v>8</v>
      </c>
      <c r="CR202" s="31" t="s">
        <v>7</v>
      </c>
      <c r="CS202" s="27" t="s">
        <v>8</v>
      </c>
      <c r="CT202" s="27" t="s">
        <v>7</v>
      </c>
      <c r="CU202" s="27" t="s">
        <v>8</v>
      </c>
      <c r="CV202" s="27" t="s">
        <v>7</v>
      </c>
      <c r="CW202" s="27" t="s">
        <v>8</v>
      </c>
      <c r="CX202" s="27" t="s">
        <v>7</v>
      </c>
      <c r="DF202" s="31"/>
      <c r="DK202" s="31" t="s">
        <v>8</v>
      </c>
    </row>
    <row r="203" spans="1:124" x14ac:dyDescent="0.25">
      <c r="A203" s="30">
        <v>6.0814069427704647</v>
      </c>
      <c r="C203" s="7"/>
      <c r="D203"/>
      <c r="E203"/>
      <c r="K203" s="27" t="s">
        <v>8</v>
      </c>
      <c r="L203" s="27" t="s">
        <v>7</v>
      </c>
      <c r="M203" s="27" t="s">
        <v>8</v>
      </c>
      <c r="P203" s="27" t="s">
        <v>7</v>
      </c>
      <c r="R203" s="27" t="s">
        <v>7</v>
      </c>
      <c r="CC203" s="27" t="s">
        <v>8</v>
      </c>
      <c r="CD203" s="27" t="s">
        <v>7</v>
      </c>
      <c r="CE203" s="27" t="s">
        <v>8</v>
      </c>
      <c r="CF203" s="27" t="s">
        <v>7</v>
      </c>
      <c r="CG203" s="27" t="s">
        <v>8</v>
      </c>
      <c r="CH203" s="27" t="s">
        <v>7</v>
      </c>
      <c r="CJ203" s="27" t="s">
        <v>7</v>
      </c>
      <c r="CM203" s="27" t="s">
        <v>8</v>
      </c>
      <c r="CQ203" s="31"/>
      <c r="CR203" s="27" t="s">
        <v>7</v>
      </c>
      <c r="CS203" s="27" t="s">
        <v>8</v>
      </c>
      <c r="CT203" s="27" t="s">
        <v>7</v>
      </c>
      <c r="CU203" s="27" t="s">
        <v>8</v>
      </c>
      <c r="CV203" s="27" t="s">
        <v>7</v>
      </c>
      <c r="CW203" s="27" t="s">
        <v>8</v>
      </c>
      <c r="CX203" s="27" t="s">
        <v>7</v>
      </c>
      <c r="DG203" s="31"/>
      <c r="DK203" s="27" t="s">
        <v>8</v>
      </c>
      <c r="DL203" s="31" t="s">
        <v>7</v>
      </c>
    </row>
    <row r="204" spans="1:124" x14ac:dyDescent="0.25">
      <c r="A204" s="30">
        <v>5.7918161359718709</v>
      </c>
      <c r="E204"/>
      <c r="G204" s="27" t="s">
        <v>8</v>
      </c>
      <c r="I204" s="27" t="s">
        <v>8</v>
      </c>
      <c r="K204" s="27" t="s">
        <v>8</v>
      </c>
      <c r="L204" s="27" t="s">
        <v>7</v>
      </c>
      <c r="R204" s="27" t="s">
        <v>7</v>
      </c>
      <c r="CC204" s="27" t="s">
        <v>8</v>
      </c>
      <c r="CD204" s="27" t="s">
        <v>7</v>
      </c>
      <c r="CE204" s="27" t="s">
        <v>8</v>
      </c>
      <c r="CF204" s="27" t="s">
        <v>7</v>
      </c>
      <c r="CJ204" s="27" t="s">
        <v>7</v>
      </c>
      <c r="CM204" s="32" t="s">
        <v>8</v>
      </c>
      <c r="CP204" s="31"/>
      <c r="CR204" s="27" t="s">
        <v>7</v>
      </c>
      <c r="CS204" s="27" t="s">
        <v>8</v>
      </c>
      <c r="CT204" s="27" t="s">
        <v>7</v>
      </c>
      <c r="CU204" s="27" t="s">
        <v>8</v>
      </c>
      <c r="CV204" s="27" t="s">
        <v>7</v>
      </c>
      <c r="CX204" s="27" t="s">
        <v>7</v>
      </c>
      <c r="DG204" s="27" t="s">
        <v>8</v>
      </c>
      <c r="DH204" s="31"/>
      <c r="DK204" s="27" t="s">
        <v>8</v>
      </c>
      <c r="DL204" s="27" t="s">
        <v>7</v>
      </c>
      <c r="DM204" s="31"/>
    </row>
    <row r="205" spans="1:124" x14ac:dyDescent="0.25">
      <c r="A205" s="30">
        <v>5.5160153675922574</v>
      </c>
      <c r="E205"/>
      <c r="G205" s="27" t="s">
        <v>8</v>
      </c>
      <c r="H205" s="27" t="s">
        <v>7</v>
      </c>
      <c r="I205" s="27" t="s">
        <v>8</v>
      </c>
      <c r="J205" s="27" t="s">
        <v>7</v>
      </c>
      <c r="K205" s="27" t="s">
        <v>8</v>
      </c>
      <c r="R205" s="27" t="s">
        <v>7</v>
      </c>
      <c r="BQ205" s="27" t="s">
        <v>8</v>
      </c>
      <c r="CC205" s="27" t="s">
        <v>8</v>
      </c>
      <c r="CD205" s="27" t="s">
        <v>7</v>
      </c>
      <c r="CJ205" s="27" t="s">
        <v>7</v>
      </c>
      <c r="CK205" s="27" t="s">
        <v>8</v>
      </c>
      <c r="CM205" s="27" t="s">
        <v>8</v>
      </c>
      <c r="CO205" s="31"/>
      <c r="CR205" s="27" t="s">
        <v>7</v>
      </c>
      <c r="CS205" s="27" t="s">
        <v>8</v>
      </c>
      <c r="CT205" s="27" t="s">
        <v>7</v>
      </c>
      <c r="CU205" s="27" t="s">
        <v>8</v>
      </c>
      <c r="CX205" s="33" t="s">
        <v>7</v>
      </c>
      <c r="DG205" s="27" t="s">
        <v>8</v>
      </c>
      <c r="DH205" s="27" t="s">
        <v>7</v>
      </c>
      <c r="DI205" s="31" t="s">
        <v>8</v>
      </c>
      <c r="DK205" s="27" t="s">
        <v>8</v>
      </c>
      <c r="DL205" s="27" t="s">
        <v>7</v>
      </c>
      <c r="DM205" s="27" t="s">
        <v>8</v>
      </c>
      <c r="DN205" s="31"/>
    </row>
    <row r="206" spans="1:124" x14ac:dyDescent="0.25">
      <c r="A206" s="30">
        <v>5.2533479691354827</v>
      </c>
      <c r="C206"/>
      <c r="D206"/>
      <c r="E206"/>
      <c r="G206" s="27" t="s">
        <v>8</v>
      </c>
      <c r="H206" s="27" t="s">
        <v>7</v>
      </c>
      <c r="I206" s="27" t="s">
        <v>8</v>
      </c>
      <c r="J206" s="27" t="s">
        <v>7</v>
      </c>
      <c r="K206" s="27" t="s">
        <v>8</v>
      </c>
      <c r="R206" s="27" t="s">
        <v>7</v>
      </c>
      <c r="AG206" s="27" t="s">
        <v>8</v>
      </c>
      <c r="BQ206" s="27" t="s">
        <v>8</v>
      </c>
      <c r="BR206" s="27" t="s">
        <v>7</v>
      </c>
      <c r="BS206" s="27" t="s">
        <v>8</v>
      </c>
      <c r="BU206" s="27" t="s">
        <v>8</v>
      </c>
      <c r="CC206" s="27" t="s">
        <v>8</v>
      </c>
      <c r="CJ206" s="27" t="s">
        <v>7</v>
      </c>
      <c r="CK206" s="27" t="s">
        <v>8</v>
      </c>
      <c r="CL206" s="27" t="s">
        <v>7</v>
      </c>
      <c r="CM206" s="27" t="s">
        <v>8</v>
      </c>
      <c r="CN206" s="31"/>
      <c r="CR206" s="27" t="s">
        <v>7</v>
      </c>
      <c r="CS206" s="27" t="s">
        <v>8</v>
      </c>
      <c r="CT206" s="27" t="s">
        <v>7</v>
      </c>
      <c r="CU206" s="27" t="s">
        <v>8</v>
      </c>
      <c r="CX206" s="27" t="s">
        <v>7</v>
      </c>
      <c r="CY206" s="27" t="s">
        <v>8</v>
      </c>
      <c r="DG206" s="27" t="s">
        <v>8</v>
      </c>
      <c r="DH206" s="27" t="s">
        <v>7</v>
      </c>
      <c r="DI206" s="27" t="s">
        <v>8</v>
      </c>
      <c r="DJ206" s="31" t="s">
        <v>7</v>
      </c>
      <c r="DK206" s="27" t="s">
        <v>8</v>
      </c>
      <c r="DL206" s="27" t="s">
        <v>7</v>
      </c>
      <c r="DM206" s="27" t="s">
        <v>8</v>
      </c>
      <c r="DN206" s="27" t="s">
        <v>7</v>
      </c>
      <c r="DO206" s="31"/>
      <c r="DS206" s="27" t="s">
        <v>8</v>
      </c>
    </row>
    <row r="207" spans="1:124" x14ac:dyDescent="0.25">
      <c r="A207" s="30">
        <v>5.0031885420337927</v>
      </c>
      <c r="E207"/>
      <c r="G207" s="27" t="s">
        <v>8</v>
      </c>
      <c r="H207" s="27" t="s">
        <v>7</v>
      </c>
      <c r="J207" s="27" t="s">
        <v>7</v>
      </c>
      <c r="K207" s="27" t="s">
        <v>8</v>
      </c>
      <c r="R207" s="27" t="s">
        <v>7</v>
      </c>
      <c r="AG207" s="27" t="s">
        <v>8</v>
      </c>
      <c r="AH207" s="27" t="s">
        <v>7</v>
      </c>
      <c r="BQ207" s="27" t="s">
        <v>8</v>
      </c>
      <c r="BR207" s="27" t="s">
        <v>7</v>
      </c>
      <c r="BS207" s="27" t="s">
        <v>8</v>
      </c>
      <c r="BT207" s="27" t="s">
        <v>7</v>
      </c>
      <c r="BU207" s="27" t="s">
        <v>8</v>
      </c>
      <c r="BV207" s="27" t="s">
        <v>7</v>
      </c>
      <c r="CC207" s="27" t="s">
        <v>8</v>
      </c>
      <c r="CJ207" s="27" t="s">
        <v>7</v>
      </c>
      <c r="CK207" s="27" t="s">
        <v>8</v>
      </c>
      <c r="CL207" s="27" t="s">
        <v>7</v>
      </c>
      <c r="CM207" s="31" t="s">
        <v>8</v>
      </c>
      <c r="CR207" s="27" t="s">
        <v>7</v>
      </c>
      <c r="CS207" s="27" t="s">
        <v>8</v>
      </c>
      <c r="CT207" s="27" t="s">
        <v>7</v>
      </c>
      <c r="CU207" s="27" t="s">
        <v>8</v>
      </c>
      <c r="CX207" s="27" t="s">
        <v>7</v>
      </c>
      <c r="CY207" s="27" t="s">
        <v>8</v>
      </c>
      <c r="CZ207" s="27" t="s">
        <v>7</v>
      </c>
      <c r="DG207" s="27" t="s">
        <v>8</v>
      </c>
      <c r="DH207" s="27" t="s">
        <v>7</v>
      </c>
      <c r="DI207" s="27" t="s">
        <v>8</v>
      </c>
      <c r="DJ207" s="27" t="s">
        <v>7</v>
      </c>
      <c r="DK207" s="27" t="s">
        <v>8</v>
      </c>
      <c r="DL207" s="27" t="s">
        <v>7</v>
      </c>
      <c r="DM207" s="27" t="s">
        <v>8</v>
      </c>
      <c r="DN207" s="27" t="s">
        <v>7</v>
      </c>
      <c r="DO207" s="27" t="s">
        <v>8</v>
      </c>
      <c r="DP207" s="31"/>
      <c r="DQ207" s="27" t="s">
        <v>8</v>
      </c>
      <c r="DS207" s="27" t="s">
        <v>8</v>
      </c>
      <c r="DT207" s="27" t="s">
        <v>7</v>
      </c>
    </row>
    <row r="208" spans="1:124" x14ac:dyDescent="0.25">
      <c r="A208" s="30">
        <v>4.7649414686036122</v>
      </c>
      <c r="E208"/>
      <c r="G208" s="27" t="s">
        <v>8</v>
      </c>
      <c r="J208" s="27" t="s">
        <v>7</v>
      </c>
      <c r="K208" s="27" t="s">
        <v>8</v>
      </c>
      <c r="R208" s="27" t="s">
        <v>7</v>
      </c>
      <c r="AG208" s="27" t="s">
        <v>8</v>
      </c>
      <c r="AH208" s="27" t="s">
        <v>7</v>
      </c>
      <c r="BQ208" s="27" t="s">
        <v>8</v>
      </c>
      <c r="BR208" s="27" t="s">
        <v>7</v>
      </c>
      <c r="BS208" s="27" t="s">
        <v>8</v>
      </c>
      <c r="BT208" s="27" t="s">
        <v>7</v>
      </c>
      <c r="BU208" s="27" t="s">
        <v>8</v>
      </c>
      <c r="BV208" s="27" t="s">
        <v>7</v>
      </c>
      <c r="CC208" s="27" t="s">
        <v>8</v>
      </c>
      <c r="CJ208" s="27" t="s">
        <v>7</v>
      </c>
      <c r="CK208" s="27" t="s">
        <v>8</v>
      </c>
      <c r="CL208" s="31" t="s">
        <v>7</v>
      </c>
      <c r="CR208" s="27" t="s">
        <v>7</v>
      </c>
      <c r="CS208" s="27" t="s">
        <v>8</v>
      </c>
      <c r="CT208" s="27" t="s">
        <v>7</v>
      </c>
      <c r="CU208" s="27" t="s">
        <v>8</v>
      </c>
      <c r="CX208" s="27" t="s">
        <v>7</v>
      </c>
      <c r="CY208" s="27" t="s">
        <v>8</v>
      </c>
      <c r="CZ208" s="27" t="s">
        <v>7</v>
      </c>
      <c r="DG208" s="27" t="s">
        <v>8</v>
      </c>
      <c r="DH208" s="27" t="s">
        <v>7</v>
      </c>
      <c r="DJ208" s="27" t="s">
        <v>7</v>
      </c>
      <c r="DL208" s="27" t="s">
        <v>7</v>
      </c>
      <c r="DM208" s="27" t="s">
        <v>8</v>
      </c>
      <c r="DN208" s="27" t="s">
        <v>7</v>
      </c>
      <c r="DO208" s="27" t="s">
        <v>8</v>
      </c>
      <c r="DP208" s="27" t="s">
        <v>7</v>
      </c>
      <c r="DQ208" s="27" t="s">
        <v>8</v>
      </c>
      <c r="DR208" s="27" t="s">
        <v>7</v>
      </c>
      <c r="DS208" s="27" t="s">
        <v>8</v>
      </c>
      <c r="DT208" s="27" t="s">
        <v>7</v>
      </c>
    </row>
    <row r="209" spans="1:126" x14ac:dyDescent="0.25">
      <c r="A209" s="30">
        <v>4.5380394939082018</v>
      </c>
      <c r="E209"/>
      <c r="G209" s="27" t="s">
        <v>8</v>
      </c>
      <c r="J209" s="27" t="s">
        <v>7</v>
      </c>
      <c r="R209" s="27" t="s">
        <v>7</v>
      </c>
      <c r="S209" s="27" t="s">
        <v>8</v>
      </c>
      <c r="U209" s="27" t="s">
        <v>8</v>
      </c>
      <c r="AG209" s="27" t="s">
        <v>8</v>
      </c>
      <c r="AH209" s="27" t="s">
        <v>7</v>
      </c>
      <c r="BQ209" s="27" t="s">
        <v>8</v>
      </c>
      <c r="BR209" s="27" t="s">
        <v>7</v>
      </c>
      <c r="BS209" s="27" t="s">
        <v>8</v>
      </c>
      <c r="BT209" s="27" t="s">
        <v>7</v>
      </c>
      <c r="BV209" s="27" t="s">
        <v>7</v>
      </c>
      <c r="CC209" s="27" t="s">
        <v>8</v>
      </c>
      <c r="CJ209" s="27" t="s">
        <v>7</v>
      </c>
      <c r="CR209" s="27" t="s">
        <v>7</v>
      </c>
      <c r="CS209" s="27" t="s">
        <v>8</v>
      </c>
      <c r="CT209" s="27" t="s">
        <v>7</v>
      </c>
      <c r="CU209" s="27" t="s">
        <v>8</v>
      </c>
      <c r="CX209" s="27" t="s">
        <v>7</v>
      </c>
      <c r="CZ209" s="27" t="s">
        <v>7</v>
      </c>
      <c r="DG209" s="32" t="s">
        <v>8</v>
      </c>
      <c r="DL209" s="27" t="s">
        <v>7</v>
      </c>
      <c r="DM209" s="31" t="s">
        <v>8</v>
      </c>
      <c r="DN209" s="27" t="s">
        <v>7</v>
      </c>
      <c r="DO209" s="27" t="s">
        <v>8</v>
      </c>
      <c r="DP209" s="27" t="s">
        <v>7</v>
      </c>
      <c r="DQ209" s="27" t="s">
        <v>8</v>
      </c>
      <c r="DR209" s="27" t="s">
        <v>7</v>
      </c>
      <c r="DS209" s="27" t="s">
        <v>8</v>
      </c>
      <c r="DT209" s="27" t="s">
        <v>7</v>
      </c>
    </row>
    <row r="210" spans="1:126" x14ac:dyDescent="0.25">
      <c r="A210" s="30">
        <v>4.3219423751506678</v>
      </c>
      <c r="C210"/>
      <c r="E210" t="s">
        <v>8</v>
      </c>
      <c r="G210" s="27" t="s">
        <v>8</v>
      </c>
      <c r="R210" s="27" t="s">
        <v>7</v>
      </c>
      <c r="S210" s="27" t="s">
        <v>8</v>
      </c>
      <c r="T210" s="27" t="s">
        <v>7</v>
      </c>
      <c r="U210" s="27" t="s">
        <v>8</v>
      </c>
      <c r="V210" s="27" t="s">
        <v>7</v>
      </c>
      <c r="AG210" s="27" t="s">
        <v>8</v>
      </c>
      <c r="AH210" s="27" t="s">
        <v>7</v>
      </c>
      <c r="AI210" s="27" t="s">
        <v>8</v>
      </c>
      <c r="BQ210" s="27" t="s">
        <v>8</v>
      </c>
      <c r="BR210" s="27" t="s">
        <v>7</v>
      </c>
      <c r="BV210" s="27" t="s">
        <v>7</v>
      </c>
      <c r="BY210" s="27" t="s">
        <v>8</v>
      </c>
      <c r="CA210" s="27" t="s">
        <v>8</v>
      </c>
      <c r="CC210" s="27" t="s">
        <v>8</v>
      </c>
      <c r="CR210" s="27" t="s">
        <v>7</v>
      </c>
      <c r="CT210" s="27" t="s">
        <v>7</v>
      </c>
      <c r="CU210" s="27" t="s">
        <v>8</v>
      </c>
      <c r="CZ210" s="27" t="s">
        <v>7</v>
      </c>
      <c r="DE210" s="27" t="s">
        <v>8</v>
      </c>
      <c r="DG210" s="27" t="s">
        <v>8</v>
      </c>
      <c r="DL210" s="31" t="s">
        <v>7</v>
      </c>
      <c r="DN210" s="27" t="s">
        <v>7</v>
      </c>
      <c r="DO210" s="27" t="s">
        <v>8</v>
      </c>
      <c r="DP210" s="27" t="s">
        <v>7</v>
      </c>
      <c r="DR210" s="27" t="s">
        <v>7</v>
      </c>
      <c r="DS210" s="27" t="s">
        <v>8</v>
      </c>
      <c r="DT210" s="27" t="s">
        <v>7</v>
      </c>
    </row>
    <row r="211" spans="1:126" x14ac:dyDescent="0.25">
      <c r="A211" s="30">
        <v>4.1161355953815884</v>
      </c>
      <c r="E211" t="s">
        <v>8</v>
      </c>
      <c r="F211" s="27" t="s">
        <v>7</v>
      </c>
      <c r="G211" s="27" t="s">
        <v>8</v>
      </c>
      <c r="R211" s="27" t="s">
        <v>7</v>
      </c>
      <c r="S211" s="27" t="s">
        <v>8</v>
      </c>
      <c r="T211" s="27" t="s">
        <v>7</v>
      </c>
      <c r="U211" s="27" t="s">
        <v>8</v>
      </c>
      <c r="V211" s="27" t="s">
        <v>7</v>
      </c>
      <c r="W211" s="27" t="s">
        <v>8</v>
      </c>
      <c r="AG211" s="27" t="s">
        <v>8</v>
      </c>
      <c r="AH211" s="27" t="s">
        <v>7</v>
      </c>
      <c r="AI211" s="27" t="s">
        <v>8</v>
      </c>
      <c r="AJ211" s="27" t="s">
        <v>7</v>
      </c>
      <c r="BQ211" s="27" t="s">
        <v>8</v>
      </c>
      <c r="BV211" s="27" t="s">
        <v>7</v>
      </c>
      <c r="BW211" s="27" t="s">
        <v>8</v>
      </c>
      <c r="BY211" s="27" t="s">
        <v>8</v>
      </c>
      <c r="BZ211" s="27" t="s">
        <v>7</v>
      </c>
      <c r="CA211" s="27" t="s">
        <v>8</v>
      </c>
      <c r="CB211" s="27" t="s">
        <v>7</v>
      </c>
      <c r="CC211" s="27" t="s">
        <v>8</v>
      </c>
      <c r="CT211" s="27" t="s">
        <v>7</v>
      </c>
      <c r="CU211" s="27" t="s">
        <v>8</v>
      </c>
      <c r="CZ211" s="27" t="s">
        <v>7</v>
      </c>
      <c r="DC211" s="32" t="s">
        <v>8</v>
      </c>
      <c r="DE211" s="27" t="s">
        <v>8</v>
      </c>
      <c r="DF211" s="27" t="s">
        <v>7</v>
      </c>
      <c r="DG211" s="27" t="s">
        <v>8</v>
      </c>
      <c r="DK211" s="31"/>
      <c r="DN211" s="27" t="s">
        <v>7</v>
      </c>
      <c r="DO211" s="27" t="s">
        <v>8</v>
      </c>
      <c r="DR211" s="27" t="s">
        <v>7</v>
      </c>
      <c r="DS211" s="27" t="s">
        <v>8</v>
      </c>
      <c r="DT211" s="27" t="s">
        <v>7</v>
      </c>
    </row>
    <row r="212" spans="1:126" x14ac:dyDescent="0.25">
      <c r="A212" s="30">
        <v>3.9201291384586554</v>
      </c>
      <c r="E212" t="s">
        <v>8</v>
      </c>
      <c r="F212" s="27" t="s">
        <v>7</v>
      </c>
      <c r="G212" s="27" t="s">
        <v>8</v>
      </c>
      <c r="R212" s="27" t="s">
        <v>7</v>
      </c>
      <c r="S212" s="27" t="s">
        <v>8</v>
      </c>
      <c r="T212" s="27" t="s">
        <v>7</v>
      </c>
      <c r="V212" s="27" t="s">
        <v>7</v>
      </c>
      <c r="W212" s="27" t="s">
        <v>8</v>
      </c>
      <c r="X212" s="27" t="s">
        <v>7</v>
      </c>
      <c r="AE212" s="27" t="s">
        <v>8</v>
      </c>
      <c r="AG212" s="27" t="s">
        <v>8</v>
      </c>
      <c r="AH212" s="27" t="s">
        <v>7</v>
      </c>
      <c r="AI212" s="27" t="s">
        <v>8</v>
      </c>
      <c r="AJ212" s="27" t="s">
        <v>7</v>
      </c>
      <c r="AW212" s="27" t="s">
        <v>8</v>
      </c>
      <c r="BM212" s="27" t="s">
        <v>8</v>
      </c>
      <c r="BQ212" s="27" t="s">
        <v>8</v>
      </c>
      <c r="BV212" s="27" t="s">
        <v>7</v>
      </c>
      <c r="BW212" s="27" t="s">
        <v>8</v>
      </c>
      <c r="BX212" s="27" t="s">
        <v>7</v>
      </c>
      <c r="BY212" s="27" t="s">
        <v>8</v>
      </c>
      <c r="BZ212" s="27" t="s">
        <v>7</v>
      </c>
      <c r="CA212" s="27" t="s">
        <v>8</v>
      </c>
      <c r="CB212" s="27" t="s">
        <v>7</v>
      </c>
      <c r="CC212" s="27" t="s">
        <v>8</v>
      </c>
      <c r="CT212" s="27" t="s">
        <v>7</v>
      </c>
      <c r="CU212" s="27" t="s">
        <v>8</v>
      </c>
      <c r="CZ212" s="27" t="s">
        <v>7</v>
      </c>
      <c r="DA212" s="27" t="s">
        <v>8</v>
      </c>
      <c r="DC212" s="27" t="s">
        <v>8</v>
      </c>
      <c r="DD212" s="27" t="s">
        <v>7</v>
      </c>
      <c r="DE212" s="27" t="s">
        <v>8</v>
      </c>
      <c r="DF212" s="27" t="s">
        <v>7</v>
      </c>
      <c r="DG212" s="27" t="s">
        <v>8</v>
      </c>
      <c r="DJ212" s="31"/>
      <c r="DN212" s="27" t="s">
        <v>7</v>
      </c>
      <c r="DO212" s="27" t="s">
        <v>8</v>
      </c>
      <c r="DR212" s="27" t="s">
        <v>7</v>
      </c>
      <c r="DT212" s="27" t="s">
        <v>7</v>
      </c>
    </row>
    <row r="213" spans="1:126" x14ac:dyDescent="0.25">
      <c r="A213" s="30">
        <v>3.7334563223415764</v>
      </c>
      <c r="E213" t="s">
        <v>8</v>
      </c>
      <c r="F213" s="27" t="s">
        <v>7</v>
      </c>
      <c r="G213" s="27" t="s">
        <v>8</v>
      </c>
      <c r="R213" s="27" t="s">
        <v>7</v>
      </c>
      <c r="S213" s="27" t="s">
        <v>8</v>
      </c>
      <c r="V213" s="27" t="s">
        <v>7</v>
      </c>
      <c r="W213" s="27" t="s">
        <v>8</v>
      </c>
      <c r="X213" s="27" t="s">
        <v>7</v>
      </c>
      <c r="AE213" s="27" t="s">
        <v>8</v>
      </c>
      <c r="AF213" s="27" t="s">
        <v>7</v>
      </c>
      <c r="AG213" s="27" t="s">
        <v>8</v>
      </c>
      <c r="AH213" s="27" t="s">
        <v>7</v>
      </c>
      <c r="AJ213" s="27" t="s">
        <v>7</v>
      </c>
      <c r="AW213" s="27" t="s">
        <v>8</v>
      </c>
      <c r="AX213" s="27" t="s">
        <v>7</v>
      </c>
      <c r="BE213" s="27" t="s">
        <v>8</v>
      </c>
      <c r="BM213" s="27" t="s">
        <v>8</v>
      </c>
      <c r="BN213" s="27" t="s">
        <v>7</v>
      </c>
      <c r="BQ213" s="27" t="s">
        <v>8</v>
      </c>
      <c r="BV213" s="27" t="s">
        <v>7</v>
      </c>
      <c r="BW213" s="27" t="s">
        <v>8</v>
      </c>
      <c r="BX213" s="27" t="s">
        <v>7</v>
      </c>
      <c r="BY213" s="27" t="s">
        <v>8</v>
      </c>
      <c r="BZ213" s="27" t="s">
        <v>7</v>
      </c>
      <c r="CB213" s="27" t="s">
        <v>7</v>
      </c>
      <c r="CC213" s="27" t="s">
        <v>8</v>
      </c>
      <c r="CT213" s="27" t="s">
        <v>7</v>
      </c>
      <c r="CZ213" s="27" t="s">
        <v>7</v>
      </c>
      <c r="DA213" s="27" t="s">
        <v>8</v>
      </c>
      <c r="DB213" s="27" t="s">
        <v>7</v>
      </c>
      <c r="DC213" s="27" t="s">
        <v>8</v>
      </c>
      <c r="DD213" s="27" t="s">
        <v>7</v>
      </c>
      <c r="DE213" s="27" t="s">
        <v>8</v>
      </c>
      <c r="DF213" s="27" t="s">
        <v>7</v>
      </c>
      <c r="DG213" s="27" t="s">
        <v>8</v>
      </c>
      <c r="DI213" s="31"/>
      <c r="DN213" s="27" t="s">
        <v>7</v>
      </c>
      <c r="DT213" s="27" t="s">
        <v>7</v>
      </c>
      <c r="DU213" s="27" t="s">
        <v>8</v>
      </c>
    </row>
    <row r="214" spans="1:126" x14ac:dyDescent="0.25">
      <c r="A214" s="30">
        <v>3.5556726879443583</v>
      </c>
      <c r="E214" t="s">
        <v>8</v>
      </c>
      <c r="F214" s="27" t="s">
        <v>7</v>
      </c>
      <c r="G214" s="27" t="s">
        <v>8</v>
      </c>
      <c r="R214" s="27" t="s">
        <v>7</v>
      </c>
      <c r="S214" s="27" t="s">
        <v>8</v>
      </c>
      <c r="V214" s="27" t="s">
        <v>7</v>
      </c>
      <c r="W214" s="27" t="s">
        <v>8</v>
      </c>
      <c r="X214" s="27" t="s">
        <v>7</v>
      </c>
      <c r="AA214" s="27" t="s">
        <v>8</v>
      </c>
      <c r="AE214" s="27" t="s">
        <v>8</v>
      </c>
      <c r="AF214" s="27" t="s">
        <v>7</v>
      </c>
      <c r="AG214" s="27" t="s">
        <v>8</v>
      </c>
      <c r="AJ214" s="27" t="s">
        <v>7</v>
      </c>
      <c r="AW214" s="27" t="s">
        <v>8</v>
      </c>
      <c r="AX214" s="27" t="s">
        <v>7</v>
      </c>
      <c r="BE214" s="27" t="s">
        <v>8</v>
      </c>
      <c r="BF214" s="27" t="s">
        <v>7</v>
      </c>
      <c r="BM214" s="27" t="s">
        <v>8</v>
      </c>
      <c r="BN214" s="27" t="s">
        <v>7</v>
      </c>
      <c r="BQ214" s="27" t="s">
        <v>8</v>
      </c>
      <c r="BV214" s="27" t="s">
        <v>7</v>
      </c>
      <c r="BW214" s="27" t="s">
        <v>8</v>
      </c>
      <c r="BX214" s="27" t="s">
        <v>7</v>
      </c>
      <c r="BY214" s="27" t="s">
        <v>8</v>
      </c>
      <c r="CB214" s="27" t="s">
        <v>7</v>
      </c>
      <c r="CZ214" s="27" t="s">
        <v>7</v>
      </c>
      <c r="DA214" s="27" t="s">
        <v>8</v>
      </c>
      <c r="DB214" s="27" t="s">
        <v>7</v>
      </c>
      <c r="DC214" s="27" t="s">
        <v>8</v>
      </c>
      <c r="DD214" s="27" t="s">
        <v>7</v>
      </c>
      <c r="DF214" s="18" t="s">
        <v>7</v>
      </c>
      <c r="DG214" s="27" t="s">
        <v>8</v>
      </c>
      <c r="DH214" s="31"/>
      <c r="DT214" s="27" t="s">
        <v>7</v>
      </c>
      <c r="DU214" s="27" t="s">
        <v>8</v>
      </c>
      <c r="DV214" s="27" t="s">
        <v>7</v>
      </c>
    </row>
    <row r="215" spans="1:126" x14ac:dyDescent="0.25">
      <c r="A215" s="30">
        <v>3.3863549408993889</v>
      </c>
      <c r="E215" t="s">
        <v>8</v>
      </c>
      <c r="F215" s="27" t="s">
        <v>7</v>
      </c>
      <c r="G215" s="27" t="s">
        <v>8</v>
      </c>
      <c r="R215" s="27" t="s">
        <v>7</v>
      </c>
      <c r="V215" s="27" t="s">
        <v>7</v>
      </c>
      <c r="W215" s="27" t="s">
        <v>8</v>
      </c>
      <c r="X215" s="27" t="s">
        <v>7</v>
      </c>
      <c r="AA215" s="27" t="s">
        <v>8</v>
      </c>
      <c r="AB215" s="27" t="s">
        <v>7</v>
      </c>
      <c r="AE215" s="27" t="s">
        <v>8</v>
      </c>
      <c r="AF215" s="27" t="s">
        <v>7</v>
      </c>
      <c r="AJ215" s="27" t="s">
        <v>7</v>
      </c>
      <c r="AU215" s="27" t="s">
        <v>8</v>
      </c>
      <c r="AW215" s="27" t="s">
        <v>8</v>
      </c>
      <c r="AX215" s="27" t="s">
        <v>7</v>
      </c>
      <c r="AY215" s="27" t="s">
        <v>8</v>
      </c>
      <c r="BE215" s="27" t="s">
        <v>8</v>
      </c>
      <c r="BF215" s="27" t="s">
        <v>7</v>
      </c>
      <c r="BK215" s="27" t="s">
        <v>8</v>
      </c>
      <c r="BM215" s="27" t="s">
        <v>8</v>
      </c>
      <c r="BN215" s="27" t="s">
        <v>7</v>
      </c>
      <c r="BQ215" s="27" t="s">
        <v>8</v>
      </c>
      <c r="BV215" s="27" t="s">
        <v>7</v>
      </c>
      <c r="BW215" s="27" t="s">
        <v>8</v>
      </c>
      <c r="BX215" s="27" t="s">
        <v>7</v>
      </c>
      <c r="CZ215" s="27" t="s">
        <v>7</v>
      </c>
      <c r="DA215" s="27" t="s">
        <v>8</v>
      </c>
      <c r="DB215" s="27" t="s">
        <v>7</v>
      </c>
      <c r="DF215" s="33" t="s">
        <v>7</v>
      </c>
      <c r="DG215" s="31" t="s">
        <v>8</v>
      </c>
      <c r="DT215" s="27" t="s">
        <v>7</v>
      </c>
      <c r="DU215" s="27" t="s">
        <v>8</v>
      </c>
      <c r="DV215" s="27" t="s">
        <v>7</v>
      </c>
    </row>
    <row r="216" spans="1:126" x14ac:dyDescent="0.25">
      <c r="A216" s="30">
        <v>3.2250999437137038</v>
      </c>
      <c r="E216" t="s">
        <v>8</v>
      </c>
      <c r="F216" s="27" t="s">
        <v>7</v>
      </c>
      <c r="V216" s="27" t="s">
        <v>7</v>
      </c>
      <c r="W216" s="27" t="s">
        <v>8</v>
      </c>
      <c r="X216" s="27" t="s">
        <v>7</v>
      </c>
      <c r="Y216" s="27" t="s">
        <v>8</v>
      </c>
      <c r="AA216" s="27" t="s">
        <v>8</v>
      </c>
      <c r="AB216" s="27" t="s">
        <v>7</v>
      </c>
      <c r="AE216" s="27" t="s">
        <v>8</v>
      </c>
      <c r="AJ216" s="27" t="s">
        <v>7</v>
      </c>
      <c r="AU216" s="27" t="s">
        <v>8</v>
      </c>
      <c r="AV216" s="27" t="s">
        <v>7</v>
      </c>
      <c r="AW216" s="27" t="s">
        <v>8</v>
      </c>
      <c r="AX216" s="27" t="s">
        <v>7</v>
      </c>
      <c r="AY216" s="27" t="s">
        <v>8</v>
      </c>
      <c r="AZ216" s="27" t="s">
        <v>7</v>
      </c>
      <c r="BA216" s="27" t="s">
        <v>8</v>
      </c>
      <c r="BE216" s="27" t="s">
        <v>8</v>
      </c>
      <c r="BF216" s="27" t="s">
        <v>7</v>
      </c>
      <c r="BG216" s="27" t="s">
        <v>8</v>
      </c>
      <c r="BI216" s="27" t="s">
        <v>8</v>
      </c>
      <c r="BK216" s="27" t="s">
        <v>8</v>
      </c>
      <c r="BL216" s="27" t="s">
        <v>7</v>
      </c>
      <c r="BM216" s="27" t="s">
        <v>8</v>
      </c>
      <c r="BN216" s="27" t="s">
        <v>7</v>
      </c>
      <c r="BQ216" s="27" t="s">
        <v>8</v>
      </c>
      <c r="BV216" s="27" t="s">
        <v>7</v>
      </c>
      <c r="CZ216" s="27" t="s">
        <v>7</v>
      </c>
      <c r="DA216" s="27" t="s">
        <v>8</v>
      </c>
      <c r="DF216" s="31" t="s">
        <v>7</v>
      </c>
      <c r="DT216" s="27" t="s">
        <v>7</v>
      </c>
      <c r="DU216" s="27" t="s">
        <v>8</v>
      </c>
      <c r="DV216" s="27" t="s">
        <v>7</v>
      </c>
    </row>
    <row r="217" spans="1:126" x14ac:dyDescent="0.25">
      <c r="A217" s="30">
        <v>3.0715237559178128</v>
      </c>
      <c r="E217" t="s">
        <v>8</v>
      </c>
      <c r="V217" s="27" t="s">
        <v>7</v>
      </c>
      <c r="X217" s="27" t="s">
        <v>7</v>
      </c>
      <c r="Y217" s="27" t="s">
        <v>8</v>
      </c>
      <c r="Z217" s="27" t="s">
        <v>7</v>
      </c>
      <c r="AA217" s="27" t="s">
        <v>8</v>
      </c>
      <c r="AB217" s="27" t="s">
        <v>7</v>
      </c>
      <c r="AE217" s="27" t="s">
        <v>8</v>
      </c>
      <c r="AJ217" s="27" t="s">
        <v>7</v>
      </c>
      <c r="AQ217" s="27" t="s">
        <v>8</v>
      </c>
      <c r="AU217" s="27" t="s">
        <v>8</v>
      </c>
      <c r="AV217" s="27" t="s">
        <v>7</v>
      </c>
      <c r="AW217" s="27" t="s">
        <v>8</v>
      </c>
      <c r="AX217" s="27" t="s">
        <v>7</v>
      </c>
      <c r="AY217" s="27" t="s">
        <v>8</v>
      </c>
      <c r="AZ217" s="27" t="s">
        <v>7</v>
      </c>
      <c r="BA217" s="27" t="s">
        <v>8</v>
      </c>
      <c r="BB217" s="27" t="s">
        <v>7</v>
      </c>
      <c r="BE217" s="27" t="s">
        <v>8</v>
      </c>
      <c r="BF217" s="27" t="s">
        <v>7</v>
      </c>
      <c r="BG217" s="27" t="s">
        <v>8</v>
      </c>
      <c r="BH217" s="27" t="s">
        <v>7</v>
      </c>
      <c r="BI217" s="27" t="s">
        <v>8</v>
      </c>
      <c r="BJ217" s="27" t="s">
        <v>7</v>
      </c>
      <c r="BK217" s="27" t="s">
        <v>8</v>
      </c>
      <c r="BL217" s="27" t="s">
        <v>7</v>
      </c>
      <c r="BM217" s="27" t="s">
        <v>8</v>
      </c>
      <c r="BN217" s="27" t="s">
        <v>7</v>
      </c>
      <c r="BQ217" s="27" t="s">
        <v>8</v>
      </c>
      <c r="CZ217" s="27" t="s">
        <v>7</v>
      </c>
      <c r="DT217" s="27" t="s">
        <v>7</v>
      </c>
      <c r="DU217" s="27" t="s">
        <v>8</v>
      </c>
      <c r="DV217" s="27" t="s">
        <v>7</v>
      </c>
    </row>
    <row r="218" spans="1:126" x14ac:dyDescent="0.25">
      <c r="A218" s="30">
        <v>2.9252607199217264</v>
      </c>
      <c r="E218" t="s">
        <v>8</v>
      </c>
      <c r="X218" s="27" t="s">
        <v>7</v>
      </c>
      <c r="Y218" s="27" t="s">
        <v>8</v>
      </c>
      <c r="Z218" s="27" t="s">
        <v>7</v>
      </c>
      <c r="AA218" s="27" t="s">
        <v>8</v>
      </c>
      <c r="AB218" s="27" t="s">
        <v>7</v>
      </c>
      <c r="AE218" s="27" t="s">
        <v>8</v>
      </c>
      <c r="AJ218" s="27" t="s">
        <v>7</v>
      </c>
      <c r="AQ218" s="27" t="s">
        <v>8</v>
      </c>
      <c r="AR218" s="27" t="s">
        <v>7</v>
      </c>
      <c r="AU218" s="27" t="s">
        <v>8</v>
      </c>
      <c r="AV218" s="27" t="s">
        <v>7</v>
      </c>
      <c r="AW218" s="27" t="s">
        <v>8</v>
      </c>
      <c r="AX218" s="27" t="s">
        <v>7</v>
      </c>
      <c r="AZ218" s="27" t="s">
        <v>7</v>
      </c>
      <c r="BA218" s="27" t="s">
        <v>8</v>
      </c>
      <c r="BB218" s="27" t="s">
        <v>7</v>
      </c>
      <c r="BC218" s="27" t="s">
        <v>8</v>
      </c>
      <c r="BE218" s="27" t="s">
        <v>8</v>
      </c>
      <c r="BF218" s="27" t="s">
        <v>7</v>
      </c>
      <c r="BG218" s="27" t="s">
        <v>8</v>
      </c>
      <c r="BH218" s="27" t="s">
        <v>7</v>
      </c>
      <c r="BI218" s="27" t="s">
        <v>8</v>
      </c>
      <c r="BJ218" s="27" t="s">
        <v>7</v>
      </c>
      <c r="BK218" s="27" t="s">
        <v>8</v>
      </c>
      <c r="BL218" s="27" t="s">
        <v>7</v>
      </c>
      <c r="BN218" s="27" t="s">
        <v>7</v>
      </c>
      <c r="BO218" s="27" t="s">
        <v>8</v>
      </c>
      <c r="BQ218" s="27" t="s">
        <v>8</v>
      </c>
      <c r="DT218" s="27" t="s">
        <v>7</v>
      </c>
      <c r="DU218" s="27" t="s">
        <v>8</v>
      </c>
      <c r="DV218" s="27" t="s">
        <v>7</v>
      </c>
    </row>
    <row r="219" spans="1:126" x14ac:dyDescent="0.25">
      <c r="A219" s="30">
        <v>2.7859625904016441</v>
      </c>
      <c r="E219" t="s">
        <v>8</v>
      </c>
      <c r="X219" s="27" t="s">
        <v>7</v>
      </c>
      <c r="Y219" s="27" t="s">
        <v>8</v>
      </c>
      <c r="Z219" s="27" t="s">
        <v>7</v>
      </c>
      <c r="AA219" s="27" t="s">
        <v>8</v>
      </c>
      <c r="AB219" s="27" t="s">
        <v>7</v>
      </c>
      <c r="AC219" s="27" t="s">
        <v>8</v>
      </c>
      <c r="AE219" s="27" t="s">
        <v>8</v>
      </c>
      <c r="AJ219" s="27" t="s">
        <v>7</v>
      </c>
      <c r="AO219" s="27" t="s">
        <v>8</v>
      </c>
      <c r="AQ219" s="27" t="s">
        <v>8</v>
      </c>
      <c r="AR219" s="27" t="s">
        <v>7</v>
      </c>
      <c r="AS219" s="27" t="s">
        <v>8</v>
      </c>
      <c r="AU219" s="27" t="s">
        <v>8</v>
      </c>
      <c r="AV219" s="27" t="s">
        <v>7</v>
      </c>
      <c r="AZ219" s="27" t="s">
        <v>7</v>
      </c>
      <c r="BA219" s="27" t="s">
        <v>8</v>
      </c>
      <c r="BB219" s="27" t="s">
        <v>7</v>
      </c>
      <c r="BC219" s="27" t="s">
        <v>8</v>
      </c>
      <c r="BD219" s="27" t="s">
        <v>7</v>
      </c>
      <c r="BE219" s="27" t="s">
        <v>8</v>
      </c>
      <c r="BF219" s="27" t="s">
        <v>7</v>
      </c>
      <c r="BH219" s="27" t="s">
        <v>7</v>
      </c>
      <c r="BI219" s="27" t="s">
        <v>8</v>
      </c>
      <c r="BJ219" s="27" t="s">
        <v>7</v>
      </c>
      <c r="BK219" s="27" t="s">
        <v>8</v>
      </c>
      <c r="BN219" s="27" t="s">
        <v>7</v>
      </c>
      <c r="BO219" s="27" t="s">
        <v>8</v>
      </c>
      <c r="BP219" s="27" t="s">
        <v>7</v>
      </c>
      <c r="BQ219" s="27" t="s">
        <v>8</v>
      </c>
      <c r="DT219" s="27" t="s">
        <v>7</v>
      </c>
      <c r="DU219" s="27" t="s">
        <v>8</v>
      </c>
      <c r="DV219" s="27" t="s">
        <v>7</v>
      </c>
    </row>
    <row r="220" spans="1:126" x14ac:dyDescent="0.25">
      <c r="A220" s="30">
        <v>2.6532977051444226</v>
      </c>
      <c r="E220" t="s">
        <v>8</v>
      </c>
      <c r="X220" s="27" t="s">
        <v>7</v>
      </c>
      <c r="Y220" s="27" t="s">
        <v>8</v>
      </c>
      <c r="Z220" s="27" t="s">
        <v>7</v>
      </c>
      <c r="AB220" s="27" t="s">
        <v>7</v>
      </c>
      <c r="AC220" s="27" t="s">
        <v>8</v>
      </c>
      <c r="AD220" s="27" t="s">
        <v>7</v>
      </c>
      <c r="AE220" s="27" t="s">
        <v>8</v>
      </c>
      <c r="AJ220" s="27" t="s">
        <v>7</v>
      </c>
      <c r="AO220" s="27" t="s">
        <v>8</v>
      </c>
      <c r="AP220" s="27" t="s">
        <v>7</v>
      </c>
      <c r="AQ220" s="27" t="s">
        <v>8</v>
      </c>
      <c r="AR220" s="27" t="s">
        <v>7</v>
      </c>
      <c r="AS220" s="27" t="s">
        <v>8</v>
      </c>
      <c r="AT220" s="27" t="s">
        <v>7</v>
      </c>
      <c r="AU220" s="27" t="s">
        <v>8</v>
      </c>
      <c r="AZ220" s="27" t="s">
        <v>7</v>
      </c>
      <c r="BA220" s="27" t="s">
        <v>8</v>
      </c>
      <c r="BB220" s="27" t="s">
        <v>7</v>
      </c>
      <c r="BC220" s="27" t="s">
        <v>8</v>
      </c>
      <c r="BD220" s="27" t="s">
        <v>7</v>
      </c>
      <c r="BE220" s="27" t="s">
        <v>8</v>
      </c>
      <c r="BH220" s="27" t="s">
        <v>7</v>
      </c>
      <c r="BJ220" s="27" t="s">
        <v>7</v>
      </c>
      <c r="BK220" s="27" t="s">
        <v>8</v>
      </c>
      <c r="BN220" s="27" t="s">
        <v>7</v>
      </c>
      <c r="BO220" s="27" t="s">
        <v>8</v>
      </c>
      <c r="BP220" s="27" t="s">
        <v>7</v>
      </c>
      <c r="BQ220" s="27" t="s">
        <v>8</v>
      </c>
      <c r="DT220" s="27" t="s">
        <v>7</v>
      </c>
      <c r="DU220" s="27" t="s">
        <v>8</v>
      </c>
      <c r="DV220" s="27" t="s">
        <v>7</v>
      </c>
    </row>
    <row r="221" spans="1:126" x14ac:dyDescent="0.25">
      <c r="A221" s="30">
        <v>2.5269501953756404</v>
      </c>
      <c r="E221" t="s">
        <v>8</v>
      </c>
      <c r="X221" s="27" t="s">
        <v>7</v>
      </c>
      <c r="AB221" s="27" t="s">
        <v>7</v>
      </c>
      <c r="AC221" s="27" t="s">
        <v>8</v>
      </c>
      <c r="AD221" s="27" t="s">
        <v>7</v>
      </c>
      <c r="AE221" s="27" t="s">
        <v>8</v>
      </c>
      <c r="AJ221" s="27" t="s">
        <v>7</v>
      </c>
      <c r="AO221" s="27" t="s">
        <v>8</v>
      </c>
      <c r="AP221" s="27" t="s">
        <v>7</v>
      </c>
      <c r="AQ221" s="27" t="s">
        <v>8</v>
      </c>
      <c r="AR221" s="27" t="s">
        <v>7</v>
      </c>
      <c r="AS221" s="27" t="s">
        <v>8</v>
      </c>
      <c r="AT221" s="27" t="s">
        <v>7</v>
      </c>
      <c r="AU221" s="27" t="s">
        <v>8</v>
      </c>
      <c r="AZ221" s="27" t="s">
        <v>7</v>
      </c>
      <c r="BB221" s="27" t="s">
        <v>7</v>
      </c>
      <c r="BC221" s="27" t="s">
        <v>8</v>
      </c>
      <c r="BD221" s="27" t="s">
        <v>7</v>
      </c>
      <c r="BE221" s="27" t="s">
        <v>8</v>
      </c>
      <c r="BJ221" s="27" t="s">
        <v>7</v>
      </c>
      <c r="BK221" s="27" t="s">
        <v>8</v>
      </c>
      <c r="BN221" s="27" t="s">
        <v>7</v>
      </c>
      <c r="BO221" s="27" t="s">
        <v>8</v>
      </c>
      <c r="BP221" s="27" t="s">
        <v>7</v>
      </c>
      <c r="DT221" s="27" t="s">
        <v>7</v>
      </c>
      <c r="DU221" s="27" t="s">
        <v>8</v>
      </c>
      <c r="DV221" s="27" t="s">
        <v>7</v>
      </c>
    </row>
    <row r="222" spans="1:126" x14ac:dyDescent="0.25">
      <c r="A222" s="30">
        <v>2.4066192336910861</v>
      </c>
      <c r="E222" t="s">
        <v>8</v>
      </c>
      <c r="AB222" s="27" t="s">
        <v>7</v>
      </c>
      <c r="AD222" s="27" t="s">
        <v>7</v>
      </c>
      <c r="AE222" s="27" t="s">
        <v>8</v>
      </c>
      <c r="AJ222" s="27" t="s">
        <v>7</v>
      </c>
      <c r="AM222" s="27" t="s">
        <v>8</v>
      </c>
      <c r="AO222" s="27" t="s">
        <v>8</v>
      </c>
      <c r="AP222" s="27" t="s">
        <v>7</v>
      </c>
      <c r="AR222" s="27" t="s">
        <v>7</v>
      </c>
      <c r="AS222" s="27" t="s">
        <v>8</v>
      </c>
      <c r="AT222" s="27" t="s">
        <v>7</v>
      </c>
      <c r="AU222" s="27" t="s">
        <v>8</v>
      </c>
      <c r="BB222" s="27" t="s">
        <v>7</v>
      </c>
      <c r="BD222" s="27" t="s">
        <v>7</v>
      </c>
      <c r="BE222" s="27" t="s">
        <v>8</v>
      </c>
      <c r="BJ222" s="27" t="s">
        <v>7</v>
      </c>
      <c r="BK222" s="27" t="s">
        <v>8</v>
      </c>
      <c r="BN222" s="27" t="s">
        <v>7</v>
      </c>
      <c r="DT222" s="27" t="s">
        <v>7</v>
      </c>
      <c r="DV222" s="27" t="s">
        <v>7</v>
      </c>
    </row>
    <row r="223" spans="1:126" x14ac:dyDescent="0.25">
      <c r="A223" s="30">
        <v>2.2920183178010345</v>
      </c>
      <c r="E223" t="s">
        <v>8</v>
      </c>
      <c r="AD223" s="27" t="s">
        <v>7</v>
      </c>
      <c r="AE223" s="27" t="s">
        <v>8</v>
      </c>
      <c r="AJ223" s="27" t="s">
        <v>7</v>
      </c>
      <c r="AM223" s="27" t="s">
        <v>8</v>
      </c>
      <c r="AN223" s="27" t="s">
        <v>7</v>
      </c>
      <c r="AO223" s="27" t="s">
        <v>8</v>
      </c>
      <c r="AR223" s="27" t="s">
        <v>7</v>
      </c>
      <c r="AT223" s="27" t="s">
        <v>7</v>
      </c>
      <c r="BD223" s="27" t="s">
        <v>7</v>
      </c>
      <c r="BJ223" s="27" t="s">
        <v>7</v>
      </c>
      <c r="BK223" s="27" t="s">
        <v>8</v>
      </c>
      <c r="DV223" s="27" t="s">
        <v>7</v>
      </c>
    </row>
    <row r="224" spans="1:126" x14ac:dyDescent="0.25">
      <c r="A224" s="30">
        <v>2.1828745883819374</v>
      </c>
      <c r="E224" t="s">
        <v>8</v>
      </c>
      <c r="AD224" s="27" t="s">
        <v>7</v>
      </c>
      <c r="AJ224" s="27" t="s">
        <v>7</v>
      </c>
      <c r="AM224" s="27" t="s">
        <v>8</v>
      </c>
      <c r="AN224" s="27" t="s">
        <v>7</v>
      </c>
      <c r="AO224" s="27" t="s">
        <v>8</v>
      </c>
      <c r="BJ224" s="27" t="s">
        <v>7</v>
      </c>
      <c r="BK224" s="27" t="s">
        <v>8</v>
      </c>
      <c r="DV224" s="27" t="s">
        <v>7</v>
      </c>
    </row>
    <row r="225" spans="1:126" x14ac:dyDescent="0.25">
      <c r="A225" s="30">
        <v>2.0789281794113688</v>
      </c>
      <c r="E225" t="s">
        <v>8</v>
      </c>
      <c r="AJ225" s="27" t="s">
        <v>7</v>
      </c>
      <c r="AK225" s="27" t="s">
        <v>8</v>
      </c>
      <c r="AM225" s="27" t="s">
        <v>8</v>
      </c>
      <c r="AN225" s="27" t="s">
        <v>7</v>
      </c>
      <c r="BJ225" s="27" t="s">
        <v>7</v>
      </c>
      <c r="DV225" s="27" t="s">
        <v>7</v>
      </c>
    </row>
    <row r="226" spans="1:126" x14ac:dyDescent="0.25">
      <c r="A226" s="30">
        <v>1.9799315994393987</v>
      </c>
      <c r="E226" t="s">
        <v>8</v>
      </c>
      <c r="AJ226" s="27" t="s">
        <v>7</v>
      </c>
      <c r="AK226" s="27" t="s">
        <v>8</v>
      </c>
      <c r="AL226" s="27" t="s">
        <v>7</v>
      </c>
      <c r="AM226" s="27" t="s">
        <v>8</v>
      </c>
    </row>
    <row r="227" spans="1:126" x14ac:dyDescent="0.25">
      <c r="A227" s="30">
        <v>1.8856491423232367</v>
      </c>
      <c r="E227" t="s">
        <v>8</v>
      </c>
      <c r="AJ227" s="27" t="s">
        <v>7</v>
      </c>
      <c r="AK227" s="27" t="s">
        <v>8</v>
      </c>
      <c r="AL227" s="27" t="s">
        <v>7</v>
      </c>
      <c r="AM227" s="27" t="s">
        <v>8</v>
      </c>
    </row>
    <row r="228" spans="1:126" x14ac:dyDescent="0.25">
      <c r="A228" s="30">
        <v>1.7958563260221301</v>
      </c>
      <c r="C228" s="7"/>
      <c r="D228"/>
      <c r="E228" t="s">
        <v>8</v>
      </c>
      <c r="AJ228" s="27" t="s">
        <v>7</v>
      </c>
      <c r="AK228" s="27" t="s">
        <v>8</v>
      </c>
      <c r="AL228" s="27" t="s">
        <v>7</v>
      </c>
    </row>
    <row r="229" spans="1:126" x14ac:dyDescent="0.25">
      <c r="A229" s="30">
        <v>1.7103393581163142</v>
      </c>
      <c r="E229" t="s">
        <v>8</v>
      </c>
      <c r="AJ229" s="27" t="s">
        <v>7</v>
      </c>
      <c r="AK229" s="27" t="s">
        <v>8</v>
      </c>
    </row>
    <row r="230" spans="1:126" x14ac:dyDescent="0.25">
      <c r="A230" s="30">
        <v>1.628894626777442</v>
      </c>
      <c r="E230" t="s">
        <v>8</v>
      </c>
      <c r="AJ230" s="27" t="s">
        <v>7</v>
      </c>
      <c r="AK230" s="27" t="s">
        <v>8</v>
      </c>
    </row>
    <row r="231" spans="1:126" x14ac:dyDescent="0.25">
      <c r="A231" s="30">
        <v>1.5513282159785162</v>
      </c>
      <c r="C231"/>
      <c r="D231"/>
      <c r="E231" t="s">
        <v>8</v>
      </c>
      <c r="AJ231" s="27" t="s">
        <v>7</v>
      </c>
      <c r="AK231" s="27" t="s">
        <v>8</v>
      </c>
    </row>
    <row r="232" spans="1:126" x14ac:dyDescent="0.25">
      <c r="A232" s="30">
        <v>1.477455443789063</v>
      </c>
      <c r="E232" t="s">
        <v>8</v>
      </c>
      <c r="AJ232" s="27" t="s">
        <v>7</v>
      </c>
      <c r="AK232" s="27" t="s">
        <v>8</v>
      </c>
    </row>
    <row r="233" spans="1:126" x14ac:dyDescent="0.25">
      <c r="A233" s="30">
        <v>1.4071004226562505</v>
      </c>
      <c r="E233" t="s">
        <v>8</v>
      </c>
      <c r="AJ233" s="27" t="s">
        <v>7</v>
      </c>
    </row>
    <row r="234" spans="1:126" x14ac:dyDescent="0.25">
      <c r="A234" s="30">
        <v>1.3400956406250004</v>
      </c>
      <c r="E234" t="s">
        <v>8</v>
      </c>
    </row>
    <row r="235" spans="1:126" x14ac:dyDescent="0.25">
      <c r="A235" s="30">
        <v>1.2762815625000004</v>
      </c>
      <c r="C235"/>
      <c r="E235" t="s">
        <v>8</v>
      </c>
    </row>
    <row r="236" spans="1:126" x14ac:dyDescent="0.25">
      <c r="A236" s="30">
        <v>1.2155062500000002</v>
      </c>
      <c r="E236" t="s">
        <v>8</v>
      </c>
    </row>
    <row r="237" spans="1:12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126" x14ac:dyDescent="0.25">
      <c r="A238" s="30">
        <v>1.1025</v>
      </c>
      <c r="E238" t="s">
        <v>8</v>
      </c>
    </row>
    <row r="239" spans="1:126" x14ac:dyDescent="0.25">
      <c r="A239" s="30">
        <v>1.05</v>
      </c>
      <c r="E239" t="s">
        <v>8</v>
      </c>
    </row>
    <row r="240" spans="1:126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506" operator="equal">
      <formula>$U$1</formula>
    </cfRule>
    <cfRule type="cellIs" dxfId="67" priority="1507" operator="equal">
      <formula>$S$1</formula>
    </cfRule>
  </conditionalFormatting>
  <conditionalFormatting sqref="D136">
    <cfRule type="cellIs" dxfId="66" priority="1504" operator="equal">
      <formula>$S$1</formula>
    </cfRule>
    <cfRule type="cellIs" dxfId="65" priority="1505" operator="equal">
      <formula>$U$1</formula>
    </cfRule>
  </conditionalFormatting>
  <conditionalFormatting sqref="C162">
    <cfRule type="cellIs" dxfId="64" priority="1502" operator="equal">
      <formula>$U$1</formula>
    </cfRule>
    <cfRule type="cellIs" dxfId="63" priority="1503" operator="equal">
      <formula>$S$1</formula>
    </cfRule>
  </conditionalFormatting>
  <conditionalFormatting sqref="D162">
    <cfRule type="cellIs" dxfId="62" priority="1500" operator="equal">
      <formula>$S$1</formula>
    </cfRule>
    <cfRule type="cellIs" dxfId="61" priority="1501" operator="equal">
      <formula>$U$1</formula>
    </cfRule>
  </conditionalFormatting>
  <conditionalFormatting sqref="C187">
    <cfRule type="cellIs" dxfId="60" priority="1498" operator="equal">
      <formula>$U$1</formula>
    </cfRule>
    <cfRule type="cellIs" dxfId="59" priority="1499" operator="equal">
      <formula>$S$1</formula>
    </cfRule>
  </conditionalFormatting>
  <conditionalFormatting sqref="D187">
    <cfRule type="cellIs" dxfId="58" priority="1496" operator="equal">
      <formula>$S$1</formula>
    </cfRule>
    <cfRule type="cellIs" dxfId="57" priority="1497" operator="equal">
      <formula>$U$1</formula>
    </cfRule>
  </conditionalFormatting>
  <conditionalFormatting sqref="C212">
    <cfRule type="cellIs" dxfId="56" priority="1494" operator="equal">
      <formula>$U$1</formula>
    </cfRule>
    <cfRule type="cellIs" dxfId="55" priority="1495" operator="equal">
      <formula>$S$1</formula>
    </cfRule>
  </conditionalFormatting>
  <conditionalFormatting sqref="D212">
    <cfRule type="cellIs" dxfId="54" priority="1492" operator="equal">
      <formula>$S$1</formula>
    </cfRule>
    <cfRule type="cellIs" dxfId="53" priority="1493" operator="equal">
      <formula>$U$1</formula>
    </cfRule>
  </conditionalFormatting>
  <conditionalFormatting sqref="C237">
    <cfRule type="cellIs" dxfId="52" priority="1490" operator="equal">
      <formula>$U$1</formula>
    </cfRule>
    <cfRule type="cellIs" dxfId="51" priority="1491" operator="equal">
      <formula>$S$1</formula>
    </cfRule>
  </conditionalFormatting>
  <conditionalFormatting sqref="D237">
    <cfRule type="cellIs" dxfId="50" priority="1488" operator="equal">
      <formula>$S$1</formula>
    </cfRule>
    <cfRule type="cellIs" dxfId="49" priority="1489" operator="equal">
      <formula>$U$1</formula>
    </cfRule>
  </conditionalFormatting>
  <conditionalFormatting sqref="C106">
    <cfRule type="cellIs" dxfId="48" priority="1486" operator="equal">
      <formula>$U$1</formula>
    </cfRule>
    <cfRule type="cellIs" dxfId="47" priority="1487" operator="equal">
      <formula>$S$1</formula>
    </cfRule>
  </conditionalFormatting>
  <conditionalFormatting sqref="D106">
    <cfRule type="cellIs" dxfId="46" priority="1484" operator="equal">
      <formula>$S$1</formula>
    </cfRule>
    <cfRule type="cellIs" dxfId="45" priority="1485" operator="equal">
      <formula>$U$1</formula>
    </cfRule>
  </conditionalFormatting>
  <conditionalFormatting sqref="C81">
    <cfRule type="cellIs" dxfId="44" priority="1482" operator="equal">
      <formula>$U$1</formula>
    </cfRule>
    <cfRule type="cellIs" dxfId="43" priority="1483" operator="equal">
      <formula>$S$1</formula>
    </cfRule>
  </conditionalFormatting>
  <conditionalFormatting sqref="D81">
    <cfRule type="cellIs" dxfId="42" priority="1480" operator="equal">
      <formula>$S$1</formula>
    </cfRule>
    <cfRule type="cellIs" dxfId="41" priority="1481" operator="equal">
      <formula>$U$1</formula>
    </cfRule>
  </conditionalFormatting>
  <conditionalFormatting sqref="C56">
    <cfRule type="cellIs" dxfId="40" priority="1478" operator="equal">
      <formula>$U$1</formula>
    </cfRule>
    <cfRule type="cellIs" dxfId="39" priority="1479" operator="equal">
      <formula>$S$1</formula>
    </cfRule>
  </conditionalFormatting>
  <conditionalFormatting sqref="D56">
    <cfRule type="cellIs" dxfId="38" priority="1476" operator="equal">
      <formula>$S$1</formula>
    </cfRule>
    <cfRule type="cellIs" dxfId="37" priority="1477" operator="equal">
      <formula>$U$1</formula>
    </cfRule>
  </conditionalFormatting>
  <conditionalFormatting sqref="C31">
    <cfRule type="cellIs" dxfId="36" priority="1474" operator="equal">
      <formula>$U$1</formula>
    </cfRule>
    <cfRule type="cellIs" dxfId="35" priority="1475" operator="equal">
      <formula>$S$1</formula>
    </cfRule>
  </conditionalFormatting>
  <conditionalFormatting sqref="D31">
    <cfRule type="cellIs" dxfId="34" priority="1472" operator="equal">
      <formula>$S$1</formula>
    </cfRule>
    <cfRule type="cellIs" dxfId="33" priority="147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84" zoomScale="90" zoomScaleNormal="90" workbookViewId="0">
      <pane xSplit="4" topLeftCell="G1" activePane="topRight" state="frozen"/>
      <selection activeCell="A109" sqref="A109"/>
      <selection pane="topRight" activeCell="AN113" sqref="AN113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32" x14ac:dyDescent="0.25">
      <c r="A81" s="30">
        <v>45.259255568176073</v>
      </c>
      <c r="E81"/>
    </row>
    <row r="82" spans="1:32" x14ac:dyDescent="0.25">
      <c r="A82" s="30">
        <v>41.144777789250973</v>
      </c>
      <c r="E82"/>
    </row>
    <row r="83" spans="1:32" x14ac:dyDescent="0.25">
      <c r="A83" s="30">
        <v>37.404343444773609</v>
      </c>
      <c r="E83"/>
    </row>
    <row r="84" spans="1:32" x14ac:dyDescent="0.25">
      <c r="A84" s="30">
        <v>34.003948586157826</v>
      </c>
      <c r="E84"/>
    </row>
    <row r="85" spans="1:32" x14ac:dyDescent="0.25">
      <c r="A85" s="30">
        <v>30.912680532870748</v>
      </c>
      <c r="E85"/>
    </row>
    <row r="86" spans="1:32" x14ac:dyDescent="0.25">
      <c r="A86" s="30">
        <v>28.102436848064315</v>
      </c>
      <c r="E86"/>
    </row>
    <row r="87" spans="1:32" x14ac:dyDescent="0.25">
      <c r="A87" s="30">
        <v>25.547669861876649</v>
      </c>
      <c r="E87"/>
    </row>
    <row r="88" spans="1:32" x14ac:dyDescent="0.25">
      <c r="A88" s="30">
        <v>23.225154419887861</v>
      </c>
      <c r="E88"/>
    </row>
    <row r="89" spans="1:32" x14ac:dyDescent="0.25">
      <c r="A89" s="30">
        <v>21.113776745352599</v>
      </c>
      <c r="E89"/>
    </row>
    <row r="90" spans="1:32" x14ac:dyDescent="0.25">
      <c r="A90" s="30">
        <v>19.194342495775089</v>
      </c>
      <c r="E90"/>
    </row>
    <row r="91" spans="1:32" x14ac:dyDescent="0.25">
      <c r="A91" s="30">
        <v>17.449402268886445</v>
      </c>
      <c r="E91"/>
    </row>
    <row r="92" spans="1:32" x14ac:dyDescent="0.25">
      <c r="A92" s="30">
        <v>15.863092971714948</v>
      </c>
      <c r="C92" s="1" t="s">
        <v>15</v>
      </c>
      <c r="E92"/>
    </row>
    <row r="93" spans="1:32" x14ac:dyDescent="0.25">
      <c r="A93" s="30">
        <v>14.420993610649951</v>
      </c>
      <c r="C93" s="7">
        <v>0.11167815779424731</v>
      </c>
      <c r="D93"/>
      <c r="E93"/>
      <c r="AC93" s="31" t="s">
        <v>8</v>
      </c>
    </row>
    <row r="94" spans="1:32" x14ac:dyDescent="0.25">
      <c r="A94" s="30">
        <v>13.109994191499954</v>
      </c>
      <c r="E94"/>
      <c r="AA94" s="27" t="s">
        <v>8</v>
      </c>
      <c r="AC94" s="27" t="s">
        <v>8</v>
      </c>
      <c r="AD94" s="31" t="s">
        <v>7</v>
      </c>
    </row>
    <row r="95" spans="1:32" x14ac:dyDescent="0.25">
      <c r="A95" s="30">
        <v>11.918176537727231</v>
      </c>
      <c r="C95" s="1" t="s">
        <v>11</v>
      </c>
      <c r="D95" s="1" t="s">
        <v>12</v>
      </c>
      <c r="E95"/>
      <c r="AA95" s="27" t="s">
        <v>8</v>
      </c>
      <c r="AB95" s="27" t="s">
        <v>7</v>
      </c>
      <c r="AC95" s="27" t="s">
        <v>8</v>
      </c>
      <c r="AD95" s="27" t="s">
        <v>7</v>
      </c>
      <c r="AE95" s="31"/>
    </row>
    <row r="96" spans="1:32" x14ac:dyDescent="0.25">
      <c r="A96" s="30">
        <v>10.834705943388391</v>
      </c>
      <c r="C96"/>
      <c r="D96"/>
      <c r="E96"/>
      <c r="AA96" s="27" t="s">
        <v>8</v>
      </c>
      <c r="AB96" s="27" t="s">
        <v>7</v>
      </c>
      <c r="AC96" s="27" t="s">
        <v>8</v>
      </c>
      <c r="AD96" s="27" t="s">
        <v>7</v>
      </c>
      <c r="AF96" s="31"/>
    </row>
    <row r="97" spans="1:40" x14ac:dyDescent="0.25">
      <c r="A97" s="30">
        <v>9.849732675807628</v>
      </c>
      <c r="E97"/>
      <c r="AA97" s="27" t="s">
        <v>8</v>
      </c>
      <c r="AB97" s="27" t="s">
        <v>7</v>
      </c>
      <c r="AC97" s="27" t="s">
        <v>8</v>
      </c>
      <c r="AD97" s="27" t="s">
        <v>7</v>
      </c>
      <c r="AG97" s="31"/>
    </row>
    <row r="98" spans="1:40" x14ac:dyDescent="0.25">
      <c r="A98" s="30">
        <v>8.9543024325523888</v>
      </c>
      <c r="C98" s="1" t="s">
        <v>13</v>
      </c>
      <c r="E98"/>
      <c r="AA98" s="27" t="s">
        <v>8</v>
      </c>
      <c r="AB98" s="27" t="s">
        <v>7</v>
      </c>
      <c r="AD98" s="27" t="s">
        <v>7</v>
      </c>
      <c r="AH98" s="31"/>
    </row>
    <row r="99" spans="1:40" x14ac:dyDescent="0.25">
      <c r="A99" s="30">
        <v>8.140274938683989</v>
      </c>
      <c r="C99" s="1">
        <f>C88</f>
        <v>0</v>
      </c>
      <c r="E99"/>
      <c r="G99" s="27" t="s">
        <v>8</v>
      </c>
      <c r="Y99" s="27" t="s">
        <v>8</v>
      </c>
      <c r="AA99" s="27" t="s">
        <v>8</v>
      </c>
      <c r="AD99" s="33" t="s">
        <v>7</v>
      </c>
      <c r="AI99" s="31"/>
    </row>
    <row r="100" spans="1:40" x14ac:dyDescent="0.25">
      <c r="A100" s="30">
        <v>7.4002499442581717</v>
      </c>
      <c r="C100"/>
      <c r="D100"/>
      <c r="E100"/>
      <c r="G100" s="27" t="s">
        <v>8</v>
      </c>
      <c r="H100" s="27" t="s">
        <v>7</v>
      </c>
      <c r="Y100" s="27" t="s">
        <v>8</v>
      </c>
      <c r="Z100" s="27" t="s">
        <v>7</v>
      </c>
      <c r="AA100" s="27" t="s">
        <v>8</v>
      </c>
      <c r="AD100" s="27" t="s">
        <v>7</v>
      </c>
      <c r="AG100" s="32" t="s">
        <v>8</v>
      </c>
      <c r="AJ100" s="31"/>
    </row>
    <row r="101" spans="1:40" x14ac:dyDescent="0.25">
      <c r="A101" s="30">
        <v>6.72749994932561</v>
      </c>
      <c r="C101" s="1" t="s">
        <v>14</v>
      </c>
      <c r="E101"/>
      <c r="G101" s="27" t="s">
        <v>8</v>
      </c>
      <c r="H101" s="27" t="s">
        <v>7</v>
      </c>
      <c r="Y101" s="27" t="s">
        <v>8</v>
      </c>
      <c r="Z101" s="27" t="s">
        <v>7</v>
      </c>
      <c r="AA101" s="27" t="s">
        <v>8</v>
      </c>
      <c r="AD101" s="27" t="s">
        <v>7</v>
      </c>
      <c r="AE101" s="27" t="s">
        <v>8</v>
      </c>
      <c r="AG101" s="27" t="s">
        <v>8</v>
      </c>
      <c r="AH101" s="27" t="s">
        <v>7</v>
      </c>
      <c r="AK101" s="31"/>
    </row>
    <row r="102" spans="1:4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G102" s="27" t="s">
        <v>8</v>
      </c>
      <c r="H102" s="27" t="s">
        <v>7</v>
      </c>
      <c r="Y102" s="27" t="s">
        <v>8</v>
      </c>
      <c r="Z102" s="27" t="s">
        <v>7</v>
      </c>
      <c r="AA102" s="27" t="s">
        <v>8</v>
      </c>
      <c r="AD102" s="27" t="s">
        <v>7</v>
      </c>
      <c r="AE102" s="27" t="s">
        <v>8</v>
      </c>
      <c r="AF102" s="27" t="s">
        <v>7</v>
      </c>
      <c r="AG102" s="27" t="s">
        <v>8</v>
      </c>
      <c r="AH102" s="27" t="s">
        <v>7</v>
      </c>
      <c r="AI102" s="27" t="s">
        <v>8</v>
      </c>
    </row>
    <row r="103" spans="1:40" x14ac:dyDescent="0.25">
      <c r="A103" s="30">
        <v>5.5599173134922388</v>
      </c>
      <c r="E103"/>
      <c r="G103" s="27" t="s">
        <v>8</v>
      </c>
      <c r="H103" s="27" t="s">
        <v>7</v>
      </c>
      <c r="W103" s="27" t="s">
        <v>8</v>
      </c>
      <c r="Y103" s="27" t="s">
        <v>8</v>
      </c>
      <c r="Z103" s="27" t="s">
        <v>7</v>
      </c>
      <c r="AA103" s="27" t="s">
        <v>8</v>
      </c>
      <c r="AD103" s="31" t="s">
        <v>7</v>
      </c>
      <c r="AE103" s="27" t="s">
        <v>8</v>
      </c>
      <c r="AF103" s="27" t="s">
        <v>7</v>
      </c>
      <c r="AG103" s="27" t="s">
        <v>8</v>
      </c>
      <c r="AH103" s="27" t="s">
        <v>7</v>
      </c>
      <c r="AI103" s="27" t="s">
        <v>8</v>
      </c>
      <c r="AJ103" s="27" t="s">
        <v>7</v>
      </c>
    </row>
    <row r="104" spans="1:40" x14ac:dyDescent="0.25">
      <c r="A104" s="30">
        <v>5.0544702849929442</v>
      </c>
      <c r="E104"/>
      <c r="G104" s="27" t="s">
        <v>8</v>
      </c>
      <c r="H104" s="27" t="s">
        <v>7</v>
      </c>
      <c r="O104" s="27" t="s">
        <v>8</v>
      </c>
      <c r="W104" s="27" t="s">
        <v>8</v>
      </c>
      <c r="X104" s="27" t="s">
        <v>7</v>
      </c>
      <c r="Y104" s="27" t="s">
        <v>8</v>
      </c>
      <c r="Z104" s="27" t="s">
        <v>7</v>
      </c>
      <c r="AA104" s="27" t="s">
        <v>8</v>
      </c>
      <c r="AC104" s="31"/>
      <c r="AD104" s="27" t="s">
        <v>7</v>
      </c>
      <c r="AE104" s="27" t="s">
        <v>8</v>
      </c>
      <c r="AF104" s="27" t="s">
        <v>7</v>
      </c>
      <c r="AG104" s="27" t="s">
        <v>8</v>
      </c>
      <c r="AH104" s="27" t="s">
        <v>7</v>
      </c>
      <c r="AI104" s="27" t="s">
        <v>8</v>
      </c>
      <c r="AJ104" s="27" t="s">
        <v>7</v>
      </c>
      <c r="AK104" s="27" t="s">
        <v>8</v>
      </c>
    </row>
    <row r="105" spans="1:40" x14ac:dyDescent="0.25">
      <c r="A105" s="30">
        <v>4.594972986357222</v>
      </c>
      <c r="E105"/>
      <c r="G105" s="27" t="s">
        <v>8</v>
      </c>
      <c r="H105" s="27" t="s">
        <v>7</v>
      </c>
      <c r="I105" s="27" t="s">
        <v>8</v>
      </c>
      <c r="O105" s="27" t="s">
        <v>8</v>
      </c>
      <c r="P105" s="27" t="s">
        <v>7</v>
      </c>
      <c r="W105" s="27" t="s">
        <v>8</v>
      </c>
      <c r="X105" s="27" t="s">
        <v>7</v>
      </c>
      <c r="Y105" s="27" t="s">
        <v>8</v>
      </c>
      <c r="Z105" s="27" t="s">
        <v>7</v>
      </c>
      <c r="AB105" s="31"/>
      <c r="AD105" s="27" t="s">
        <v>7</v>
      </c>
      <c r="AF105" s="27" t="s">
        <v>7</v>
      </c>
      <c r="AG105" s="27" t="s">
        <v>8</v>
      </c>
      <c r="AH105" s="27" t="s">
        <v>7</v>
      </c>
      <c r="AI105" s="27" t="s">
        <v>8</v>
      </c>
      <c r="AJ105" s="27" t="s">
        <v>7</v>
      </c>
      <c r="AK105" s="27" t="s">
        <v>8</v>
      </c>
      <c r="AL105" s="27" t="s">
        <v>7</v>
      </c>
    </row>
    <row r="106" spans="1:40" x14ac:dyDescent="0.25">
      <c r="A106" s="30">
        <v>4.1772481694156562</v>
      </c>
      <c r="E106" t="s">
        <v>8</v>
      </c>
      <c r="G106" s="27" t="s">
        <v>8</v>
      </c>
      <c r="H106" s="27" t="s">
        <v>7</v>
      </c>
      <c r="I106" s="27" t="s">
        <v>8</v>
      </c>
      <c r="J106" s="27" t="s">
        <v>7</v>
      </c>
      <c r="K106" s="27" t="s">
        <v>8</v>
      </c>
      <c r="O106" s="27" t="s">
        <v>8</v>
      </c>
      <c r="P106" s="27" t="s">
        <v>7</v>
      </c>
      <c r="W106" s="27" t="s">
        <v>8</v>
      </c>
      <c r="X106" s="27" t="s">
        <v>7</v>
      </c>
      <c r="Y106" s="27" t="s">
        <v>8</v>
      </c>
      <c r="AA106" s="31"/>
      <c r="AF106" s="27" t="s">
        <v>7</v>
      </c>
      <c r="AG106" s="27" t="s">
        <v>8</v>
      </c>
      <c r="AH106" s="27" t="s">
        <v>7</v>
      </c>
      <c r="AI106" s="18" t="s">
        <v>8</v>
      </c>
      <c r="AJ106" s="27" t="s">
        <v>7</v>
      </c>
      <c r="AK106" s="31" t="s">
        <v>8</v>
      </c>
      <c r="AL106" s="27" t="s">
        <v>7</v>
      </c>
    </row>
    <row r="107" spans="1:40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H107" s="27" t="s">
        <v>7</v>
      </c>
      <c r="I107" s="27" t="s">
        <v>8</v>
      </c>
      <c r="J107" s="27" t="s">
        <v>7</v>
      </c>
      <c r="K107" s="27" t="s">
        <v>8</v>
      </c>
      <c r="L107" s="27" t="s">
        <v>7</v>
      </c>
      <c r="O107" s="27" t="s">
        <v>8</v>
      </c>
      <c r="P107" s="27" t="s">
        <v>7</v>
      </c>
      <c r="Q107" s="34" t="s">
        <v>8</v>
      </c>
      <c r="S107" s="34" t="s">
        <v>8</v>
      </c>
      <c r="U107" s="34" t="s">
        <v>8</v>
      </c>
      <c r="W107" s="27" t="s">
        <v>8</v>
      </c>
      <c r="X107" s="27" t="s">
        <v>7</v>
      </c>
      <c r="Y107" s="27" t="s">
        <v>8</v>
      </c>
      <c r="Z107" s="31"/>
      <c r="AF107" s="27" t="s">
        <v>7</v>
      </c>
      <c r="AH107" s="27" t="s">
        <v>7</v>
      </c>
      <c r="AI107" s="27" t="s">
        <v>8</v>
      </c>
      <c r="AJ107" s="31" t="s">
        <v>7</v>
      </c>
      <c r="AL107" s="27" t="s">
        <v>7</v>
      </c>
      <c r="AM107" s="27" t="s">
        <v>8</v>
      </c>
    </row>
    <row r="108" spans="1:40" x14ac:dyDescent="0.25">
      <c r="A108" s="30">
        <v>3.4522712143931042</v>
      </c>
      <c r="E108" t="s">
        <v>8</v>
      </c>
      <c r="F108" s="27" t="s">
        <v>7</v>
      </c>
      <c r="G108" s="27" t="s">
        <v>8</v>
      </c>
      <c r="H108" s="27" t="s">
        <v>7</v>
      </c>
      <c r="J108" s="27" t="s">
        <v>7</v>
      </c>
      <c r="K108" s="27" t="s">
        <v>8</v>
      </c>
      <c r="L108" s="27" t="s">
        <v>7</v>
      </c>
      <c r="M108" s="27" t="s">
        <v>8</v>
      </c>
      <c r="O108" s="27" t="s">
        <v>8</v>
      </c>
      <c r="P108" s="27" t="s">
        <v>7</v>
      </c>
      <c r="Q108" s="27" t="s">
        <v>8</v>
      </c>
      <c r="R108" s="27" t="s">
        <v>7</v>
      </c>
      <c r="S108" s="27" t="s">
        <v>8</v>
      </c>
      <c r="T108" s="27" t="s">
        <v>7</v>
      </c>
      <c r="U108" s="27" t="s">
        <v>8</v>
      </c>
      <c r="V108" s="27" t="s">
        <v>7</v>
      </c>
      <c r="W108" s="27" t="s">
        <v>8</v>
      </c>
      <c r="X108" s="27" t="s">
        <v>7</v>
      </c>
      <c r="Y108" s="31"/>
      <c r="AH108" s="33" t="s">
        <v>7</v>
      </c>
      <c r="AI108" s="31" t="s">
        <v>8</v>
      </c>
      <c r="AL108" s="27" t="s">
        <v>7</v>
      </c>
      <c r="AM108" s="27" t="s">
        <v>8</v>
      </c>
      <c r="AN108" s="27" t="s">
        <v>7</v>
      </c>
    </row>
    <row r="109" spans="1:40" x14ac:dyDescent="0.25">
      <c r="A109" s="30">
        <v>3.1384283767210035</v>
      </c>
      <c r="E109" t="s">
        <v>8</v>
      </c>
      <c r="F109" s="27" t="s">
        <v>7</v>
      </c>
      <c r="J109" s="27" t="s">
        <v>7</v>
      </c>
      <c r="L109" s="27" t="s">
        <v>7</v>
      </c>
      <c r="M109" s="27" t="s">
        <v>8</v>
      </c>
      <c r="N109" s="27" t="s">
        <v>7</v>
      </c>
      <c r="O109" s="27" t="s">
        <v>8</v>
      </c>
      <c r="P109" s="27" t="s">
        <v>7</v>
      </c>
      <c r="Q109" s="27" t="s">
        <v>8</v>
      </c>
      <c r="R109" s="27" t="s">
        <v>7</v>
      </c>
      <c r="S109" s="27" t="s">
        <v>8</v>
      </c>
      <c r="T109" s="27" t="s">
        <v>7</v>
      </c>
      <c r="U109" s="27" t="s">
        <v>8</v>
      </c>
      <c r="V109" s="27" t="s">
        <v>7</v>
      </c>
      <c r="W109" s="27" t="s">
        <v>8</v>
      </c>
      <c r="X109" s="31"/>
      <c r="AH109" s="31" t="s">
        <v>7</v>
      </c>
      <c r="AL109" s="27" t="s">
        <v>7</v>
      </c>
      <c r="AM109" s="27" t="s">
        <v>8</v>
      </c>
      <c r="AN109" s="27" t="s">
        <v>7</v>
      </c>
    </row>
    <row r="110" spans="1:40" x14ac:dyDescent="0.25">
      <c r="A110" s="30">
        <v>2.8531167061100029</v>
      </c>
      <c r="E110" t="s">
        <v>8</v>
      </c>
      <c r="L110" s="27" t="s">
        <v>7</v>
      </c>
      <c r="M110" s="27" t="s">
        <v>8</v>
      </c>
      <c r="N110" s="27" t="s">
        <v>7</v>
      </c>
      <c r="O110" s="27" t="s">
        <v>8</v>
      </c>
      <c r="P110" s="27" t="s">
        <v>7</v>
      </c>
      <c r="Q110" s="27" t="s">
        <v>8</v>
      </c>
      <c r="R110" s="27" t="s">
        <v>7</v>
      </c>
      <c r="S110" s="27" t="s">
        <v>8</v>
      </c>
      <c r="T110" s="27" t="s">
        <v>7</v>
      </c>
      <c r="U110" s="27" t="s">
        <v>8</v>
      </c>
      <c r="V110" s="27" t="s">
        <v>7</v>
      </c>
      <c r="W110" s="31" t="s">
        <v>8</v>
      </c>
      <c r="AL110" s="27" t="s">
        <v>7</v>
      </c>
      <c r="AM110" s="27" t="s">
        <v>8</v>
      </c>
      <c r="AN110" s="27" t="s">
        <v>7</v>
      </c>
    </row>
    <row r="111" spans="1:40" x14ac:dyDescent="0.25">
      <c r="A111" s="30">
        <v>2.5937424601000023</v>
      </c>
      <c r="C111" s="1" t="str">
        <f>ADDRESS(C121-1,1,1,1)</f>
        <v>$A$112</v>
      </c>
      <c r="D111" s="1" t="str">
        <f>ADDRESS(C121-1,D121,1,1)</f>
        <v>$AN$112</v>
      </c>
      <c r="E111" t="s">
        <v>8</v>
      </c>
      <c r="L111" s="27" t="s">
        <v>7</v>
      </c>
      <c r="N111" s="27" t="s">
        <v>7</v>
      </c>
      <c r="O111" s="27" t="s">
        <v>8</v>
      </c>
      <c r="P111" s="27" t="s">
        <v>7</v>
      </c>
      <c r="Q111" s="27" t="s">
        <v>8</v>
      </c>
      <c r="R111" s="27" t="s">
        <v>7</v>
      </c>
      <c r="S111" s="27" t="s">
        <v>8</v>
      </c>
      <c r="T111" s="27" t="s">
        <v>7</v>
      </c>
      <c r="U111" s="27" t="s">
        <v>8</v>
      </c>
      <c r="V111" s="31" t="s">
        <v>7</v>
      </c>
      <c r="AL111" s="27" t="s">
        <v>7</v>
      </c>
      <c r="AN111" s="27" t="s">
        <v>7</v>
      </c>
    </row>
    <row r="112" spans="1:40" x14ac:dyDescent="0.25">
      <c r="A112" s="30">
        <v>2.3579476910000019</v>
      </c>
      <c r="C112" s="1" t="str">
        <f>ADDRESS(C121,1,1,1)</f>
        <v>$A$113</v>
      </c>
      <c r="D112" s="1" t="str">
        <f>ADDRESS(C121,D121-1,1,1)</f>
        <v>$AM$113</v>
      </c>
      <c r="E112" t="s">
        <v>8</v>
      </c>
      <c r="N112" s="27" t="s">
        <v>7</v>
      </c>
      <c r="O112" s="27" t="s">
        <v>8</v>
      </c>
      <c r="P112" s="27" t="s">
        <v>7</v>
      </c>
      <c r="Q112" s="27" t="s">
        <v>8</v>
      </c>
      <c r="R112" s="27" t="s">
        <v>7</v>
      </c>
      <c r="T112" s="27" t="s">
        <v>7</v>
      </c>
      <c r="U112" s="31" t="s">
        <v>8</v>
      </c>
      <c r="AN112" s="27" t="s">
        <v>7</v>
      </c>
    </row>
    <row r="113" spans="1:40" x14ac:dyDescent="0.25">
      <c r="A113" s="30">
        <v>2.1435888100000016</v>
      </c>
      <c r="C113" s="1" t="str">
        <f>ADDRESS(C121+1,1,1,1)</f>
        <v>$A$114</v>
      </c>
      <c r="D113" s="1" t="str">
        <f>ADDRESS(C121-1,D121+1,1,1)</f>
        <v>$AO$112</v>
      </c>
      <c r="E113" s="1" t="s">
        <v>8</v>
      </c>
      <c r="N113" s="27" t="s">
        <v>7</v>
      </c>
      <c r="P113" s="27" t="s">
        <v>7</v>
      </c>
      <c r="Q113" s="27" t="s">
        <v>8</v>
      </c>
      <c r="T113" s="31" t="s">
        <v>7</v>
      </c>
      <c r="AN113" s="27" t="s">
        <v>7</v>
      </c>
    </row>
    <row r="114" spans="1:40" x14ac:dyDescent="0.25">
      <c r="A114" s="30">
        <v>1.9487171000000014</v>
      </c>
      <c r="C114" s="1" t="str">
        <f>ADDRESS(C121,D121,1,1)</f>
        <v>$AN$113</v>
      </c>
      <c r="D114" s="1" t="str">
        <f>ADDRESS(C121+1,D121+1,1,1)</f>
        <v>$AO$114</v>
      </c>
      <c r="E114" s="1" t="s">
        <v>8</v>
      </c>
      <c r="P114" s="27" t="s">
        <v>7</v>
      </c>
      <c r="Q114" s="27" t="s">
        <v>8</v>
      </c>
      <c r="S114" s="31"/>
    </row>
    <row r="115" spans="1:40" x14ac:dyDescent="0.25">
      <c r="A115" s="30">
        <v>1.7715610000000011</v>
      </c>
      <c r="C115" s="1" t="str">
        <f>ADDRESS(C121+1,D121,1,1)</f>
        <v>$AN$114</v>
      </c>
      <c r="E115" s="1" t="s">
        <v>8</v>
      </c>
      <c r="P115" s="27" t="s">
        <v>7</v>
      </c>
      <c r="Q115" s="27" t="s">
        <v>8</v>
      </c>
      <c r="R115" s="31"/>
    </row>
    <row r="116" spans="1:40" x14ac:dyDescent="0.25">
      <c r="A116" s="30">
        <v>1.6105100000000008</v>
      </c>
      <c r="C116" s="1">
        <f>C117-1</f>
        <v>112</v>
      </c>
      <c r="E116" s="1" t="s">
        <v>8</v>
      </c>
      <c r="P116" s="27" t="s">
        <v>7</v>
      </c>
      <c r="Q116" s="31" t="s">
        <v>8</v>
      </c>
    </row>
    <row r="117" spans="1:40" x14ac:dyDescent="0.25">
      <c r="A117" s="30">
        <v>1.4641000000000006</v>
      </c>
      <c r="C117" s="1">
        <f>C121</f>
        <v>113</v>
      </c>
      <c r="D117" s="1">
        <f>D121</f>
        <v>40</v>
      </c>
      <c r="E117" s="1" t="s">
        <v>8</v>
      </c>
      <c r="P117" s="31" t="s">
        <v>7</v>
      </c>
    </row>
    <row r="118" spans="1:40" x14ac:dyDescent="0.25">
      <c r="A118" s="30">
        <v>1.3310000000000004</v>
      </c>
      <c r="C118" s="1">
        <f>C117+1</f>
        <v>114</v>
      </c>
      <c r="D118" s="1">
        <f>D117+1</f>
        <v>41</v>
      </c>
      <c r="E118" s="1" t="s">
        <v>8</v>
      </c>
    </row>
    <row r="119" spans="1:40" x14ac:dyDescent="0.25">
      <c r="A119" s="30">
        <v>1.2100000000000002</v>
      </c>
      <c r="E119" s="1" t="s">
        <v>8</v>
      </c>
    </row>
    <row r="120" spans="1:40" x14ac:dyDescent="0.25">
      <c r="A120" s="30">
        <v>1.1000000000000001</v>
      </c>
      <c r="C120" s="1" t="s">
        <v>9</v>
      </c>
      <c r="E120" s="1" t="s">
        <v>8</v>
      </c>
    </row>
    <row r="121" spans="1:40" x14ac:dyDescent="0.25">
      <c r="A121" s="30">
        <v>1</v>
      </c>
      <c r="C121" s="18">
        <v>113</v>
      </c>
      <c r="D121" s="19">
        <v>40</v>
      </c>
      <c r="E121" s="18" t="s">
        <v>8</v>
      </c>
    </row>
    <row r="122" spans="1:40" x14ac:dyDescent="0.25">
      <c r="A122" s="30">
        <v>0.90909090909090895</v>
      </c>
      <c r="C122" s="1" t="str">
        <f>INDEX(1:1048576,C117,D117)</f>
        <v>O</v>
      </c>
    </row>
    <row r="123" spans="1:40" x14ac:dyDescent="0.25">
      <c r="A123" s="30">
        <v>0.82644628099173523</v>
      </c>
      <c r="C123" s="1" t="str">
        <f>"R"&amp;C121</f>
        <v>R113</v>
      </c>
      <c r="D123" s="1" t="str">
        <f>"C"&amp;D121</f>
        <v>C40</v>
      </c>
    </row>
    <row r="124" spans="1:40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40" x14ac:dyDescent="0.25">
      <c r="A125" s="30">
        <v>0.68301345536507019</v>
      </c>
    </row>
    <row r="126" spans="1:40" x14ac:dyDescent="0.25">
      <c r="A126" s="30">
        <v>0.6209213230591546</v>
      </c>
      <c r="C126" s="1" t="s">
        <v>10</v>
      </c>
    </row>
    <row r="127" spans="1:40" x14ac:dyDescent="0.25">
      <c r="A127" s="30">
        <v>0.56447393005377677</v>
      </c>
      <c r="C127" s="30">
        <v>2.1435888100000016</v>
      </c>
      <c r="D127"/>
    </row>
    <row r="128" spans="1:40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490" operator="equal">
      <formula>$U$1</formula>
    </cfRule>
    <cfRule type="cellIs" dxfId="30" priority="1491" operator="equal">
      <formula>$S$1</formula>
    </cfRule>
  </conditionalFormatting>
  <conditionalFormatting sqref="D136">
    <cfRule type="cellIs" dxfId="29" priority="1488" operator="equal">
      <formula>$S$1</formula>
    </cfRule>
    <cfRule type="cellIs" dxfId="28" priority="1489" operator="equal">
      <formula>$U$1</formula>
    </cfRule>
  </conditionalFormatting>
  <conditionalFormatting sqref="C102">
    <cfRule type="cellIs" dxfId="27" priority="1486" operator="equal">
      <formula>$U$1</formula>
    </cfRule>
    <cfRule type="cellIs" dxfId="26" priority="1487" operator="equal">
      <formula>$S$1</formula>
    </cfRule>
  </conditionalFormatting>
  <conditionalFormatting sqref="D102">
    <cfRule type="cellIs" dxfId="25" priority="1484" operator="equal">
      <formula>$S$1</formula>
    </cfRule>
    <cfRule type="cellIs" dxfId="24" priority="1485" operator="equal">
      <formula>$U$1</formula>
    </cfRule>
  </conditionalFormatting>
  <conditionalFormatting sqref="C77">
    <cfRule type="cellIs" dxfId="23" priority="1482" operator="equal">
      <formula>$U$1</formula>
    </cfRule>
    <cfRule type="cellIs" dxfId="22" priority="1483" operator="equal">
      <formula>$S$1</formula>
    </cfRule>
  </conditionalFormatting>
  <conditionalFormatting sqref="D77">
    <cfRule type="cellIs" dxfId="21" priority="1480" operator="equal">
      <formula>$S$1</formula>
    </cfRule>
    <cfRule type="cellIs" dxfId="20" priority="1481" operator="equal">
      <formula>$U$1</formula>
    </cfRule>
  </conditionalFormatting>
  <conditionalFormatting sqref="C52">
    <cfRule type="cellIs" dxfId="19" priority="1478" operator="equal">
      <formula>$U$1</formula>
    </cfRule>
    <cfRule type="cellIs" dxfId="18" priority="1479" operator="equal">
      <formula>$S$1</formula>
    </cfRule>
  </conditionalFormatting>
  <conditionalFormatting sqref="D52">
    <cfRule type="cellIs" dxfId="17" priority="1476" operator="equal">
      <formula>$S$1</formula>
    </cfRule>
    <cfRule type="cellIs" dxfId="16" priority="1477" operator="equal">
      <formula>$U$1</formula>
    </cfRule>
  </conditionalFormatting>
  <conditionalFormatting sqref="C26">
    <cfRule type="cellIs" dxfId="15" priority="1474" operator="equal">
      <formula>$U$1</formula>
    </cfRule>
    <cfRule type="cellIs" dxfId="14" priority="1475" operator="equal">
      <formula>$S$1</formula>
    </cfRule>
  </conditionalFormatting>
  <conditionalFormatting sqref="D26">
    <cfRule type="cellIs" dxfId="13" priority="1472" operator="equal">
      <formula>$S$1</formula>
    </cfRule>
    <cfRule type="cellIs" dxfId="12" priority="147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L8" sqref="L8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3.2250999437137038</v>
      </c>
      <c r="F3" s="30">
        <v>3.3863549408993889</v>
      </c>
      <c r="G3" s="30">
        <v>5.7918161359718709</v>
      </c>
      <c r="H3" s="25">
        <f>IF(G3="","",(3*(G3-F3))+E3)</f>
        <v>10.441483528931151</v>
      </c>
      <c r="I3" s="7"/>
      <c r="J3" s="7">
        <f>(E3+G3)/2</f>
        <v>4.5084580398427878</v>
      </c>
      <c r="K3" s="7">
        <f>H3/2</f>
        <v>5.2207417644655756</v>
      </c>
      <c r="M3" s="26">
        <f>IF(OR(J3="",H3=""),"",H3/J3)</f>
        <v>2.3159766458190774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2022-01-28T01:16:19Z</dcterms:modified>
</cp:coreProperties>
</file>