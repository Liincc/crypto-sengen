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F03D883-26BD-4690-9B55-1B04B9AA2A01}" xr6:coauthVersionLast="47" xr6:coauthVersionMax="47" xr10:uidLastSave="{00000000-0000-0000-0000-000000000000}"/>
  <bookViews>
    <workbookView xWindow="9315" yWindow="5820" windowWidth="21015" windowHeight="14595" activeTab="7" xr2:uid="{00000000-000D-0000-FFFF-FFFF00000000}"/>
  </bookViews>
  <sheets>
    <sheet name="1%" sheetId="2" r:id="rId1"/>
    <sheet name="2%" sheetId="3" r:id="rId2"/>
    <sheet name="5%" sheetId="4" r:id="rId3"/>
    <sheet name="10%" sheetId="5" r:id="rId4"/>
    <sheet name="INVEST" sheetId="6" r:id="rId5"/>
    <sheet name="TEMP" sheetId="7" r:id="rId6"/>
    <sheet name="Chart1" sheetId="8" r:id="rId7"/>
    <sheet name="table (1)" sheetId="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3"/>
  <c r="C133" i="3" s="1"/>
  <c r="C136" i="3" s="1"/>
  <c r="C116" i="4"/>
  <c r="C118" i="4"/>
  <c r="R765" i="1"/>
  <c r="C136" i="4"/>
  <c r="D136" i="4"/>
  <c r="C116" i="3"/>
  <c r="C118" i="3"/>
  <c r="D136" i="5" l="1"/>
  <c r="C138" i="5" s="1"/>
  <c r="D136" i="3"/>
  <c r="C138" i="3" s="1"/>
  <c r="C138" i="4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R754" i="1" l="1"/>
  <c r="S755" i="1"/>
  <c r="T755" i="1" s="1"/>
  <c r="S754" i="1" l="1"/>
  <c r="T754" i="1" s="1"/>
  <c r="R753" i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S747" i="1" l="1"/>
  <c r="T747" i="1" s="1"/>
  <c r="R746" i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S721" i="1" l="1"/>
  <c r="T721" i="1" s="1"/>
  <c r="R720" i="1"/>
  <c r="R719" i="1" l="1"/>
  <c r="S720" i="1"/>
  <c r="T720" i="1" s="1"/>
  <c r="S719" i="1" l="1"/>
  <c r="T719" i="1" s="1"/>
  <c r="R718" i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S713" i="1" l="1"/>
  <c r="T713" i="1" s="1"/>
  <c r="R712" i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S677" i="1" l="1"/>
  <c r="T677" i="1" s="1"/>
  <c r="R676" i="1"/>
  <c r="R675" i="1" l="1"/>
  <c r="S676" i="1"/>
  <c r="T676" i="1" s="1"/>
  <c r="S675" i="1" l="1"/>
  <c r="T675" i="1" s="1"/>
  <c r="R674" i="1"/>
  <c r="R673" i="1" l="1"/>
  <c r="S674" i="1"/>
  <c r="T674" i="1" s="1"/>
  <c r="S673" i="1" l="1"/>
  <c r="T673" i="1" s="1"/>
  <c r="R672" i="1"/>
  <c r="S672" i="1" l="1"/>
  <c r="T672" i="1" s="1"/>
  <c r="R671" i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S637" i="1" l="1"/>
  <c r="T637" i="1" s="1"/>
  <c r="R636" i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S632" i="1" l="1"/>
  <c r="T632" i="1" s="1"/>
  <c r="R631" i="1"/>
  <c r="R630" i="1" l="1"/>
  <c r="S631" i="1"/>
  <c r="T631" i="1" s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S609" i="1" l="1"/>
  <c r="T609" i="1" s="1"/>
  <c r="R608" i="1"/>
  <c r="S608" i="1" l="1"/>
  <c r="T608" i="1" s="1"/>
  <c r="R607" i="1"/>
  <c r="R606" i="1" l="1"/>
  <c r="S607" i="1"/>
  <c r="T607" i="1" s="1"/>
  <c r="S606" i="1" l="1"/>
  <c r="T606" i="1" s="1"/>
  <c r="R605" i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R487" i="1" l="1"/>
  <c r="S488" i="1"/>
  <c r="T488" i="1" s="1"/>
  <c r="S487" i="1" l="1"/>
  <c r="T487" i="1" s="1"/>
  <c r="R486" i="1"/>
  <c r="R485" i="1" l="1"/>
  <c r="S486" i="1"/>
  <c r="T486" i="1" s="1"/>
  <c r="S485" i="1" l="1"/>
  <c r="T485" i="1" s="1"/>
  <c r="R484" i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S440" i="1" l="1"/>
  <c r="T440" i="1" s="1"/>
  <c r="R439" i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R413" i="1" l="1"/>
  <c r="S414" i="1"/>
  <c r="T414" i="1" s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R372" i="1" l="1"/>
  <c r="S373" i="1"/>
  <c r="T373" i="1" s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S222" i="1" l="1"/>
  <c r="T222" i="1" s="1"/>
  <c r="R221" i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R204" i="1" l="1"/>
  <c r="S205" i="1"/>
  <c r="T205" i="1" s="1"/>
  <c r="S204" i="1" l="1"/>
  <c r="T204" i="1" s="1"/>
  <c r="R203" i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S199" i="1" l="1"/>
  <c r="T199" i="1" s="1"/>
  <c r="R198" i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S112" i="1" l="1"/>
  <c r="T112" i="1" s="1"/>
  <c r="R111" i="1"/>
  <c r="R110" i="1" l="1"/>
  <c r="S111" i="1"/>
  <c r="T111" i="1" s="1"/>
  <c r="S110" i="1" l="1"/>
  <c r="T110" i="1" s="1"/>
  <c r="R109" i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S94" i="1" l="1"/>
  <c r="T94" i="1" s="1"/>
  <c r="R93" i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<sst xmlns="http://schemas.openxmlformats.org/spreadsheetml/2006/main" count="4182" uniqueCount="34">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</sst>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3.3660000000000001</c:v>
                </c:pt>
                <c:pt idx="1">
                  <c:v>3.4340000000000002</c:v>
                </c:pt>
                <c:pt idx="2">
                  <c:v>3.5670000000000002</c:v>
                </c:pt>
                <c:pt idx="3">
                  <c:v>3.4390000000000001</c:v>
                </c:pt>
                <c:pt idx="4">
                  <c:v>3.4929999999999999</c:v>
                </c:pt>
                <c:pt idx="5">
                  <c:v>3.2719999999999998</c:v>
                </c:pt>
                <c:pt idx="6">
                  <c:v>3.7309999999999999</c:v>
                </c:pt>
                <c:pt idx="7">
                  <c:v>4.1379999999999999</c:v>
                </c:pt>
                <c:pt idx="8">
                  <c:v>4.3650000000000002</c:v>
                </c:pt>
                <c:pt idx="9">
                  <c:v>4.4770000000000003</c:v>
                </c:pt>
                <c:pt idx="10">
                  <c:v>4.8499999999999996</c:v>
                </c:pt>
                <c:pt idx="11">
                  <c:v>4.5069999999999997</c:v>
                </c:pt>
                <c:pt idx="12">
                  <c:v>4.5350000000000001</c:v>
                </c:pt>
                <c:pt idx="13">
                  <c:v>4.4710000000000001</c:v>
                </c:pt>
                <c:pt idx="14">
                  <c:v>4.4260000000000002</c:v>
                </c:pt>
                <c:pt idx="15">
                  <c:v>4.7880000000000003</c:v>
                </c:pt>
                <c:pt idx="16">
                  <c:v>4.3120000000000003</c:v>
                </c:pt>
                <c:pt idx="17">
                  <c:v>4.2329999999999997</c:v>
                </c:pt>
                <c:pt idx="18">
                  <c:v>4.4000000000000004</c:v>
                </c:pt>
                <c:pt idx="19">
                  <c:v>4.431</c:v>
                </c:pt>
                <c:pt idx="20">
                  <c:v>4.6589999999999998</c:v>
                </c:pt>
                <c:pt idx="21">
                  <c:v>4.9080000000000004</c:v>
                </c:pt>
                <c:pt idx="22">
                  <c:v>4.9980000000000002</c:v>
                </c:pt>
                <c:pt idx="23">
                  <c:v>5.1980000000000004</c:v>
                </c:pt>
                <c:pt idx="24">
                  <c:v>5.266</c:v>
                </c:pt>
                <c:pt idx="25">
                  <c:v>5.3659999999999997</c:v>
                </c:pt>
                <c:pt idx="26">
                  <c:v>5.2839999999999998</c:v>
                </c:pt>
                <c:pt idx="27">
                  <c:v>5.2030000000000003</c:v>
                </c:pt>
                <c:pt idx="28">
                  <c:v>5.1950000000000003</c:v>
                </c:pt>
                <c:pt idx="29">
                  <c:v>5.3</c:v>
                </c:pt>
                <c:pt idx="30">
                  <c:v>5.31</c:v>
                </c:pt>
                <c:pt idx="31">
                  <c:v>5.7919999999999998</c:v>
                </c:pt>
                <c:pt idx="32">
                  <c:v>6.117</c:v>
                </c:pt>
                <c:pt idx="33">
                  <c:v>5.5369999999999999</c:v>
                </c:pt>
                <c:pt idx="34">
                  <c:v>5.399</c:v>
                </c:pt>
                <c:pt idx="35">
                  <c:v>5.6719999999999997</c:v>
                </c:pt>
                <c:pt idx="36">
                  <c:v>5.2089999999999996</c:v>
                </c:pt>
                <c:pt idx="37">
                  <c:v>5.4509999999999996</c:v>
                </c:pt>
                <c:pt idx="38">
                  <c:v>5.0620000000000003</c:v>
                </c:pt>
                <c:pt idx="39">
                  <c:v>5.14</c:v>
                </c:pt>
                <c:pt idx="40">
                  <c:v>5.3310000000000004</c:v>
                </c:pt>
                <c:pt idx="41">
                  <c:v>5.165</c:v>
                </c:pt>
                <c:pt idx="42">
                  <c:v>5.29</c:v>
                </c:pt>
                <c:pt idx="43">
                  <c:v>5.1520000000000001</c:v>
                </c:pt>
                <c:pt idx="44">
                  <c:v>5.3330000000000002</c:v>
                </c:pt>
                <c:pt idx="45">
                  <c:v>5.149</c:v>
                </c:pt>
                <c:pt idx="46">
                  <c:v>5.7119999999999997</c:v>
                </c:pt>
                <c:pt idx="47">
                  <c:v>5.38</c:v>
                </c:pt>
                <c:pt idx="48">
                  <c:v>5.28</c:v>
                </c:pt>
                <c:pt idx="49">
                  <c:v>5.6059999999999999</c:v>
                </c:pt>
                <c:pt idx="50">
                  <c:v>6.0110000000000001</c:v>
                </c:pt>
                <c:pt idx="51">
                  <c:v>5.8170000000000002</c:v>
                </c:pt>
                <c:pt idx="52">
                  <c:v>6.0620000000000003</c:v>
                </c:pt>
                <c:pt idx="53">
                  <c:v>6.1260000000000003</c:v>
                </c:pt>
                <c:pt idx="54">
                  <c:v>6.3940000000000001</c:v>
                </c:pt>
                <c:pt idx="55">
                  <c:v>7.806</c:v>
                </c:pt>
                <c:pt idx="56">
                  <c:v>7.9859999999999998</c:v>
                </c:pt>
                <c:pt idx="57">
                  <c:v>7.7119999999999997</c:v>
                </c:pt>
                <c:pt idx="58">
                  <c:v>7.6840000000000002</c:v>
                </c:pt>
                <c:pt idx="59">
                  <c:v>7.9009999999999998</c:v>
                </c:pt>
                <c:pt idx="60">
                  <c:v>7.7190000000000003</c:v>
                </c:pt>
                <c:pt idx="61">
                  <c:v>7.3860000000000001</c:v>
                </c:pt>
                <c:pt idx="62">
                  <c:v>7.2380000000000004</c:v>
                </c:pt>
                <c:pt idx="63">
                  <c:v>8.1379999999999999</c:v>
                </c:pt>
                <c:pt idx="64">
                  <c:v>7.2489999999999997</c:v>
                </c:pt>
                <c:pt idx="65">
                  <c:v>7.4080000000000004</c:v>
                </c:pt>
                <c:pt idx="66">
                  <c:v>7.1680000000000001</c:v>
                </c:pt>
                <c:pt idx="67">
                  <c:v>7.54</c:v>
                </c:pt>
                <c:pt idx="68">
                  <c:v>7.8819999999999997</c:v>
                </c:pt>
                <c:pt idx="69">
                  <c:v>7.141</c:v>
                </c:pt>
                <c:pt idx="70">
                  <c:v>6.726</c:v>
                </c:pt>
                <c:pt idx="71">
                  <c:v>7.4740000000000002</c:v>
                </c:pt>
                <c:pt idx="72">
                  <c:v>7.6239999999999997</c:v>
                </c:pt>
                <c:pt idx="73">
                  <c:v>8.266</c:v>
                </c:pt>
                <c:pt idx="74">
                  <c:v>8.4149999999999991</c:v>
                </c:pt>
                <c:pt idx="75">
                  <c:v>8.7200000000000006</c:v>
                </c:pt>
                <c:pt idx="76">
                  <c:v>8.5530000000000008</c:v>
                </c:pt>
                <c:pt idx="77">
                  <c:v>8.44</c:v>
                </c:pt>
                <c:pt idx="78">
                  <c:v>8.4049999999999994</c:v>
                </c:pt>
                <c:pt idx="79">
                  <c:v>8.6129999999999995</c:v>
                </c:pt>
                <c:pt idx="80">
                  <c:v>8.6760000000000002</c:v>
                </c:pt>
                <c:pt idx="81">
                  <c:v>8.5609999999999999</c:v>
                </c:pt>
                <c:pt idx="82">
                  <c:v>8.4380000000000006</c:v>
                </c:pt>
                <c:pt idx="83">
                  <c:v>8.5449999999999999</c:v>
                </c:pt>
                <c:pt idx="84">
                  <c:v>8.8000000000000007</c:v>
                </c:pt>
                <c:pt idx="85">
                  <c:v>8.9250000000000007</c:v>
                </c:pt>
                <c:pt idx="86">
                  <c:v>8.4489999999999998</c:v>
                </c:pt>
                <c:pt idx="87">
                  <c:v>8.4469999999999992</c:v>
                </c:pt>
                <c:pt idx="88">
                  <c:v>8.49</c:v>
                </c:pt>
                <c:pt idx="89">
                  <c:v>8.1150000000000002</c:v>
                </c:pt>
                <c:pt idx="90">
                  <c:v>8.5180000000000007</c:v>
                </c:pt>
                <c:pt idx="91">
                  <c:v>8.3290000000000006</c:v>
                </c:pt>
                <c:pt idx="92">
                  <c:v>8.5530000000000008</c:v>
                </c:pt>
                <c:pt idx="93">
                  <c:v>9.1560000000000006</c:v>
                </c:pt>
                <c:pt idx="94">
                  <c:v>9.67</c:v>
                </c:pt>
                <c:pt idx="95">
                  <c:v>8.9730000000000008</c:v>
                </c:pt>
                <c:pt idx="96">
                  <c:v>9.5050000000000008</c:v>
                </c:pt>
                <c:pt idx="97">
                  <c:v>8.2010000000000005</c:v>
                </c:pt>
                <c:pt idx="98">
                  <c:v>9.1980000000000004</c:v>
                </c:pt>
                <c:pt idx="99">
                  <c:v>7.7569999999999997</c:v>
                </c:pt>
                <c:pt idx="100">
                  <c:v>7.0469999999999997</c:v>
                </c:pt>
                <c:pt idx="101">
                  <c:v>7.2380000000000004</c:v>
                </c:pt>
                <c:pt idx="102">
                  <c:v>7.3150000000000004</c:v>
                </c:pt>
                <c:pt idx="103">
                  <c:v>7.4009999999999998</c:v>
                </c:pt>
                <c:pt idx="104">
                  <c:v>7.44</c:v>
                </c:pt>
                <c:pt idx="105">
                  <c:v>7.1349999999999998</c:v>
                </c:pt>
                <c:pt idx="106">
                  <c:v>7.1120000000000001</c:v>
                </c:pt>
                <c:pt idx="107">
                  <c:v>7.2809999999999997</c:v>
                </c:pt>
                <c:pt idx="108">
                  <c:v>7.4530000000000003</c:v>
                </c:pt>
                <c:pt idx="109">
                  <c:v>7.9349999999999996</c:v>
                </c:pt>
                <c:pt idx="110">
                  <c:v>7.7110000000000003</c:v>
                </c:pt>
                <c:pt idx="111">
                  <c:v>7.4690000000000003</c:v>
                </c:pt>
                <c:pt idx="112">
                  <c:v>7.4539999999999997</c:v>
                </c:pt>
                <c:pt idx="113">
                  <c:v>7.58</c:v>
                </c:pt>
                <c:pt idx="114">
                  <c:v>7.4370000000000003</c:v>
                </c:pt>
                <c:pt idx="115">
                  <c:v>7.16</c:v>
                </c:pt>
                <c:pt idx="116">
                  <c:v>7.109</c:v>
                </c:pt>
                <c:pt idx="117">
                  <c:v>6.8819999999999997</c:v>
                </c:pt>
                <c:pt idx="118">
                  <c:v>6.5190000000000001</c:v>
                </c:pt>
                <c:pt idx="119">
                  <c:v>5.3440000000000003</c:v>
                </c:pt>
                <c:pt idx="120">
                  <c:v>5.0990000000000002</c:v>
                </c:pt>
                <c:pt idx="121">
                  <c:v>5.0229999999999997</c:v>
                </c:pt>
                <c:pt idx="122">
                  <c:v>5.2670000000000003</c:v>
                </c:pt>
                <c:pt idx="123">
                  <c:v>5.633</c:v>
                </c:pt>
                <c:pt idx="124">
                  <c:v>5.63</c:v>
                </c:pt>
                <c:pt idx="125">
                  <c:v>5.8520000000000003</c:v>
                </c:pt>
                <c:pt idx="126">
                  <c:v>6.3940000000000001</c:v>
                </c:pt>
                <c:pt idx="127">
                  <c:v>6.3659999999999997</c:v>
                </c:pt>
                <c:pt idx="128">
                  <c:v>5.9269999999999996</c:v>
                </c:pt>
                <c:pt idx="129">
                  <c:v>6.5789999999999997</c:v>
                </c:pt>
                <c:pt idx="130">
                  <c:v>7.2080000000000002</c:v>
                </c:pt>
                <c:pt idx="131">
                  <c:v>7.4050000000000002</c:v>
                </c:pt>
                <c:pt idx="132">
                  <c:v>6.976</c:v>
                </c:pt>
                <c:pt idx="133">
                  <c:v>7.3140000000000001</c:v>
                </c:pt>
                <c:pt idx="134">
                  <c:v>7.609</c:v>
                </c:pt>
                <c:pt idx="135">
                  <c:v>7.2140000000000004</c:v>
                </c:pt>
                <c:pt idx="136">
                  <c:v>7.0229999999999997</c:v>
                </c:pt>
                <c:pt idx="137">
                  <c:v>7.3</c:v>
                </c:pt>
                <c:pt idx="138">
                  <c:v>7.3419999999999996</c:v>
                </c:pt>
                <c:pt idx="139">
                  <c:v>7.16</c:v>
                </c:pt>
                <c:pt idx="140">
                  <c:v>7.524</c:v>
                </c:pt>
                <c:pt idx="141">
                  <c:v>7.65</c:v>
                </c:pt>
                <c:pt idx="142">
                  <c:v>7.3319999999999999</c:v>
                </c:pt>
                <c:pt idx="143">
                  <c:v>8.9580000000000002</c:v>
                </c:pt>
                <c:pt idx="144">
                  <c:v>8.9039999999999999</c:v>
                </c:pt>
                <c:pt idx="145">
                  <c:v>8.4580000000000002</c:v>
                </c:pt>
                <c:pt idx="146">
                  <c:v>8.64</c:v>
                </c:pt>
                <c:pt idx="147">
                  <c:v>8.2889999999999997</c:v>
                </c:pt>
                <c:pt idx="148">
                  <c:v>8.7110000000000003</c:v>
                </c:pt>
                <c:pt idx="149">
                  <c:v>7.4370000000000003</c:v>
                </c:pt>
                <c:pt idx="150">
                  <c:v>7.15</c:v>
                </c:pt>
                <c:pt idx="151">
                  <c:v>7.5979999999999999</c:v>
                </c:pt>
                <c:pt idx="152">
                  <c:v>7.4649999999999999</c:v>
                </c:pt>
                <c:pt idx="153">
                  <c:v>7.8650000000000002</c:v>
                </c:pt>
                <c:pt idx="154">
                  <c:v>7.556</c:v>
                </c:pt>
                <c:pt idx="155">
                  <c:v>8.5</c:v>
                </c:pt>
                <c:pt idx="156">
                  <c:v>7.4569999999999999</c:v>
                </c:pt>
                <c:pt idx="157">
                  <c:v>8.2629999999999999</c:v>
                </c:pt>
                <c:pt idx="158">
                  <c:v>7.3109999999999999</c:v>
                </c:pt>
                <c:pt idx="159">
                  <c:v>7.2839999999999998</c:v>
                </c:pt>
                <c:pt idx="160">
                  <c:v>7.407</c:v>
                </c:pt>
                <c:pt idx="161">
                  <c:v>7.0410000000000004</c:v>
                </c:pt>
                <c:pt idx="162">
                  <c:v>6.6349999999999998</c:v>
                </c:pt>
                <c:pt idx="163">
                  <c:v>6.5460000000000003</c:v>
                </c:pt>
                <c:pt idx="164">
                  <c:v>6.9790000000000001</c:v>
                </c:pt>
                <c:pt idx="165">
                  <c:v>7.2889999999999997</c:v>
                </c:pt>
                <c:pt idx="166">
                  <c:v>7.266</c:v>
                </c:pt>
                <c:pt idx="167">
                  <c:v>7.5339999999999998</c:v>
                </c:pt>
                <c:pt idx="168">
                  <c:v>6.5449999999999999</c:v>
                </c:pt>
                <c:pt idx="169">
                  <c:v>6.8609999999999998</c:v>
                </c:pt>
                <c:pt idx="170">
                  <c:v>6.2249999999999996</c:v>
                </c:pt>
                <c:pt idx="171">
                  <c:v>6.415</c:v>
                </c:pt>
                <c:pt idx="172">
                  <c:v>5.9980000000000002</c:v>
                </c:pt>
                <c:pt idx="173">
                  <c:v>5.85</c:v>
                </c:pt>
                <c:pt idx="174">
                  <c:v>5.73</c:v>
                </c:pt>
                <c:pt idx="175">
                  <c:v>5.4349999999999996</c:v>
                </c:pt>
                <c:pt idx="176">
                  <c:v>5.5149999999999997</c:v>
                </c:pt>
                <c:pt idx="177">
                  <c:v>5.1159999999999997</c:v>
                </c:pt>
                <c:pt idx="178">
                  <c:v>5.3209999999999997</c:v>
                </c:pt>
                <c:pt idx="179">
                  <c:v>5.4329999999999998</c:v>
                </c:pt>
                <c:pt idx="180">
                  <c:v>5.5119999999999996</c:v>
                </c:pt>
                <c:pt idx="181">
                  <c:v>5.5880000000000001</c:v>
                </c:pt>
                <c:pt idx="182">
                  <c:v>4.9290000000000003</c:v>
                </c:pt>
                <c:pt idx="183">
                  <c:v>4.915</c:v>
                </c:pt>
                <c:pt idx="184">
                  <c:v>5.0380000000000003</c:v>
                </c:pt>
                <c:pt idx="185">
                  <c:v>4.62</c:v>
                </c:pt>
                <c:pt idx="186">
                  <c:v>4.681</c:v>
                </c:pt>
                <c:pt idx="187">
                  <c:v>4.5890000000000004</c:v>
                </c:pt>
                <c:pt idx="188">
                  <c:v>4.53</c:v>
                </c:pt>
                <c:pt idx="189">
                  <c:v>4.45</c:v>
                </c:pt>
                <c:pt idx="190">
                  <c:v>4.4089999999999998</c:v>
                </c:pt>
                <c:pt idx="191">
                  <c:v>4.1079999999999997</c:v>
                </c:pt>
                <c:pt idx="192">
                  <c:v>4.4329999999999998</c:v>
                </c:pt>
                <c:pt idx="193">
                  <c:v>4.6950000000000003</c:v>
                </c:pt>
                <c:pt idx="194">
                  <c:v>4.601</c:v>
                </c:pt>
                <c:pt idx="195">
                  <c:v>4.7069999999999999</c:v>
                </c:pt>
                <c:pt idx="196">
                  <c:v>4.8869999999999996</c:v>
                </c:pt>
                <c:pt idx="197">
                  <c:v>4.8630000000000004</c:v>
                </c:pt>
                <c:pt idx="198">
                  <c:v>4.9029999999999996</c:v>
                </c:pt>
                <c:pt idx="199">
                  <c:v>5.1390000000000002</c:v>
                </c:pt>
                <c:pt idx="200">
                  <c:v>5.0229999999999997</c:v>
                </c:pt>
                <c:pt idx="201">
                  <c:v>4.8789999999999996</c:v>
                </c:pt>
                <c:pt idx="202">
                  <c:v>4.9589999999999996</c:v>
                </c:pt>
                <c:pt idx="203">
                  <c:v>4.8179999999999996</c:v>
                </c:pt>
                <c:pt idx="204">
                  <c:v>5.1829999999999998</c:v>
                </c:pt>
                <c:pt idx="205">
                  <c:v>5.2270000000000003</c:v>
                </c:pt>
                <c:pt idx="206">
                  <c:v>5.109</c:v>
                </c:pt>
                <c:pt idx="207">
                  <c:v>5.3719999999999999</c:v>
                </c:pt>
                <c:pt idx="208">
                  <c:v>5.3019999999999996</c:v>
                </c:pt>
                <c:pt idx="209">
                  <c:v>5.1429999999999998</c:v>
                </c:pt>
                <c:pt idx="210">
                  <c:v>4.9989999999999997</c:v>
                </c:pt>
                <c:pt idx="211">
                  <c:v>5.3070000000000004</c:v>
                </c:pt>
                <c:pt idx="212">
                  <c:v>5.2880000000000003</c:v>
                </c:pt>
                <c:pt idx="213">
                  <c:v>4.9729999999999999</c:v>
                </c:pt>
                <c:pt idx="214">
                  <c:v>4.87</c:v>
                </c:pt>
                <c:pt idx="215">
                  <c:v>4.74</c:v>
                </c:pt>
                <c:pt idx="216">
                  <c:v>4.78</c:v>
                </c:pt>
                <c:pt idx="217">
                  <c:v>5.2709999999999999</c:v>
                </c:pt>
                <c:pt idx="218">
                  <c:v>5.1829999999999998</c:v>
                </c:pt>
                <c:pt idx="219">
                  <c:v>4.718</c:v>
                </c:pt>
                <c:pt idx="220">
                  <c:v>5.1210000000000004</c:v>
                </c:pt>
                <c:pt idx="221">
                  <c:v>6.2249999999999996</c:v>
                </c:pt>
                <c:pt idx="222">
                  <c:v>6.423</c:v>
                </c:pt>
                <c:pt idx="223">
                  <c:v>6.5759999999999996</c:v>
                </c:pt>
                <c:pt idx="224">
                  <c:v>6.8689999999999998</c:v>
                </c:pt>
                <c:pt idx="225">
                  <c:v>6.96</c:v>
                </c:pt>
                <c:pt idx="226">
                  <c:v>7.2110000000000003</c:v>
                </c:pt>
                <c:pt idx="227">
                  <c:v>7.3869999999999996</c:v>
                </c:pt>
                <c:pt idx="228">
                  <c:v>7.0730000000000004</c:v>
                </c:pt>
                <c:pt idx="229">
                  <c:v>6.6230000000000002</c:v>
                </c:pt>
                <c:pt idx="230">
                  <c:v>7.1849999999999996</c:v>
                </c:pt>
                <c:pt idx="231">
                  <c:v>7.077</c:v>
                </c:pt>
                <c:pt idx="232">
                  <c:v>7.3719999999999999</c:v>
                </c:pt>
                <c:pt idx="233">
                  <c:v>7.1180000000000003</c:v>
                </c:pt>
                <c:pt idx="234">
                  <c:v>7.0250000000000004</c:v>
                </c:pt>
                <c:pt idx="235">
                  <c:v>8.0079999999999991</c:v>
                </c:pt>
                <c:pt idx="236">
                  <c:v>7.8449999999999998</c:v>
                </c:pt>
                <c:pt idx="237">
                  <c:v>8.641</c:v>
                </c:pt>
                <c:pt idx="238">
                  <c:v>10.053000000000001</c:v>
                </c:pt>
                <c:pt idx="239">
                  <c:v>7.7460000000000004</c:v>
                </c:pt>
                <c:pt idx="240">
                  <c:v>7.3019999999999996</c:v>
                </c:pt>
                <c:pt idx="241">
                  <c:v>7.5709999999999997</c:v>
                </c:pt>
                <c:pt idx="242">
                  <c:v>7.2750000000000004</c:v>
                </c:pt>
                <c:pt idx="243">
                  <c:v>6.6609999999999996</c:v>
                </c:pt>
                <c:pt idx="244">
                  <c:v>6.8150000000000004</c:v>
                </c:pt>
                <c:pt idx="245">
                  <c:v>7.6289999999999996</c:v>
                </c:pt>
                <c:pt idx="246">
                  <c:v>8.2680000000000007</c:v>
                </c:pt>
                <c:pt idx="247">
                  <c:v>7.7229999999999999</c:v>
                </c:pt>
                <c:pt idx="248">
                  <c:v>7.69</c:v>
                </c:pt>
                <c:pt idx="249">
                  <c:v>6.1109999999999998</c:v>
                </c:pt>
                <c:pt idx="250">
                  <c:v>6.9909999999999997</c:v>
                </c:pt>
                <c:pt idx="251">
                  <c:v>7.8920000000000003</c:v>
                </c:pt>
                <c:pt idx="252">
                  <c:v>9.657</c:v>
                </c:pt>
                <c:pt idx="253">
                  <c:v>8.01</c:v>
                </c:pt>
                <c:pt idx="254">
                  <c:v>13.19</c:v>
                </c:pt>
                <c:pt idx="255">
                  <c:v>11.637</c:v>
                </c:pt>
                <c:pt idx="256">
                  <c:v>13.718999999999999</c:v>
                </c:pt>
                <c:pt idx="257">
                  <c:v>13.83</c:v>
                </c:pt>
                <c:pt idx="258">
                  <c:v>15.565</c:v>
                </c:pt>
                <c:pt idx="259">
                  <c:v>15.788</c:v>
                </c:pt>
                <c:pt idx="260">
                  <c:v>15.007</c:v>
                </c:pt>
                <c:pt idx="261">
                  <c:v>20.55</c:v>
                </c:pt>
                <c:pt idx="262">
                  <c:v>15.782999999999999</c:v>
                </c:pt>
                <c:pt idx="263">
                  <c:v>17.946000000000002</c:v>
                </c:pt>
                <c:pt idx="264">
                  <c:v>19.433</c:v>
                </c:pt>
                <c:pt idx="265">
                  <c:v>18.747</c:v>
                </c:pt>
                <c:pt idx="266">
                  <c:v>15.037000000000001</c:v>
                </c:pt>
                <c:pt idx="267">
                  <c:v>13.523999999999999</c:v>
                </c:pt>
                <c:pt idx="268">
                  <c:v>12.519</c:v>
                </c:pt>
                <c:pt idx="269">
                  <c:v>12.401</c:v>
                </c:pt>
                <c:pt idx="270">
                  <c:v>12.584</c:v>
                </c:pt>
                <c:pt idx="271">
                  <c:v>11.718999999999999</c:v>
                </c:pt>
                <c:pt idx="272">
                  <c:v>12.153</c:v>
                </c:pt>
                <c:pt idx="273">
                  <c:v>10.696999999999999</c:v>
                </c:pt>
                <c:pt idx="274">
                  <c:v>10.747</c:v>
                </c:pt>
                <c:pt idx="275">
                  <c:v>11.176</c:v>
                </c:pt>
                <c:pt idx="276">
                  <c:v>10.199</c:v>
                </c:pt>
                <c:pt idx="277">
                  <c:v>8.9160000000000004</c:v>
                </c:pt>
                <c:pt idx="278">
                  <c:v>9.24</c:v>
                </c:pt>
                <c:pt idx="279">
                  <c:v>10.079000000000001</c:v>
                </c:pt>
                <c:pt idx="280">
                  <c:v>9.9179999999999993</c:v>
                </c:pt>
                <c:pt idx="281">
                  <c:v>11.53</c:v>
                </c:pt>
                <c:pt idx="282">
                  <c:v>12.76</c:v>
                </c:pt>
                <c:pt idx="283">
                  <c:v>12.962999999999999</c:v>
                </c:pt>
                <c:pt idx="284">
                  <c:v>13.43</c:v>
                </c:pt>
                <c:pt idx="285">
                  <c:v>14.747</c:v>
                </c:pt>
                <c:pt idx="286">
                  <c:v>12.929</c:v>
                </c:pt>
                <c:pt idx="287">
                  <c:v>13.377000000000001</c:v>
                </c:pt>
                <c:pt idx="288">
                  <c:v>12.776999999999999</c:v>
                </c:pt>
                <c:pt idx="289">
                  <c:v>11.167999999999999</c:v>
                </c:pt>
                <c:pt idx="290">
                  <c:v>11.984999999999999</c:v>
                </c:pt>
                <c:pt idx="291">
                  <c:v>12.807</c:v>
                </c:pt>
                <c:pt idx="292">
                  <c:v>11.93</c:v>
                </c:pt>
                <c:pt idx="293">
                  <c:v>11.396000000000001</c:v>
                </c:pt>
                <c:pt idx="294">
                  <c:v>11.879</c:v>
                </c:pt>
                <c:pt idx="295">
                  <c:v>10.183</c:v>
                </c:pt>
                <c:pt idx="296">
                  <c:v>11.371</c:v>
                </c:pt>
                <c:pt idx="297">
                  <c:v>11.032999999999999</c:v>
                </c:pt>
                <c:pt idx="298">
                  <c:v>10.249000000000001</c:v>
                </c:pt>
                <c:pt idx="299">
                  <c:v>8.3719999999999999</c:v>
                </c:pt>
                <c:pt idx="300">
                  <c:v>9.282</c:v>
                </c:pt>
                <c:pt idx="301">
                  <c:v>9.9130000000000003</c:v>
                </c:pt>
                <c:pt idx="302">
                  <c:v>8.9380000000000006</c:v>
                </c:pt>
                <c:pt idx="303">
                  <c:v>9.2249999999999996</c:v>
                </c:pt>
                <c:pt idx="304">
                  <c:v>8.94</c:v>
                </c:pt>
                <c:pt idx="305">
                  <c:v>7.931</c:v>
                </c:pt>
                <c:pt idx="306">
                  <c:v>7.6</c:v>
                </c:pt>
                <c:pt idx="307">
                  <c:v>7.4119999999999999</c:v>
                </c:pt>
                <c:pt idx="308">
                  <c:v>6.8579999999999997</c:v>
                </c:pt>
                <c:pt idx="309">
                  <c:v>7.17</c:v>
                </c:pt>
                <c:pt idx="310">
                  <c:v>7.6420000000000003</c:v>
                </c:pt>
                <c:pt idx="311">
                  <c:v>7.532</c:v>
                </c:pt>
                <c:pt idx="312">
                  <c:v>8.1</c:v>
                </c:pt>
                <c:pt idx="313">
                  <c:v>7.7069999999999999</c:v>
                </c:pt>
                <c:pt idx="314">
                  <c:v>7.9189999999999996</c:v>
                </c:pt>
                <c:pt idx="315">
                  <c:v>8.0500000000000007</c:v>
                </c:pt>
                <c:pt idx="316">
                  <c:v>8.4489999999999998</c:v>
                </c:pt>
                <c:pt idx="317">
                  <c:v>8.7230000000000008</c:v>
                </c:pt>
                <c:pt idx="318">
                  <c:v>7.9290000000000003</c:v>
                </c:pt>
                <c:pt idx="319">
                  <c:v>8.52</c:v>
                </c:pt>
                <c:pt idx="320">
                  <c:v>7.7270000000000003</c:v>
                </c:pt>
                <c:pt idx="321">
                  <c:v>7.4349999999999996</c:v>
                </c:pt>
                <c:pt idx="322">
                  <c:v>7.7069999999999999</c:v>
                </c:pt>
                <c:pt idx="323">
                  <c:v>7.7549999999999999</c:v>
                </c:pt>
                <c:pt idx="324">
                  <c:v>6.6970000000000001</c:v>
                </c:pt>
                <c:pt idx="325">
                  <c:v>6.6959999999999997</c:v>
                </c:pt>
                <c:pt idx="326">
                  <c:v>6.4020000000000001</c:v>
                </c:pt>
                <c:pt idx="327">
                  <c:v>6.2229999999999999</c:v>
                </c:pt>
                <c:pt idx="328">
                  <c:v>6.6219999999999999</c:v>
                </c:pt>
                <c:pt idx="329">
                  <c:v>6.0490000000000004</c:v>
                </c:pt>
                <c:pt idx="330">
                  <c:v>6.1929999999999996</c:v>
                </c:pt>
                <c:pt idx="331">
                  <c:v>5.3559999999999999</c:v>
                </c:pt>
                <c:pt idx="332">
                  <c:v>5.4980000000000002</c:v>
                </c:pt>
                <c:pt idx="333">
                  <c:v>5.1870000000000003</c:v>
                </c:pt>
                <c:pt idx="334">
                  <c:v>5.6109999999999998</c:v>
                </c:pt>
                <c:pt idx="335">
                  <c:v>4.87</c:v>
                </c:pt>
                <c:pt idx="336">
                  <c:v>4.968</c:v>
                </c:pt>
                <c:pt idx="337">
                  <c:v>5.3840000000000003</c:v>
                </c:pt>
                <c:pt idx="338">
                  <c:v>5.0010000000000003</c:v>
                </c:pt>
                <c:pt idx="339">
                  <c:v>6.1520000000000001</c:v>
                </c:pt>
                <c:pt idx="340">
                  <c:v>6.89</c:v>
                </c:pt>
                <c:pt idx="341">
                  <c:v>6.181</c:v>
                </c:pt>
                <c:pt idx="342">
                  <c:v>6.8019999999999996</c:v>
                </c:pt>
                <c:pt idx="343">
                  <c:v>6.7110000000000003</c:v>
                </c:pt>
                <c:pt idx="344">
                  <c:v>6.734</c:v>
                </c:pt>
                <c:pt idx="345">
                  <c:v>5.9530000000000003</c:v>
                </c:pt>
                <c:pt idx="346">
                  <c:v>6.1</c:v>
                </c:pt>
                <c:pt idx="347">
                  <c:v>6.4210000000000003</c:v>
                </c:pt>
                <c:pt idx="348">
                  <c:v>7.4509999999999996</c:v>
                </c:pt>
                <c:pt idx="349">
                  <c:v>6.0549999999999997</c:v>
                </c:pt>
                <c:pt idx="350">
                  <c:v>5.9619999999999997</c:v>
                </c:pt>
                <c:pt idx="351">
                  <c:v>5.0570000000000004</c:v>
                </c:pt>
                <c:pt idx="352">
                  <c:v>5.2</c:v>
                </c:pt>
                <c:pt idx="353">
                  <c:v>4.9950000000000001</c:v>
                </c:pt>
                <c:pt idx="354">
                  <c:v>4.5720000000000001</c:v>
                </c:pt>
                <c:pt idx="355">
                  <c:v>4.8499999999999996</c:v>
                </c:pt>
                <c:pt idx="356">
                  <c:v>4.702</c:v>
                </c:pt>
                <c:pt idx="357">
                  <c:v>3.9620000000000002</c:v>
                </c:pt>
                <c:pt idx="358">
                  <c:v>4.1609999999999996</c:v>
                </c:pt>
                <c:pt idx="359">
                  <c:v>4.1500000000000004</c:v>
                </c:pt>
                <c:pt idx="360">
                  <c:v>3.726</c:v>
                </c:pt>
                <c:pt idx="361">
                  <c:v>3.9569999999999999</c:v>
                </c:pt>
                <c:pt idx="362">
                  <c:v>4.1260000000000003</c:v>
                </c:pt>
                <c:pt idx="363">
                  <c:v>4.3170000000000002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1-4FF8-8147-84866C4D08E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-0.20126784458280034</c:v>
                </c:pt>
                <c:pt idx="1">
                  <c:v>-0.20119689982354108</c:v>
                </c:pt>
                <c:pt idx="2">
                  <c:v>-0.19918140881967261</c:v>
                </c:pt>
                <c:pt idx="3">
                  <c:v>-0.2008439848718053</c:v>
                </c:pt>
                <c:pt idx="4">
                  <c:v>-0.20204160483061537</c:v>
                </c:pt>
                <c:pt idx="5">
                  <c:v>-0.20249812362623582</c:v>
                </c:pt>
                <c:pt idx="6">
                  <c:v>-0.20043945670174598</c:v>
                </c:pt>
                <c:pt idx="7">
                  <c:v>-0.19770838722986245</c:v>
                </c:pt>
                <c:pt idx="8">
                  <c:v>-0.19650935169497871</c:v>
                </c:pt>
                <c:pt idx="9">
                  <c:v>-0.1962453227619243</c:v>
                </c:pt>
                <c:pt idx="10">
                  <c:v>-0.19452501482233767</c:v>
                </c:pt>
                <c:pt idx="11">
                  <c:v>-0.19162580951110378</c:v>
                </c:pt>
                <c:pt idx="12">
                  <c:v>-0.19199327417375436</c:v>
                </c:pt>
                <c:pt idx="13">
                  <c:v>-0.19217526996322806</c:v>
                </c:pt>
                <c:pt idx="14">
                  <c:v>-0.19219490038118472</c:v>
                </c:pt>
                <c:pt idx="15">
                  <c:v>-0.19088808053932427</c:v>
                </c:pt>
                <c:pt idx="16">
                  <c:v>-0.19200126157792952</c:v>
                </c:pt>
                <c:pt idx="17">
                  <c:v>-0.19195956663348507</c:v>
                </c:pt>
                <c:pt idx="18">
                  <c:v>-0.19161227390959321</c:v>
                </c:pt>
                <c:pt idx="19">
                  <c:v>-0.19181295826710615</c:v>
                </c:pt>
                <c:pt idx="20">
                  <c:v>-0.19110288191046895</c:v>
                </c:pt>
                <c:pt idx="21">
                  <c:v>-0.19073731746044453</c:v>
                </c:pt>
                <c:pt idx="22">
                  <c:v>-0.19080580701678257</c:v>
                </c:pt>
                <c:pt idx="23">
                  <c:v>-0.19033525124866665</c:v>
                </c:pt>
                <c:pt idx="24">
                  <c:v>-0.18937603633460412</c:v>
                </c:pt>
                <c:pt idx="25">
                  <c:v>-0.18908780474888987</c:v>
                </c:pt>
                <c:pt idx="26">
                  <c:v>-0.18860925375333429</c:v>
                </c:pt>
                <c:pt idx="27">
                  <c:v>-0.18888245592980485</c:v>
                </c:pt>
                <c:pt idx="28">
                  <c:v>-0.18869179825690766</c:v>
                </c:pt>
                <c:pt idx="29">
                  <c:v>-0.18791267105823214</c:v>
                </c:pt>
                <c:pt idx="30">
                  <c:v>-0.18784072110715586</c:v>
                </c:pt>
                <c:pt idx="31">
                  <c:v>-0.18581921957194455</c:v>
                </c:pt>
                <c:pt idx="32">
                  <c:v>-0.18178032761096896</c:v>
                </c:pt>
                <c:pt idx="33">
                  <c:v>-0.17578562929300912</c:v>
                </c:pt>
                <c:pt idx="34">
                  <c:v>-0.17642494369115724</c:v>
                </c:pt>
                <c:pt idx="35">
                  <c:v>-0.17406022834094628</c:v>
                </c:pt>
                <c:pt idx="36">
                  <c:v>-0.17539893681959795</c:v>
                </c:pt>
                <c:pt idx="37">
                  <c:v>-0.17477379093724499</c:v>
                </c:pt>
                <c:pt idx="38">
                  <c:v>-0.17565524630745777</c:v>
                </c:pt>
                <c:pt idx="39">
                  <c:v>-0.17559207480031488</c:v>
                </c:pt>
                <c:pt idx="40">
                  <c:v>-0.17502997471556914</c:v>
                </c:pt>
                <c:pt idx="41">
                  <c:v>-0.17516166152985482</c:v>
                </c:pt>
                <c:pt idx="42">
                  <c:v>-0.17502943729418607</c:v>
                </c:pt>
                <c:pt idx="43">
                  <c:v>-0.1750025358470316</c:v>
                </c:pt>
                <c:pt idx="44">
                  <c:v>-0.17565585562785349</c:v>
                </c:pt>
                <c:pt idx="45">
                  <c:v>-0.1767971063704861</c:v>
                </c:pt>
                <c:pt idx="46">
                  <c:v>-0.17601087244492777</c:v>
                </c:pt>
                <c:pt idx="47">
                  <c:v>-0.17449259917077634</c:v>
                </c:pt>
                <c:pt idx="48">
                  <c:v>-0.17456893933381984</c:v>
                </c:pt>
                <c:pt idx="49">
                  <c:v>-0.17328938743291891</c:v>
                </c:pt>
                <c:pt idx="50">
                  <c:v>-0.1711765918915856</c:v>
                </c:pt>
                <c:pt idx="51">
                  <c:v>-0.1726317176268797</c:v>
                </c:pt>
                <c:pt idx="52">
                  <c:v>-0.17088824067335129</c:v>
                </c:pt>
                <c:pt idx="53">
                  <c:v>-0.17263365264692571</c:v>
                </c:pt>
                <c:pt idx="54">
                  <c:v>-0.17190475953700612</c:v>
                </c:pt>
                <c:pt idx="55">
                  <c:v>-0.17087304960122632</c:v>
                </c:pt>
                <c:pt idx="56">
                  <c:v>-0.16788593796724946</c:v>
                </c:pt>
                <c:pt idx="57">
                  <c:v>-0.16989557897524946</c:v>
                </c:pt>
                <c:pt idx="58">
                  <c:v>-0.1692716020535627</c:v>
                </c:pt>
                <c:pt idx="59">
                  <c:v>-0.16852899704832711</c:v>
                </c:pt>
                <c:pt idx="60">
                  <c:v>-0.16847057413844843</c:v>
                </c:pt>
                <c:pt idx="61">
                  <c:v>-0.17074121598402564</c:v>
                </c:pt>
                <c:pt idx="62">
                  <c:v>-0.17088097908792177</c:v>
                </c:pt>
                <c:pt idx="63">
                  <c:v>-0.16881745324678124</c:v>
                </c:pt>
                <c:pt idx="64">
                  <c:v>-0.16948947071981663</c:v>
                </c:pt>
                <c:pt idx="65">
                  <c:v>-0.16931736076035719</c:v>
                </c:pt>
                <c:pt idx="66">
                  <c:v>-0.16864505591539594</c:v>
                </c:pt>
                <c:pt idx="67">
                  <c:v>-0.16583460924506627</c:v>
                </c:pt>
                <c:pt idx="68">
                  <c:v>-0.16298170302606893</c:v>
                </c:pt>
                <c:pt idx="69">
                  <c:v>-0.160564110580875</c:v>
                </c:pt>
                <c:pt idx="70">
                  <c:v>-0.16144359514506421</c:v>
                </c:pt>
                <c:pt idx="71">
                  <c:v>-0.15929136339678043</c:v>
                </c:pt>
                <c:pt idx="72">
                  <c:v>-0.15933851407870261</c:v>
                </c:pt>
                <c:pt idx="73">
                  <c:v>-0.15778717502785516</c:v>
                </c:pt>
                <c:pt idx="74">
                  <c:v>-0.15706156132922505</c:v>
                </c:pt>
                <c:pt idx="75">
                  <c:v>-0.15566480458206594</c:v>
                </c:pt>
                <c:pt idx="76">
                  <c:v>-0.15679238825370775</c:v>
                </c:pt>
                <c:pt idx="77">
                  <c:v>-0.15652985516799348</c:v>
                </c:pt>
                <c:pt idx="78">
                  <c:v>-0.15599221142215022</c:v>
                </c:pt>
                <c:pt idx="79">
                  <c:v>-0.15357299748839631</c:v>
                </c:pt>
                <c:pt idx="80">
                  <c:v>-0.15302699405102899</c:v>
                </c:pt>
                <c:pt idx="81">
                  <c:v>-0.15293499069468156</c:v>
                </c:pt>
                <c:pt idx="82">
                  <c:v>-0.15348090749468157</c:v>
                </c:pt>
                <c:pt idx="83">
                  <c:v>-0.1533081326375387</c:v>
                </c:pt>
                <c:pt idx="84">
                  <c:v>-0.15186895489840826</c:v>
                </c:pt>
                <c:pt idx="85">
                  <c:v>-0.14717743608776809</c:v>
                </c:pt>
                <c:pt idx="86">
                  <c:v>-0.14610309138561497</c:v>
                </c:pt>
                <c:pt idx="87">
                  <c:v>-0.14677505038561497</c:v>
                </c:pt>
                <c:pt idx="88">
                  <c:v>-0.14820631688979327</c:v>
                </c:pt>
                <c:pt idx="89">
                  <c:v>-0.14949757371332267</c:v>
                </c:pt>
                <c:pt idx="90">
                  <c:v>-0.14815963762439346</c:v>
                </c:pt>
                <c:pt idx="91">
                  <c:v>-0.14819116189247858</c:v>
                </c:pt>
                <c:pt idx="92">
                  <c:v>-0.14628056167252973</c:v>
                </c:pt>
                <c:pt idx="93">
                  <c:v>-0.14561357952120368</c:v>
                </c:pt>
                <c:pt idx="94">
                  <c:v>-0.14227139122986512</c:v>
                </c:pt>
                <c:pt idx="95">
                  <c:v>-0.14318390324187713</c:v>
                </c:pt>
                <c:pt idx="96">
                  <c:v>-0.13812800359298244</c:v>
                </c:pt>
                <c:pt idx="97">
                  <c:v>-0.13748678734615855</c:v>
                </c:pt>
                <c:pt idx="98">
                  <c:v>-0.12896392461387507</c:v>
                </c:pt>
                <c:pt idx="99">
                  <c:v>-0.10638180498447468</c:v>
                </c:pt>
                <c:pt idx="100">
                  <c:v>-0.10837818887136415</c:v>
                </c:pt>
                <c:pt idx="101">
                  <c:v>-0.108348006728507</c:v>
                </c:pt>
                <c:pt idx="102">
                  <c:v>-0.10510958065537505</c:v>
                </c:pt>
                <c:pt idx="103">
                  <c:v>-0.1047162993072738</c:v>
                </c:pt>
                <c:pt idx="104">
                  <c:v>-0.10481687198631889</c:v>
                </c:pt>
                <c:pt idx="105">
                  <c:v>-0.101962160361247</c:v>
                </c:pt>
                <c:pt idx="106">
                  <c:v>-0.10066456944507934</c:v>
                </c:pt>
                <c:pt idx="107">
                  <c:v>-0.10014623645993083</c:v>
                </c:pt>
                <c:pt idx="108">
                  <c:v>-0.10016366820223228</c:v>
                </c:pt>
                <c:pt idx="109">
                  <c:v>-9.8377604832737137E-2</c:v>
                </c:pt>
                <c:pt idx="110">
                  <c:v>-9.7278445904165692E-2</c:v>
                </c:pt>
                <c:pt idx="111">
                  <c:v>-9.7297897761816937E-2</c:v>
                </c:pt>
                <c:pt idx="112">
                  <c:v>-9.666438229472564E-2</c:v>
                </c:pt>
                <c:pt idx="113">
                  <c:v>-9.5520345218353328E-2</c:v>
                </c:pt>
                <c:pt idx="114">
                  <c:v>-9.6896775040350422E-2</c:v>
                </c:pt>
                <c:pt idx="115">
                  <c:v>-9.8420930790350442E-2</c:v>
                </c:pt>
                <c:pt idx="116">
                  <c:v>-9.863264686011787E-2</c:v>
                </c:pt>
                <c:pt idx="117">
                  <c:v>-9.8094193853906692E-2</c:v>
                </c:pt>
                <c:pt idx="118">
                  <c:v>-9.6037959749726218E-2</c:v>
                </c:pt>
                <c:pt idx="119">
                  <c:v>-0.10008818668453896</c:v>
                </c:pt>
                <c:pt idx="120">
                  <c:v>-0.10257011605587446</c:v>
                </c:pt>
                <c:pt idx="121">
                  <c:v>-0.10162105964260917</c:v>
                </c:pt>
                <c:pt idx="122">
                  <c:v>-9.6911158278954759E-2</c:v>
                </c:pt>
                <c:pt idx="123">
                  <c:v>-9.2597936047294521E-2</c:v>
                </c:pt>
                <c:pt idx="124">
                  <c:v>-9.5855731423743137E-2</c:v>
                </c:pt>
                <c:pt idx="125">
                  <c:v>-9.1644732751438696E-2</c:v>
                </c:pt>
                <c:pt idx="126">
                  <c:v>-9.0953676186772803E-2</c:v>
                </c:pt>
                <c:pt idx="127">
                  <c:v>-8.8664445724249946E-2</c:v>
                </c:pt>
                <c:pt idx="128">
                  <c:v>-9.0185046529949423E-2</c:v>
                </c:pt>
                <c:pt idx="129">
                  <c:v>-8.675734720186784E-2</c:v>
                </c:pt>
                <c:pt idx="130">
                  <c:v>-8.5392649453968683E-2</c:v>
                </c:pt>
                <c:pt idx="131">
                  <c:v>-8.1943224803634626E-2</c:v>
                </c:pt>
                <c:pt idx="132">
                  <c:v>-8.2949790148005492E-2</c:v>
                </c:pt>
                <c:pt idx="133">
                  <c:v>-8.1330857248005484E-2</c:v>
                </c:pt>
                <c:pt idx="134">
                  <c:v>-7.9917116134261418E-2</c:v>
                </c:pt>
                <c:pt idx="135">
                  <c:v>-8.1088280821008399E-2</c:v>
                </c:pt>
                <c:pt idx="136">
                  <c:v>-8.1973450431627862E-2</c:v>
                </c:pt>
                <c:pt idx="137">
                  <c:v>-8.1732455900554432E-2</c:v>
                </c:pt>
                <c:pt idx="138">
                  <c:v>-8.180507161484013E-2</c:v>
                </c:pt>
                <c:pt idx="139">
                  <c:v>-8.1678461543265482E-2</c:v>
                </c:pt>
                <c:pt idx="140">
                  <c:v>-8.0492851610091259E-2</c:v>
                </c:pt>
                <c:pt idx="141">
                  <c:v>-7.8323244122168567E-2</c:v>
                </c:pt>
                <c:pt idx="142">
                  <c:v>-8.0793493801283478E-2</c:v>
                </c:pt>
                <c:pt idx="143">
                  <c:v>-7.6915635040612745E-2</c:v>
                </c:pt>
                <c:pt idx="144">
                  <c:v>-7.951603919255619E-2</c:v>
                </c:pt>
                <c:pt idx="145">
                  <c:v>-8.1691796115380494E-2</c:v>
                </c:pt>
                <c:pt idx="146">
                  <c:v>-8.0905844495829646E-2</c:v>
                </c:pt>
                <c:pt idx="147">
                  <c:v>-8.0662087223881046E-2</c:v>
                </c:pt>
                <c:pt idx="148">
                  <c:v>-7.2067080886631246E-2</c:v>
                </c:pt>
                <c:pt idx="149">
                  <c:v>-8.3045114630340339E-2</c:v>
                </c:pt>
                <c:pt idx="150">
                  <c:v>-8.4601939328080453E-2</c:v>
                </c:pt>
                <c:pt idx="151">
                  <c:v>-7.2765420710433418E-2</c:v>
                </c:pt>
                <c:pt idx="152">
                  <c:v>-7.3280347706095025E-2</c:v>
                </c:pt>
                <c:pt idx="153">
                  <c:v>-6.9337472790064483E-2</c:v>
                </c:pt>
                <c:pt idx="154">
                  <c:v>-7.2097400055322461E-2</c:v>
                </c:pt>
                <c:pt idx="155">
                  <c:v>-6.7266553843033552E-2</c:v>
                </c:pt>
                <c:pt idx="156">
                  <c:v>-7.2609100268362772E-2</c:v>
                </c:pt>
                <c:pt idx="157">
                  <c:v>-6.6030085838900021E-2</c:v>
                </c:pt>
                <c:pt idx="158">
                  <c:v>-6.9023744888096442E-2</c:v>
                </c:pt>
                <c:pt idx="159">
                  <c:v>-6.924229049523932E-2</c:v>
                </c:pt>
                <c:pt idx="160">
                  <c:v>-6.8173918841110862E-2</c:v>
                </c:pt>
                <c:pt idx="161">
                  <c:v>-7.0673788480378114E-2</c:v>
                </c:pt>
                <c:pt idx="162">
                  <c:v>-7.0368225047414565E-2</c:v>
                </c:pt>
                <c:pt idx="163">
                  <c:v>-7.195702409362785E-2</c:v>
                </c:pt>
                <c:pt idx="164">
                  <c:v>-6.9515518318944314E-2</c:v>
                </c:pt>
                <c:pt idx="165">
                  <c:v>-6.4147881559809258E-2</c:v>
                </c:pt>
                <c:pt idx="166">
                  <c:v>-6.5538802180950192E-2</c:v>
                </c:pt>
                <c:pt idx="167">
                  <c:v>-6.3877032316511373E-2</c:v>
                </c:pt>
                <c:pt idx="168">
                  <c:v>-6.7183342547453243E-2</c:v>
                </c:pt>
                <c:pt idx="169">
                  <c:v>-6.4901684928475548E-2</c:v>
                </c:pt>
                <c:pt idx="170">
                  <c:v>-6.5493480983248628E-2</c:v>
                </c:pt>
                <c:pt idx="171">
                  <c:v>-6.5471164294175779E-2</c:v>
                </c:pt>
                <c:pt idx="172">
                  <c:v>-6.8386095888795073E-2</c:v>
                </c:pt>
                <c:pt idx="173">
                  <c:v>-6.4953800717203941E-2</c:v>
                </c:pt>
                <c:pt idx="174">
                  <c:v>-6.3828664794367065E-2</c:v>
                </c:pt>
                <c:pt idx="175">
                  <c:v>-6.6292855825234753E-2</c:v>
                </c:pt>
                <c:pt idx="176">
                  <c:v>-6.7845008679520466E-2</c:v>
                </c:pt>
                <c:pt idx="177">
                  <c:v>-6.9770174483456196E-2</c:v>
                </c:pt>
                <c:pt idx="178">
                  <c:v>-6.8308064996524379E-2</c:v>
                </c:pt>
                <c:pt idx="179">
                  <c:v>-6.6486244582355442E-2</c:v>
                </c:pt>
                <c:pt idx="180">
                  <c:v>-6.3923466414751523E-2</c:v>
                </c:pt>
                <c:pt idx="181">
                  <c:v>-6.010236870971554E-2</c:v>
                </c:pt>
                <c:pt idx="182">
                  <c:v>-6.2571736968858135E-2</c:v>
                </c:pt>
                <c:pt idx="183">
                  <c:v>-6.1889358372100467E-2</c:v>
                </c:pt>
                <c:pt idx="184">
                  <c:v>-5.9916765449071624E-2</c:v>
                </c:pt>
                <c:pt idx="185">
                  <c:v>-6.4222810862155755E-2</c:v>
                </c:pt>
                <c:pt idx="186">
                  <c:v>-6.1002690938607371E-2</c:v>
                </c:pt>
                <c:pt idx="187">
                  <c:v>-6.2375382957114832E-2</c:v>
                </c:pt>
                <c:pt idx="188">
                  <c:v>-6.3650823293346717E-2</c:v>
                </c:pt>
                <c:pt idx="189">
                  <c:v>-6.5222833635025554E-2</c:v>
                </c:pt>
                <c:pt idx="190">
                  <c:v>-6.6906681675430957E-2</c:v>
                </c:pt>
                <c:pt idx="191">
                  <c:v>-6.7800272622226043E-2</c:v>
                </c:pt>
                <c:pt idx="192">
                  <c:v>-6.6962550842226048E-2</c:v>
                </c:pt>
                <c:pt idx="193">
                  <c:v>-6.6352279495233563E-2</c:v>
                </c:pt>
                <c:pt idx="194">
                  <c:v>-6.6307160736604115E-2</c:v>
                </c:pt>
                <c:pt idx="195">
                  <c:v>-6.5374053166955562E-2</c:v>
                </c:pt>
                <c:pt idx="196">
                  <c:v>-6.2780719239579411E-2</c:v>
                </c:pt>
                <c:pt idx="197">
                  <c:v>-6.3932236160919878E-2</c:v>
                </c:pt>
                <c:pt idx="198">
                  <c:v>-6.4144501470833934E-2</c:v>
                </c:pt>
                <c:pt idx="199">
                  <c:v>-6.3033541912866253E-2</c:v>
                </c:pt>
                <c:pt idx="200">
                  <c:v>-6.3429207734965715E-2</c:v>
                </c:pt>
                <c:pt idx="201">
                  <c:v>-6.3714356459729657E-2</c:v>
                </c:pt>
                <c:pt idx="202">
                  <c:v>-6.3062039608293749E-2</c:v>
                </c:pt>
                <c:pt idx="203">
                  <c:v>-6.3711791988448396E-2</c:v>
                </c:pt>
                <c:pt idx="204">
                  <c:v>-6.2453251035989372E-2</c:v>
                </c:pt>
                <c:pt idx="205">
                  <c:v>-6.1216562044610068E-2</c:v>
                </c:pt>
                <c:pt idx="206">
                  <c:v>-6.1062497398148945E-2</c:v>
                </c:pt>
                <c:pt idx="207">
                  <c:v>-5.8606043387943181E-2</c:v>
                </c:pt>
                <c:pt idx="208">
                  <c:v>-5.7618971292351995E-2</c:v>
                </c:pt>
                <c:pt idx="209">
                  <c:v>-5.8074857915231995E-2</c:v>
                </c:pt>
                <c:pt idx="210">
                  <c:v>-5.9758273772064573E-2</c:v>
                </c:pt>
                <c:pt idx="211">
                  <c:v>-5.945979185621271E-2</c:v>
                </c:pt>
                <c:pt idx="212">
                  <c:v>-6.0000740121510326E-2</c:v>
                </c:pt>
                <c:pt idx="213">
                  <c:v>-6.0564569995873958E-2</c:v>
                </c:pt>
                <c:pt idx="214">
                  <c:v>-6.0621399405935882E-2</c:v>
                </c:pt>
                <c:pt idx="215">
                  <c:v>-6.3358951430935895E-2</c:v>
                </c:pt>
                <c:pt idx="216">
                  <c:v>-6.3922194457287237E-2</c:v>
                </c:pt>
                <c:pt idx="217">
                  <c:v>-6.2083325009970158E-2</c:v>
                </c:pt>
                <c:pt idx="218">
                  <c:v>-6.3775326929496126E-2</c:v>
                </c:pt>
                <c:pt idx="219">
                  <c:v>-6.4558638284767114E-2</c:v>
                </c:pt>
                <c:pt idx="220">
                  <c:v>-6.4067013045370311E-2</c:v>
                </c:pt>
                <c:pt idx="221">
                  <c:v>-6.1241877072907021E-2</c:v>
                </c:pt>
                <c:pt idx="222">
                  <c:v>-6.244669698011749E-2</c:v>
                </c:pt>
                <c:pt idx="223">
                  <c:v>-6.1080009031793468E-2</c:v>
                </c:pt>
                <c:pt idx="224">
                  <c:v>-6.1126376054919461E-2</c:v>
                </c:pt>
                <c:pt idx="225">
                  <c:v>-6.0339501689622668E-2</c:v>
                </c:pt>
                <c:pt idx="226">
                  <c:v>-5.4885807039568024E-2</c:v>
                </c:pt>
                <c:pt idx="227">
                  <c:v>-5.4143615442277707E-2</c:v>
                </c:pt>
                <c:pt idx="228">
                  <c:v>-5.5719984646685497E-2</c:v>
                </c:pt>
                <c:pt idx="229">
                  <c:v>-5.686725174070642E-2</c:v>
                </c:pt>
                <c:pt idx="230">
                  <c:v>-5.4753109982436696E-2</c:v>
                </c:pt>
                <c:pt idx="231">
                  <c:v>-5.2605709215663099E-2</c:v>
                </c:pt>
                <c:pt idx="232">
                  <c:v>-5.2213123117066343E-2</c:v>
                </c:pt>
                <c:pt idx="233">
                  <c:v>-5.4720982086483114E-2</c:v>
                </c:pt>
                <c:pt idx="234">
                  <c:v>-5.7166945359907635E-2</c:v>
                </c:pt>
                <c:pt idx="235">
                  <c:v>-5.4279312514350517E-2</c:v>
                </c:pt>
                <c:pt idx="236">
                  <c:v>-5.458056066865672E-2</c:v>
                </c:pt>
                <c:pt idx="237">
                  <c:v>-5.0401303413202175E-2</c:v>
                </c:pt>
                <c:pt idx="238">
                  <c:v>-4.5748799621684988E-2</c:v>
                </c:pt>
                <c:pt idx="239">
                  <c:v>-5.4404094774248124E-2</c:v>
                </c:pt>
                <c:pt idx="240">
                  <c:v>-5.5563865361444031E-2</c:v>
                </c:pt>
                <c:pt idx="241">
                  <c:v>-5.508694744043708E-2</c:v>
                </c:pt>
                <c:pt idx="242">
                  <c:v>-5.731727609988152E-2</c:v>
                </c:pt>
                <c:pt idx="243">
                  <c:v>-5.8409834346825965E-2</c:v>
                </c:pt>
                <c:pt idx="244">
                  <c:v>-5.5360128828225968E-2</c:v>
                </c:pt>
                <c:pt idx="245">
                  <c:v>-5.4408692712021589E-2</c:v>
                </c:pt>
                <c:pt idx="246">
                  <c:v>-5.435215963276762E-2</c:v>
                </c:pt>
                <c:pt idx="247">
                  <c:v>-5.4894539004385172E-2</c:v>
                </c:pt>
                <c:pt idx="248">
                  <c:v>-5.5678037359940723E-2</c:v>
                </c:pt>
                <c:pt idx="249">
                  <c:v>-6.0737549965210649E-2</c:v>
                </c:pt>
                <c:pt idx="250">
                  <c:v>-6.0066455044369041E-2</c:v>
                </c:pt>
                <c:pt idx="251">
                  <c:v>-5.710688918353219E-2</c:v>
                </c:pt>
                <c:pt idx="252">
                  <c:v>-5.5267528441032936E-2</c:v>
                </c:pt>
                <c:pt idx="253">
                  <c:v>-5.8311453553841368E-2</c:v>
                </c:pt>
                <c:pt idx="254">
                  <c:v>-5.3457495546711864E-2</c:v>
                </c:pt>
                <c:pt idx="255">
                  <c:v>-5.5120989320292052E-2</c:v>
                </c:pt>
                <c:pt idx="256">
                  <c:v>-5.0944570398204304E-2</c:v>
                </c:pt>
                <c:pt idx="257">
                  <c:v>-5.0808201940072475E-2</c:v>
                </c:pt>
                <c:pt idx="258">
                  <c:v>-4.8096549703272477E-2</c:v>
                </c:pt>
                <c:pt idx="259">
                  <c:v>-4.6029898989664773E-2</c:v>
                </c:pt>
                <c:pt idx="260">
                  <c:v>-4.6306141279063413E-2</c:v>
                </c:pt>
                <c:pt idx="261">
                  <c:v>-4.0503493235982561E-2</c:v>
                </c:pt>
                <c:pt idx="262">
                  <c:v>-4.5513090809413417E-2</c:v>
                </c:pt>
                <c:pt idx="263">
                  <c:v>-4.1223440922775918E-2</c:v>
                </c:pt>
                <c:pt idx="264">
                  <c:v>-3.937027230808534E-2</c:v>
                </c:pt>
                <c:pt idx="265">
                  <c:v>-3.2342117027257672E-2</c:v>
                </c:pt>
                <c:pt idx="266">
                  <c:v>-1.4602279227743107E-2</c:v>
                </c:pt>
                <c:pt idx="267">
                  <c:v>-1.5510373267148828E-2</c:v>
                </c:pt>
                <c:pt idx="268">
                  <c:v>-1.7331263115424687E-2</c:v>
                </c:pt>
                <c:pt idx="269">
                  <c:v>-1.6548111454521879E-2</c:v>
                </c:pt>
                <c:pt idx="270">
                  <c:v>-1.4787440268158243E-2</c:v>
                </c:pt>
                <c:pt idx="271">
                  <c:v>-1.6239159918493812E-2</c:v>
                </c:pt>
                <c:pt idx="272">
                  <c:v>-1.6216726886321767E-2</c:v>
                </c:pt>
                <c:pt idx="273">
                  <c:v>-1.9842701400564496E-2</c:v>
                </c:pt>
                <c:pt idx="274">
                  <c:v>-2.0319901303830264E-2</c:v>
                </c:pt>
                <c:pt idx="275">
                  <c:v>-2.0114301730463597E-2</c:v>
                </c:pt>
                <c:pt idx="276">
                  <c:v>-2.1845645197340766E-2</c:v>
                </c:pt>
                <c:pt idx="277">
                  <c:v>-2.3914502833340769E-2</c:v>
                </c:pt>
                <c:pt idx="278">
                  <c:v>-2.3206759487607729E-2</c:v>
                </c:pt>
                <c:pt idx="279">
                  <c:v>-2.2440741458038455E-2</c:v>
                </c:pt>
                <c:pt idx="280">
                  <c:v>-2.7164686071323874E-2</c:v>
                </c:pt>
                <c:pt idx="281">
                  <c:v>-2.31826519701572E-2</c:v>
                </c:pt>
                <c:pt idx="282">
                  <c:v>-2.1063443481281491E-2</c:v>
                </c:pt>
                <c:pt idx="283">
                  <c:v>-2.2802797862147384E-2</c:v>
                </c:pt>
                <c:pt idx="284">
                  <c:v>-2.1895608736924827E-2</c:v>
                </c:pt>
                <c:pt idx="285">
                  <c:v>-2.2281564897085319E-2</c:v>
                </c:pt>
                <c:pt idx="286">
                  <c:v>-2.0948273255462713E-2</c:v>
                </c:pt>
                <c:pt idx="287">
                  <c:v>-2.1977058159625522E-2</c:v>
                </c:pt>
                <c:pt idx="288">
                  <c:v>-2.490298150449426E-2</c:v>
                </c:pt>
                <c:pt idx="289">
                  <c:v>-2.7290331233403513E-2</c:v>
                </c:pt>
                <c:pt idx="290">
                  <c:v>-2.4524492086691652E-2</c:v>
                </c:pt>
                <c:pt idx="291">
                  <c:v>-2.235751578060469E-2</c:v>
                </c:pt>
                <c:pt idx="292">
                  <c:v>-2.1033821713350186E-2</c:v>
                </c:pt>
                <c:pt idx="293">
                  <c:v>-2.3228640233890728E-2</c:v>
                </c:pt>
                <c:pt idx="294">
                  <c:v>-2.1466100056671003E-2</c:v>
                </c:pt>
                <c:pt idx="295">
                  <c:v>-2.2999379690404623E-2</c:v>
                </c:pt>
                <c:pt idx="296">
                  <c:v>-2.1471020615173853E-2</c:v>
                </c:pt>
                <c:pt idx="297">
                  <c:v>-2.0552295516238356E-2</c:v>
                </c:pt>
                <c:pt idx="298">
                  <c:v>-9.4579158337057909E-3</c:v>
                </c:pt>
                <c:pt idx="299">
                  <c:v>-1.6233011193594937E-2</c:v>
                </c:pt>
                <c:pt idx="300">
                  <c:v>-1.4746234480628907E-2</c:v>
                </c:pt>
                <c:pt idx="301">
                  <c:v>-1.1839773814755448E-2</c:v>
                </c:pt>
                <c:pt idx="302">
                  <c:v>-1.6429372813573498E-2</c:v>
                </c:pt>
                <c:pt idx="303">
                  <c:v>-1.5434938902694643E-2</c:v>
                </c:pt>
                <c:pt idx="304">
                  <c:v>-1.8392799785441588E-2</c:v>
                </c:pt>
                <c:pt idx="305">
                  <c:v>-2.0916422238610018E-2</c:v>
                </c:pt>
                <c:pt idx="306">
                  <c:v>-2.2773060217128535E-2</c:v>
                </c:pt>
                <c:pt idx="307">
                  <c:v>-2.3868260106553824E-2</c:v>
                </c:pt>
                <c:pt idx="308">
                  <c:v>-2.5262806833165116E-2</c:v>
                </c:pt>
                <c:pt idx="309">
                  <c:v>-2.4779134410332745E-2</c:v>
                </c:pt>
                <c:pt idx="310">
                  <c:v>-2.3009962243087958E-2</c:v>
                </c:pt>
                <c:pt idx="311">
                  <c:v>-2.2426532121519332E-2</c:v>
                </c:pt>
                <c:pt idx="312">
                  <c:v>-2.0583996221481528E-2</c:v>
                </c:pt>
                <c:pt idx="313">
                  <c:v>-2.0787578376450469E-2</c:v>
                </c:pt>
                <c:pt idx="314">
                  <c:v>-1.7487486936450469E-2</c:v>
                </c:pt>
                <c:pt idx="315">
                  <c:v>-1.7000510795563768E-2</c:v>
                </c:pt>
                <c:pt idx="316">
                  <c:v>-1.5667856710734507E-2</c:v>
                </c:pt>
                <c:pt idx="317">
                  <c:v>-1.6575481510746573E-2</c:v>
                </c:pt>
                <c:pt idx="318">
                  <c:v>-2.0190359908952238E-2</c:v>
                </c:pt>
                <c:pt idx="319">
                  <c:v>-1.4736748606985576E-2</c:v>
                </c:pt>
                <c:pt idx="320">
                  <c:v>-1.8108826558492424E-2</c:v>
                </c:pt>
                <c:pt idx="321">
                  <c:v>-1.8930815056202352E-2</c:v>
                </c:pt>
                <c:pt idx="322">
                  <c:v>-1.473892425034869E-2</c:v>
                </c:pt>
                <c:pt idx="323">
                  <c:v>-3.4505306566417998E-3</c:v>
                </c:pt>
                <c:pt idx="324">
                  <c:v>-7.4347170256377796E-3</c:v>
                </c:pt>
                <c:pt idx="325">
                  <c:v>-7.5052787706713399E-3</c:v>
                </c:pt>
                <c:pt idx="326">
                  <c:v>-8.091507788276971E-3</c:v>
                </c:pt>
                <c:pt idx="327">
                  <c:v>-9.3224520082769696E-3</c:v>
                </c:pt>
                <c:pt idx="328">
                  <c:v>-7.207755422488353E-3</c:v>
                </c:pt>
                <c:pt idx="329">
                  <c:v>-1.0464586250919356E-2</c:v>
                </c:pt>
                <c:pt idx="330">
                  <c:v>-1.0987064292265512E-2</c:v>
                </c:pt>
                <c:pt idx="331">
                  <c:v>-7.6051949134476101E-3</c:v>
                </c:pt>
                <c:pt idx="332">
                  <c:v>-6.5816791601276872E-3</c:v>
                </c:pt>
                <c:pt idx="333">
                  <c:v>-7.5218735420313028E-3</c:v>
                </c:pt>
                <c:pt idx="334">
                  <c:v>-6.9089933987227532E-3</c:v>
                </c:pt>
                <c:pt idx="335">
                  <c:v>-7.8828276977979464E-3</c:v>
                </c:pt>
                <c:pt idx="336">
                  <c:v>-7.8531832840712419E-3</c:v>
                </c:pt>
                <c:pt idx="337">
                  <c:v>-5.3349501890614199E-3</c:v>
                </c:pt>
                <c:pt idx="338">
                  <c:v>-6.2269788332474669E-3</c:v>
                </c:pt>
                <c:pt idx="339">
                  <c:v>-4.5311707517188063E-3</c:v>
                </c:pt>
                <c:pt idx="340">
                  <c:v>-3.7036339263237547E-3</c:v>
                </c:pt>
                <c:pt idx="341">
                  <c:v>-5.6584318281237547E-3</c:v>
                </c:pt>
                <c:pt idx="342">
                  <c:v>-3.1513367682389176E-3</c:v>
                </c:pt>
                <c:pt idx="343">
                  <c:v>-3.0400264568387269E-3</c:v>
                </c:pt>
                <c:pt idx="344">
                  <c:v>-1.905597127061779E-3</c:v>
                </c:pt>
                <c:pt idx="345">
                  <c:v>-4.1610785370617782E-3</c:v>
                </c:pt>
                <c:pt idx="346">
                  <c:v>-3.225382473293664E-3</c:v>
                </c:pt>
                <c:pt idx="347">
                  <c:v>-3.4383869169098981E-3</c:v>
                </c:pt>
                <c:pt idx="348">
                  <c:v>-5.603702554581745E-4</c:v>
                </c:pt>
                <c:pt idx="349">
                  <c:v>-3.2573811753226897E-3</c:v>
                </c:pt>
                <c:pt idx="350">
                  <c:v>-4.0649091333226891E-3</c:v>
                </c:pt>
                <c:pt idx="351">
                  <c:v>-7.4213876011666137E-3</c:v>
                </c:pt>
                <c:pt idx="352">
                  <c:v>-6.8064653579278881E-3</c:v>
                </c:pt>
                <c:pt idx="353">
                  <c:v>-7.5419356262975603E-3</c:v>
                </c:pt>
                <c:pt idx="354">
                  <c:v>-1.0086169724765831E-2</c:v>
                </c:pt>
                <c:pt idx="355">
                  <c:v>-8.06639550377573E-3</c:v>
                </c:pt>
                <c:pt idx="356">
                  <c:v>-7.8308788682128119E-3</c:v>
                </c:pt>
                <c:pt idx="357">
                  <c:v>-1.1416465382300983E-2</c:v>
                </c:pt>
                <c:pt idx="358">
                  <c:v>-9.5872469656343197E-3</c:v>
                </c:pt>
                <c:pt idx="359">
                  <c:v>-1.0377032801537924E-2</c:v>
                </c:pt>
                <c:pt idx="360">
                  <c:v>-1.2027336686225427E-2</c:v>
                </c:pt>
                <c:pt idx="361">
                  <c:v>-1.0577088519931719E-2</c:v>
                </c:pt>
                <c:pt idx="362">
                  <c:v>-9.7824712824685911E-3</c:v>
                </c:pt>
                <c:pt idx="363">
                  <c:v>-7.3267501831958725E-3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1-4FF8-8147-84866C4D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939584"/>
        <c:axId val="314941248"/>
      </c:lineChart>
      <c:dateAx>
        <c:axId val="314939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41248"/>
        <c:crosses val="autoZero"/>
        <c:auto val="1"/>
        <c:lblOffset val="100"/>
        <c:baseTimeUnit val="days"/>
      </c:dateAx>
      <c:valAx>
        <c:axId val="31494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BFCFFA2-0CEB-46BC-ACE1-9A623C13E243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9C143C-129F-49B1-8CCE-8C7F2C9196F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286" priority="3" operator="equal">
      <formula>$U$1</formula>
    </cfRule>
    <cfRule type="cellIs" dxfId="285" priority="4" operator="equal">
      <formula>$S$1</formula>
    </cfRule>
  </conditionalFormatting>
  <conditionalFormatting sqref="D136">
    <cfRule type="cellIs" dxfId="284" priority="1" operator="equal">
      <formula>$S$1</formula>
    </cfRule>
    <cfRule type="cellIs" dxfId="283" priority="2" operator="equal">
      <formula>$U$1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V525" sqref="GV52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$A$524</v>
      </c>
      <c r="D111" s="1" t="str">
        <f>ADDRESS(C121-1,D121,1,1)</f>
        <v>$GV$524</v>
      </c>
      <c r="E111"/>
    </row>
    <row r="112" spans="1:5" x14ac:dyDescent="0.25">
      <c r="A112" s="7">
        <v>12164.144957890772</v>
      </c>
      <c r="C112" s="1" t="str">
        <f>ADDRESS(C121,1,1,1)</f>
        <v>$A$525</v>
      </c>
      <c r="D112" s="1" t="str">
        <f>ADDRESS(C121,D121-1,1,1)</f>
        <v>$GU$525</v>
      </c>
      <c r="E112"/>
    </row>
    <row r="113" spans="1:5" x14ac:dyDescent="0.25">
      <c r="A113" s="7">
        <v>11925.63231165762</v>
      </c>
      <c r="C113" s="1" t="str">
        <f>ADDRESS(C121+1,1,1,1)</f>
        <v>$A$526</v>
      </c>
      <c r="D113" s="1" t="str">
        <f>ADDRESS(C121-1,D121+1,1,1)</f>
        <v>$GW$524</v>
      </c>
    </row>
    <row r="114" spans="1:5" x14ac:dyDescent="0.25">
      <c r="A114" s="7">
        <v>11691.796383978059</v>
      </c>
      <c r="C114" s="1" t="str">
        <f>ADDRESS(C121,D121,1,1)</f>
        <v>$GV$525</v>
      </c>
      <c r="D114" s="1" t="str">
        <f>ADDRESS(C121+1,D121+1,1,1)</f>
        <v>$GW$526</v>
      </c>
    </row>
    <row r="115" spans="1:5" x14ac:dyDescent="0.25">
      <c r="A115" s="7">
        <v>11462.545474488292</v>
      </c>
      <c r="C115" s="1" t="str">
        <f>ADDRESS(C121+1,D121,1,1)</f>
        <v>$GV$526</v>
      </c>
    </row>
    <row r="116" spans="1:5" x14ac:dyDescent="0.25">
      <c r="A116" s="7">
        <v>11237.789680870874</v>
      </c>
      <c r="C116" s="1">
        <f>C117-1</f>
        <v>524</v>
      </c>
    </row>
    <row r="117" spans="1:5" x14ac:dyDescent="0.25">
      <c r="A117" s="7">
        <v>11017.440863598895</v>
      </c>
      <c r="C117" s="1">
        <f>C121</f>
        <v>525</v>
      </c>
      <c r="D117" s="1">
        <f>D121</f>
        <v>204</v>
      </c>
    </row>
    <row r="118" spans="1:5" x14ac:dyDescent="0.25">
      <c r="A118" s="7">
        <v>10801.412611371465</v>
      </c>
      <c r="C118" s="1">
        <f>C117+1</f>
        <v>526</v>
      </c>
      <c r="D118" s="1">
        <f>D117+1</f>
        <v>205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525</v>
      </c>
      <c r="D121" s="19">
        <v>204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R525</v>
      </c>
      <c r="D123" s="1" t="str">
        <f>"C"&amp;D121</f>
        <v>C204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3.4135844322153761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65" x14ac:dyDescent="0.25">
      <c r="A417" s="7">
        <v>28.975383953883185</v>
      </c>
      <c r="B417"/>
      <c r="C417"/>
      <c r="D417"/>
      <c r="E417"/>
    </row>
    <row r="418" spans="1:65" x14ac:dyDescent="0.25">
      <c r="A418" s="7">
        <v>28.407239170473709</v>
      </c>
      <c r="B418"/>
      <c r="C418"/>
      <c r="D418"/>
      <c r="E418"/>
    </row>
    <row r="419" spans="1:65" x14ac:dyDescent="0.25">
      <c r="A419" s="7">
        <v>27.850234480856578</v>
      </c>
      <c r="B419"/>
      <c r="C419"/>
      <c r="D419"/>
      <c r="E419"/>
    </row>
    <row r="420" spans="1:65" x14ac:dyDescent="0.25">
      <c r="A420" s="7">
        <v>27.304151451820175</v>
      </c>
      <c r="B420"/>
      <c r="C420"/>
      <c r="D420"/>
      <c r="E420"/>
    </row>
    <row r="421" spans="1:65" x14ac:dyDescent="0.25">
      <c r="A421" s="7">
        <v>26.768775933157034</v>
      </c>
      <c r="B421"/>
      <c r="C421"/>
      <c r="D421"/>
      <c r="E421"/>
    </row>
    <row r="422" spans="1:65" x14ac:dyDescent="0.25">
      <c r="A422" s="7">
        <v>26.243897973683367</v>
      </c>
      <c r="B422"/>
      <c r="C422"/>
      <c r="D422"/>
      <c r="E422"/>
    </row>
    <row r="423" spans="1:65" x14ac:dyDescent="0.25">
      <c r="A423" s="7">
        <v>25.729311738905263</v>
      </c>
      <c r="B423"/>
      <c r="C423"/>
      <c r="D423"/>
      <c r="E423"/>
    </row>
    <row r="424" spans="1:65" x14ac:dyDescent="0.25">
      <c r="A424" s="7">
        <v>25.224815430299277</v>
      </c>
      <c r="B424"/>
      <c r="C424"/>
      <c r="D424"/>
      <c r="E424"/>
      <c r="BK424" s="27" t="s">
        <v>8</v>
      </c>
    </row>
    <row r="425" spans="1:65" x14ac:dyDescent="0.25">
      <c r="A425" s="7">
        <v>24.73021120617576</v>
      </c>
      <c r="B425"/>
      <c r="C425"/>
      <c r="D425"/>
      <c r="E425"/>
      <c r="BK425" s="27" t="s">
        <v>8</v>
      </c>
      <c r="BL425" s="27" t="s">
        <v>7</v>
      </c>
    </row>
    <row r="426" spans="1:65" x14ac:dyDescent="0.25">
      <c r="A426" s="7">
        <v>24.24530510409388</v>
      </c>
      <c r="B426"/>
      <c r="C426"/>
      <c r="D426"/>
      <c r="E426"/>
      <c r="BK426" s="27" t="s">
        <v>8</v>
      </c>
      <c r="BL426" s="27" t="s">
        <v>7</v>
      </c>
    </row>
    <row r="427" spans="1:65" x14ac:dyDescent="0.25">
      <c r="A427" s="7">
        <v>23.769906964797922</v>
      </c>
      <c r="B427"/>
      <c r="C427"/>
      <c r="D427"/>
      <c r="E427"/>
      <c r="BK427" s="27" t="s">
        <v>8</v>
      </c>
      <c r="BL427" s="27" t="s">
        <v>7</v>
      </c>
    </row>
    <row r="428" spans="1:65" x14ac:dyDescent="0.25">
      <c r="A428" s="7">
        <v>23.303830357645023</v>
      </c>
      <c r="B428"/>
      <c r="C428"/>
      <c r="D428"/>
      <c r="E428"/>
      <c r="BK428" s="27" t="s">
        <v>8</v>
      </c>
      <c r="BL428" s="27" t="s">
        <v>7</v>
      </c>
    </row>
    <row r="429" spans="1:65" x14ac:dyDescent="0.25">
      <c r="A429" s="7">
        <v>22.84689250749512</v>
      </c>
      <c r="B429"/>
      <c r="C429"/>
      <c r="D429"/>
      <c r="E429"/>
      <c r="BK429" s="27" t="s">
        <v>8</v>
      </c>
      <c r="BL429" s="27" t="s">
        <v>7</v>
      </c>
    </row>
    <row r="430" spans="1:65" x14ac:dyDescent="0.25">
      <c r="A430" s="7">
        <v>22.398914223034431</v>
      </c>
      <c r="B430"/>
      <c r="C430"/>
      <c r="D430"/>
      <c r="E430"/>
      <c r="BK430" s="27" t="s">
        <v>8</v>
      </c>
      <c r="BL430" s="27" t="s">
        <v>7</v>
      </c>
    </row>
    <row r="431" spans="1:65" x14ac:dyDescent="0.25">
      <c r="A431" s="7">
        <v>21.959719826504344</v>
      </c>
      <c r="B431"/>
      <c r="C431"/>
      <c r="D431"/>
      <c r="E431"/>
      <c r="BK431" s="27" t="s">
        <v>8</v>
      </c>
      <c r="BL431" s="27" t="s">
        <v>7</v>
      </c>
    </row>
    <row r="432" spans="1:65" x14ac:dyDescent="0.25">
      <c r="A432" s="7">
        <v>21.52913708480818</v>
      </c>
      <c r="B432"/>
      <c r="C432"/>
      <c r="D432"/>
      <c r="E432"/>
      <c r="BK432" s="27" t="s">
        <v>8</v>
      </c>
      <c r="BL432" s="27" t="s">
        <v>7</v>
      </c>
      <c r="BM432" s="27" t="s">
        <v>8</v>
      </c>
    </row>
    <row r="433" spans="1:68" x14ac:dyDescent="0.25">
      <c r="A433" s="7">
        <v>21.106997141968804</v>
      </c>
      <c r="B433"/>
      <c r="C433"/>
      <c r="D433"/>
      <c r="E433"/>
      <c r="BK433" s="27" t="s">
        <v>8</v>
      </c>
      <c r="BL433" s="27" t="s">
        <v>7</v>
      </c>
      <c r="BM433" s="27" t="s">
        <v>8</v>
      </c>
      <c r="BN433" s="27" t="s">
        <v>7</v>
      </c>
    </row>
    <row r="434" spans="1:68" x14ac:dyDescent="0.25">
      <c r="A434" s="7">
        <v>20.693134452910591</v>
      </c>
      <c r="B434"/>
      <c r="C434"/>
      <c r="D434"/>
      <c r="E434"/>
      <c r="BK434" s="27" t="s">
        <v>8</v>
      </c>
      <c r="BL434" s="27" t="s">
        <v>7</v>
      </c>
      <c r="BM434" s="27" t="s">
        <v>8</v>
      </c>
      <c r="BN434" s="27" t="s">
        <v>7</v>
      </c>
    </row>
    <row r="435" spans="1:68" x14ac:dyDescent="0.25">
      <c r="A435" s="7">
        <v>20.287386718539796</v>
      </c>
      <c r="B435"/>
      <c r="C435"/>
      <c r="D435"/>
      <c r="E435"/>
      <c r="BK435" s="27" t="s">
        <v>8</v>
      </c>
      <c r="BL435" s="27" t="s">
        <v>7</v>
      </c>
      <c r="BM435" s="27" t="s">
        <v>8</v>
      </c>
      <c r="BN435" s="27" t="s">
        <v>7</v>
      </c>
    </row>
    <row r="436" spans="1:68" x14ac:dyDescent="0.25">
      <c r="A436" s="7">
        <v>19.889594822097838</v>
      </c>
      <c r="B436"/>
      <c r="C436"/>
      <c r="D436"/>
      <c r="E436"/>
      <c r="BK436" s="27" t="s">
        <v>8</v>
      </c>
      <c r="BL436" s="27" t="s">
        <v>7</v>
      </c>
      <c r="BM436" s="27" t="s">
        <v>8</v>
      </c>
      <c r="BN436" s="27" t="s">
        <v>7</v>
      </c>
    </row>
    <row r="437" spans="1:68" x14ac:dyDescent="0.25">
      <c r="A437" s="7">
        <v>19.499602766762585</v>
      </c>
      <c r="B437"/>
      <c r="C437"/>
      <c r="D437"/>
      <c r="E437"/>
      <c r="BK437" s="27" t="s">
        <v>8</v>
      </c>
      <c r="BL437" s="27" t="s">
        <v>7</v>
      </c>
      <c r="BM437" s="27" t="s">
        <v>8</v>
      </c>
      <c r="BN437" s="27" t="s">
        <v>7</v>
      </c>
    </row>
    <row r="438" spans="1:68" x14ac:dyDescent="0.25">
      <c r="A438" s="7">
        <v>19.117257614473122</v>
      </c>
      <c r="B438"/>
      <c r="C438"/>
      <c r="D438"/>
      <c r="E438"/>
      <c r="BK438" s="27" t="s">
        <v>8</v>
      </c>
      <c r="BL438" s="27" t="s">
        <v>7</v>
      </c>
      <c r="BM438" s="27" t="s">
        <v>8</v>
      </c>
      <c r="BN438" s="27" t="s">
        <v>7</v>
      </c>
    </row>
    <row r="439" spans="1:68" x14ac:dyDescent="0.25">
      <c r="A439" s="7">
        <v>18.74240942595404</v>
      </c>
      <c r="B439"/>
      <c r="C439"/>
      <c r="D439"/>
      <c r="E439"/>
      <c r="BK439" s="27" t="s">
        <v>8</v>
      </c>
      <c r="BL439" s="27" t="s">
        <v>7</v>
      </c>
      <c r="BM439" s="27" t="s">
        <v>8</v>
      </c>
      <c r="BN439" s="27" t="s">
        <v>7</v>
      </c>
    </row>
    <row r="440" spans="1:68" x14ac:dyDescent="0.25">
      <c r="A440" s="7">
        <v>18.374911201915726</v>
      </c>
      <c r="B440"/>
      <c r="C440"/>
      <c r="D440"/>
      <c r="E440"/>
      <c r="BK440" s="27" t="s">
        <v>8</v>
      </c>
      <c r="BL440" s="27" t="s">
        <v>7</v>
      </c>
      <c r="BM440" s="27" t="s">
        <v>8</v>
      </c>
      <c r="BN440" s="27" t="s">
        <v>7</v>
      </c>
    </row>
    <row r="441" spans="1:68" x14ac:dyDescent="0.25">
      <c r="A441" s="7">
        <v>18.014618825407574</v>
      </c>
      <c r="B441"/>
      <c r="C441"/>
      <c r="D441"/>
      <c r="E441"/>
      <c r="BK441" s="27" t="s">
        <v>8</v>
      </c>
      <c r="BL441" s="27" t="s">
        <v>7</v>
      </c>
      <c r="BM441" s="27" t="s">
        <v>8</v>
      </c>
      <c r="BN441" s="27" t="s">
        <v>7</v>
      </c>
    </row>
    <row r="442" spans="1:68" x14ac:dyDescent="0.25">
      <c r="A442" s="7">
        <v>17.661391005301542</v>
      </c>
      <c r="B442"/>
      <c r="C442"/>
      <c r="D442"/>
      <c r="E442"/>
      <c r="BK442" s="27" t="s">
        <v>8</v>
      </c>
      <c r="BL442" s="27" t="s">
        <v>7</v>
      </c>
      <c r="BM442" s="27" t="s">
        <v>8</v>
      </c>
      <c r="BN442" s="27" t="s">
        <v>7</v>
      </c>
    </row>
    <row r="443" spans="1:68" x14ac:dyDescent="0.25">
      <c r="A443" s="7">
        <v>17.315089220883866</v>
      </c>
      <c r="B443"/>
      <c r="C443"/>
      <c r="D443"/>
      <c r="E443"/>
      <c r="BK443" s="27" t="s">
        <v>8</v>
      </c>
      <c r="BL443" s="27" t="s">
        <v>7</v>
      </c>
      <c r="BM443" s="27" t="s">
        <v>8</v>
      </c>
      <c r="BN443" s="27" t="s">
        <v>7</v>
      </c>
    </row>
    <row r="444" spans="1:68" x14ac:dyDescent="0.25">
      <c r="A444" s="7">
        <v>16.975577667533202</v>
      </c>
      <c r="B444"/>
      <c r="C444"/>
      <c r="D444"/>
      <c r="E444"/>
      <c r="AW444" s="27" t="s">
        <v>8</v>
      </c>
      <c r="BK444" s="27" t="s">
        <v>8</v>
      </c>
      <c r="BL444" s="27" t="s">
        <v>7</v>
      </c>
      <c r="BM444" s="27" t="s">
        <v>8</v>
      </c>
      <c r="BN444" s="27" t="s">
        <v>7</v>
      </c>
    </row>
    <row r="445" spans="1:68" x14ac:dyDescent="0.25">
      <c r="A445" s="7">
        <v>16.642723203463923</v>
      </c>
      <c r="B445"/>
      <c r="C445"/>
      <c r="D445"/>
      <c r="E445"/>
      <c r="AW445" s="27" t="s">
        <v>8</v>
      </c>
      <c r="AX445" s="27" t="s">
        <v>7</v>
      </c>
      <c r="BK445" s="27" t="s">
        <v>8</v>
      </c>
      <c r="BL445" s="27" t="s">
        <v>7</v>
      </c>
      <c r="BM445" s="27" t="s">
        <v>8</v>
      </c>
      <c r="BN445" s="27" t="s">
        <v>7</v>
      </c>
      <c r="BO445" s="27" t="s">
        <v>8</v>
      </c>
    </row>
    <row r="446" spans="1:68" x14ac:dyDescent="0.25">
      <c r="A446" s="7">
        <v>16.316395297513651</v>
      </c>
      <c r="B446"/>
      <c r="C446"/>
      <c r="D446"/>
      <c r="E446"/>
      <c r="AW446" s="27" t="s">
        <v>8</v>
      </c>
      <c r="AX446" s="27" t="s">
        <v>7</v>
      </c>
      <c r="BK446" s="27" t="s">
        <v>8</v>
      </c>
      <c r="BL446" s="27" t="s">
        <v>7</v>
      </c>
      <c r="BM446" s="27" t="s">
        <v>8</v>
      </c>
      <c r="BN446" s="27" t="s">
        <v>7</v>
      </c>
      <c r="BO446" s="27" t="s">
        <v>8</v>
      </c>
      <c r="BP446" s="27" t="s">
        <v>7</v>
      </c>
    </row>
    <row r="447" spans="1:68" x14ac:dyDescent="0.25">
      <c r="A447" s="7">
        <v>15.996465977954561</v>
      </c>
      <c r="B447"/>
      <c r="C447"/>
      <c r="D447"/>
      <c r="E447"/>
      <c r="AW447" s="27" t="s">
        <v>8</v>
      </c>
      <c r="AX447" s="27" t="s">
        <v>7</v>
      </c>
      <c r="BK447" s="27" t="s">
        <v>8</v>
      </c>
      <c r="BL447" s="27" t="s">
        <v>7</v>
      </c>
      <c r="BM447" s="27" t="s">
        <v>8</v>
      </c>
      <c r="BN447" s="27" t="s">
        <v>7</v>
      </c>
      <c r="BO447" s="27" t="s">
        <v>8</v>
      </c>
      <c r="BP447" s="27" t="s">
        <v>7</v>
      </c>
    </row>
    <row r="448" spans="1:68" x14ac:dyDescent="0.25">
      <c r="A448" s="7">
        <v>15.682809782308393</v>
      </c>
      <c r="B448"/>
      <c r="C448"/>
      <c r="D448"/>
      <c r="E448"/>
      <c r="AW448" s="27" t="s">
        <v>8</v>
      </c>
      <c r="AX448" s="27" t="s">
        <v>7</v>
      </c>
      <c r="BK448" s="27" t="s">
        <v>8</v>
      </c>
      <c r="BL448" s="27" t="s">
        <v>7</v>
      </c>
      <c r="BM448" s="27" t="s">
        <v>8</v>
      </c>
      <c r="BN448" s="27" t="s">
        <v>7</v>
      </c>
      <c r="BO448" s="27" t="s">
        <v>8</v>
      </c>
      <c r="BP448" s="27" t="s">
        <v>7</v>
      </c>
    </row>
    <row r="449" spans="1:156" x14ac:dyDescent="0.25">
      <c r="A449" s="7">
        <v>15.375303708145482</v>
      </c>
      <c r="B449"/>
      <c r="C449"/>
      <c r="D449"/>
      <c r="E449"/>
      <c r="AW449" s="27" t="s">
        <v>8</v>
      </c>
      <c r="AX449" s="27" t="s">
        <v>7</v>
      </c>
      <c r="BK449" s="27" t="s">
        <v>8</v>
      </c>
      <c r="BL449" s="27" t="s">
        <v>7</v>
      </c>
      <c r="BM449" s="27" t="s">
        <v>8</v>
      </c>
      <c r="BN449" s="27" t="s">
        <v>7</v>
      </c>
      <c r="BO449" s="27" t="s">
        <v>8</v>
      </c>
      <c r="BP449" s="27" t="s">
        <v>7</v>
      </c>
    </row>
    <row r="450" spans="1:156" x14ac:dyDescent="0.25">
      <c r="A450" s="7">
        <v>15.073827164848511</v>
      </c>
      <c r="B450"/>
      <c r="C450"/>
      <c r="D450"/>
      <c r="E450"/>
      <c r="AW450" s="27" t="s">
        <v>8</v>
      </c>
      <c r="AX450" s="27" t="s">
        <v>7</v>
      </c>
      <c r="BK450" s="27" t="s">
        <v>8</v>
      </c>
      <c r="BL450" s="27" t="s">
        <v>7</v>
      </c>
      <c r="BN450" s="27" t="s">
        <v>7</v>
      </c>
      <c r="BO450" s="27" t="s">
        <v>8</v>
      </c>
      <c r="BP450" s="27" t="s">
        <v>7</v>
      </c>
    </row>
    <row r="451" spans="1:156" x14ac:dyDescent="0.25">
      <c r="A451" s="7">
        <v>14.77826192632207</v>
      </c>
      <c r="B451"/>
      <c r="C451"/>
      <c r="D451"/>
      <c r="E451"/>
      <c r="AW451" s="27" t="s">
        <v>8</v>
      </c>
      <c r="AX451" s="27" t="s">
        <v>7</v>
      </c>
      <c r="BK451" s="27" t="s">
        <v>8</v>
      </c>
      <c r="BN451" s="27" t="s">
        <v>7</v>
      </c>
      <c r="BO451" s="27" t="s">
        <v>8</v>
      </c>
      <c r="BP451" s="27" t="s">
        <v>7</v>
      </c>
    </row>
    <row r="452" spans="1:156" x14ac:dyDescent="0.25">
      <c r="A452" s="7">
        <v>14.488492084629481</v>
      </c>
      <c r="B452"/>
      <c r="C452"/>
      <c r="D452"/>
      <c r="E452"/>
      <c r="AW452" s="27" t="s">
        <v>8</v>
      </c>
      <c r="AX452" s="27" t="s">
        <v>7</v>
      </c>
      <c r="AY452" s="27" t="s">
        <v>8</v>
      </c>
      <c r="BK452" s="27" t="s">
        <v>8</v>
      </c>
      <c r="BN452" s="27" t="s">
        <v>7</v>
      </c>
      <c r="BO452" s="27" t="s">
        <v>8</v>
      </c>
      <c r="BP452" s="27" t="s">
        <v>7</v>
      </c>
    </row>
    <row r="453" spans="1:156" x14ac:dyDescent="0.25">
      <c r="A453" s="7">
        <v>14.204404004538707</v>
      </c>
      <c r="B453"/>
      <c r="C453"/>
      <c r="D453"/>
      <c r="E453"/>
      <c r="AS453" s="27" t="s">
        <v>8</v>
      </c>
      <c r="AW453" s="27" t="s">
        <v>8</v>
      </c>
      <c r="AX453" s="27" t="s">
        <v>7</v>
      </c>
      <c r="AY453" s="27" t="s">
        <v>8</v>
      </c>
      <c r="AZ453" s="27" t="s">
        <v>7</v>
      </c>
      <c r="BK453" s="27" t="s">
        <v>8</v>
      </c>
      <c r="BN453" s="27" t="s">
        <v>7</v>
      </c>
      <c r="BO453" s="27" t="s">
        <v>8</v>
      </c>
      <c r="BP453" s="27" t="s">
        <v>7</v>
      </c>
    </row>
    <row r="454" spans="1:156" x14ac:dyDescent="0.25">
      <c r="A454" s="7">
        <v>13.925886278959517</v>
      </c>
      <c r="B454"/>
      <c r="C454"/>
      <c r="D454"/>
      <c r="E454"/>
      <c r="AO454" s="27" t="s">
        <v>8</v>
      </c>
      <c r="AS454" s="27" t="s">
        <v>8</v>
      </c>
      <c r="AT454" s="27" t="s">
        <v>7</v>
      </c>
      <c r="AW454" s="27" t="s">
        <v>8</v>
      </c>
      <c r="AX454" s="27" t="s">
        <v>7</v>
      </c>
      <c r="AY454" s="27" t="s">
        <v>8</v>
      </c>
      <c r="AZ454" s="27" t="s">
        <v>7</v>
      </c>
      <c r="BI454" s="27" t="s">
        <v>8</v>
      </c>
      <c r="BK454" s="27" t="s">
        <v>8</v>
      </c>
      <c r="BN454" s="27" t="s">
        <v>7</v>
      </c>
      <c r="BO454" s="27" t="s">
        <v>8</v>
      </c>
      <c r="BP454" s="27" t="s">
        <v>7</v>
      </c>
      <c r="BQ454" s="27" t="s">
        <v>8</v>
      </c>
    </row>
    <row r="455" spans="1:156" x14ac:dyDescent="0.25">
      <c r="A455" s="7">
        <v>13.652829685254428</v>
      </c>
      <c r="B455"/>
      <c r="C455"/>
      <c r="D455"/>
      <c r="E455"/>
      <c r="AO455" s="27" t="s">
        <v>8</v>
      </c>
      <c r="AP455" s="27" t="s">
        <v>7</v>
      </c>
      <c r="AS455" s="27" t="s">
        <v>8</v>
      </c>
      <c r="AT455" s="27" t="s">
        <v>7</v>
      </c>
      <c r="AW455" s="27" t="s">
        <v>8</v>
      </c>
      <c r="AX455" s="27" t="s">
        <v>7</v>
      </c>
      <c r="AY455" s="27" t="s">
        <v>8</v>
      </c>
      <c r="AZ455" s="27" t="s">
        <v>7</v>
      </c>
      <c r="BI455" s="27" t="s">
        <v>8</v>
      </c>
      <c r="BJ455" s="27" t="s">
        <v>7</v>
      </c>
      <c r="BK455" s="27" t="s">
        <v>8</v>
      </c>
      <c r="BN455" s="27" t="s">
        <v>7</v>
      </c>
      <c r="BP455" s="27" t="s">
        <v>7</v>
      </c>
      <c r="BQ455" s="27" t="s">
        <v>8</v>
      </c>
      <c r="BR455" s="27" t="s">
        <v>7</v>
      </c>
    </row>
    <row r="456" spans="1:156" x14ac:dyDescent="0.25">
      <c r="A456" s="7">
        <v>13.385127142406303</v>
      </c>
      <c r="B456"/>
      <c r="C456"/>
      <c r="D456"/>
      <c r="E456"/>
      <c r="AO456" s="27" t="s">
        <v>8</v>
      </c>
      <c r="AP456" s="27" t="s">
        <v>7</v>
      </c>
      <c r="AS456" s="27" t="s">
        <v>8</v>
      </c>
      <c r="AT456" s="27" t="s">
        <v>7</v>
      </c>
      <c r="AU456" s="27" t="s">
        <v>8</v>
      </c>
      <c r="AW456" s="27" t="s">
        <v>8</v>
      </c>
      <c r="AX456" s="27" t="s">
        <v>7</v>
      </c>
      <c r="AY456" s="27" t="s">
        <v>8</v>
      </c>
      <c r="AZ456" s="27" t="s">
        <v>7</v>
      </c>
      <c r="BI456" s="27" t="s">
        <v>8</v>
      </c>
      <c r="BJ456" s="27" t="s">
        <v>7</v>
      </c>
      <c r="BK456" s="27" t="s">
        <v>8</v>
      </c>
      <c r="BP456" s="27" t="s">
        <v>7</v>
      </c>
      <c r="BQ456" s="27" t="s">
        <v>8</v>
      </c>
      <c r="BR456" s="27" t="s">
        <v>7</v>
      </c>
    </row>
    <row r="457" spans="1:156" x14ac:dyDescent="0.25">
      <c r="A457" s="7">
        <v>13.122673669025787</v>
      </c>
      <c r="B457"/>
      <c r="C457"/>
      <c r="D457"/>
      <c r="E457"/>
      <c r="AO457" s="27" t="s">
        <v>8</v>
      </c>
      <c r="AP457" s="27" t="s">
        <v>7</v>
      </c>
      <c r="AS457" s="27" t="s">
        <v>8</v>
      </c>
      <c r="AT457" s="27" t="s">
        <v>7</v>
      </c>
      <c r="AU457" s="27" t="s">
        <v>8</v>
      </c>
      <c r="AV457" s="27" t="s">
        <v>7</v>
      </c>
      <c r="AW457" s="27" t="s">
        <v>8</v>
      </c>
      <c r="AX457" s="27" t="s">
        <v>7</v>
      </c>
      <c r="AY457" s="27" t="s">
        <v>8</v>
      </c>
      <c r="AZ457" s="27" t="s">
        <v>7</v>
      </c>
      <c r="BI457" s="27" t="s">
        <v>8</v>
      </c>
      <c r="BJ457" s="27" t="s">
        <v>7</v>
      </c>
      <c r="BK457" s="27" t="s">
        <v>8</v>
      </c>
      <c r="BP457" s="27" t="s">
        <v>7</v>
      </c>
      <c r="BQ457" s="27" t="s">
        <v>8</v>
      </c>
      <c r="BR457" s="27" t="s">
        <v>7</v>
      </c>
    </row>
    <row r="458" spans="1:156" x14ac:dyDescent="0.25">
      <c r="A458" s="7">
        <v>12.865366342182144</v>
      </c>
      <c r="B458"/>
      <c r="C458"/>
      <c r="D458"/>
      <c r="E458"/>
      <c r="AO458" s="27" t="s">
        <v>8</v>
      </c>
      <c r="AP458" s="27" t="s">
        <v>7</v>
      </c>
      <c r="AS458" s="27" t="s">
        <v>8</v>
      </c>
      <c r="AT458" s="27" t="s">
        <v>7</v>
      </c>
      <c r="AU458" s="27" t="s">
        <v>8</v>
      </c>
      <c r="AV458" s="27" t="s">
        <v>7</v>
      </c>
      <c r="AW458" s="27" t="s">
        <v>8</v>
      </c>
      <c r="AX458" s="27" t="s">
        <v>7</v>
      </c>
      <c r="AY458" s="27" t="s">
        <v>8</v>
      </c>
      <c r="AZ458" s="27" t="s">
        <v>7</v>
      </c>
      <c r="BA458" s="27" t="s">
        <v>8</v>
      </c>
      <c r="BI458" s="27" t="s">
        <v>8</v>
      </c>
      <c r="BJ458" s="27" t="s">
        <v>7</v>
      </c>
      <c r="BK458" s="27" t="s">
        <v>8</v>
      </c>
      <c r="BP458" s="27" t="s">
        <v>7</v>
      </c>
      <c r="BQ458" s="27" t="s">
        <v>8</v>
      </c>
      <c r="BR458" s="27" t="s">
        <v>7</v>
      </c>
    </row>
    <row r="459" spans="1:156" x14ac:dyDescent="0.25">
      <c r="A459" s="7">
        <v>12.613104257041318</v>
      </c>
      <c r="B459"/>
      <c r="C459"/>
      <c r="D459"/>
      <c r="E459"/>
      <c r="AO459" s="27" t="s">
        <v>8</v>
      </c>
      <c r="AP459" s="27" t="s">
        <v>7</v>
      </c>
      <c r="AQ459" s="27" t="s">
        <v>8</v>
      </c>
      <c r="AS459" s="27" t="s">
        <v>8</v>
      </c>
      <c r="AT459" s="27" t="s">
        <v>7</v>
      </c>
      <c r="AU459" s="27" t="s">
        <v>8</v>
      </c>
      <c r="AV459" s="27" t="s">
        <v>7</v>
      </c>
      <c r="AW459" s="27" t="s">
        <v>8</v>
      </c>
      <c r="AX459" s="27" t="s">
        <v>7</v>
      </c>
      <c r="AY459" s="27" t="s">
        <v>8</v>
      </c>
      <c r="AZ459" s="27" t="s">
        <v>7</v>
      </c>
      <c r="BA459" s="27" t="s">
        <v>8</v>
      </c>
      <c r="BB459" s="27" t="s">
        <v>7</v>
      </c>
      <c r="BI459" s="27" t="s">
        <v>8</v>
      </c>
      <c r="BJ459" s="27" t="s">
        <v>7</v>
      </c>
      <c r="BP459" s="27" t="s">
        <v>7</v>
      </c>
      <c r="BQ459" s="27" t="s">
        <v>8</v>
      </c>
      <c r="BR459" s="27" t="s">
        <v>7</v>
      </c>
    </row>
    <row r="460" spans="1:156" x14ac:dyDescent="0.25">
      <c r="A460" s="7">
        <v>12.36578848729541</v>
      </c>
      <c r="B460"/>
      <c r="C460"/>
      <c r="D460"/>
      <c r="E460"/>
      <c r="AO460" s="27" t="s">
        <v>8</v>
      </c>
      <c r="AP460" s="27" t="s">
        <v>7</v>
      </c>
      <c r="AQ460" s="27" t="s">
        <v>8</v>
      </c>
      <c r="AR460" s="27" t="s">
        <v>7</v>
      </c>
      <c r="AS460" s="27" t="s">
        <v>8</v>
      </c>
      <c r="AT460" s="27" t="s">
        <v>7</v>
      </c>
      <c r="AU460" s="27" t="s">
        <v>8</v>
      </c>
      <c r="AV460" s="27" t="s">
        <v>7</v>
      </c>
      <c r="AW460" s="27" t="s">
        <v>8</v>
      </c>
      <c r="AX460" s="27" t="s">
        <v>7</v>
      </c>
      <c r="AY460" s="27" t="s">
        <v>8</v>
      </c>
      <c r="AZ460" s="27" t="s">
        <v>7</v>
      </c>
      <c r="BA460" s="27" t="s">
        <v>8</v>
      </c>
      <c r="BB460" s="27" t="s">
        <v>7</v>
      </c>
      <c r="BI460" s="27" t="s">
        <v>8</v>
      </c>
      <c r="BP460" s="27" t="s">
        <v>7</v>
      </c>
      <c r="BQ460" s="27" t="s">
        <v>8</v>
      </c>
      <c r="BR460" s="27" t="s">
        <v>7</v>
      </c>
    </row>
    <row r="461" spans="1:156" x14ac:dyDescent="0.25">
      <c r="A461" s="7">
        <v>12.123322046368049</v>
      </c>
      <c r="B461"/>
      <c r="C461"/>
      <c r="D461"/>
      <c r="E461"/>
      <c r="AO461" s="27" t="s">
        <v>8</v>
      </c>
      <c r="AP461" s="27" t="s">
        <v>7</v>
      </c>
      <c r="AQ461" s="27" t="s">
        <v>8</v>
      </c>
      <c r="AR461" s="27" t="s">
        <v>7</v>
      </c>
      <c r="AS461" s="27" t="s">
        <v>8</v>
      </c>
      <c r="AT461" s="27" t="s">
        <v>7</v>
      </c>
      <c r="AU461" s="27" t="s">
        <v>8</v>
      </c>
      <c r="AV461" s="27" t="s">
        <v>7</v>
      </c>
      <c r="AX461" s="27" t="s">
        <v>7</v>
      </c>
      <c r="AY461" s="27" t="s">
        <v>8</v>
      </c>
      <c r="AZ461" s="27" t="s">
        <v>7</v>
      </c>
      <c r="BA461" s="27" t="s">
        <v>8</v>
      </c>
      <c r="BB461" s="27" t="s">
        <v>7</v>
      </c>
      <c r="BG461" s="27" t="s">
        <v>8</v>
      </c>
      <c r="BI461" s="27" t="s">
        <v>8</v>
      </c>
      <c r="BP461" s="27" t="s">
        <v>7</v>
      </c>
      <c r="BQ461" s="27" t="s">
        <v>8</v>
      </c>
      <c r="BR461" s="27" t="s">
        <v>7</v>
      </c>
      <c r="EY461" s="27" t="s">
        <v>8</v>
      </c>
    </row>
    <row r="462" spans="1:156" x14ac:dyDescent="0.25">
      <c r="A462" s="7">
        <v>11.88560984938044</v>
      </c>
      <c r="B462"/>
      <c r="C462"/>
      <c r="D462"/>
      <c r="E462"/>
      <c r="AO462" s="27" t="s">
        <v>8</v>
      </c>
      <c r="AP462" s="27" t="s">
        <v>7</v>
      </c>
      <c r="AQ462" s="27" t="s">
        <v>8</v>
      </c>
      <c r="AR462" s="27" t="s">
        <v>7</v>
      </c>
      <c r="AS462" s="27" t="s">
        <v>8</v>
      </c>
      <c r="AT462" s="27" t="s">
        <v>7</v>
      </c>
      <c r="AU462" s="27" t="s">
        <v>8</v>
      </c>
      <c r="AX462" s="27" t="s">
        <v>7</v>
      </c>
      <c r="AZ462" s="27" t="s">
        <v>7</v>
      </c>
      <c r="BA462" s="27" t="s">
        <v>8</v>
      </c>
      <c r="BB462" s="27" t="s">
        <v>7</v>
      </c>
      <c r="BG462" s="27" t="s">
        <v>8</v>
      </c>
      <c r="BH462" s="27" t="s">
        <v>7</v>
      </c>
      <c r="BI462" s="27" t="s">
        <v>8</v>
      </c>
      <c r="BP462" s="27" t="s">
        <v>7</v>
      </c>
      <c r="BQ462" s="27" t="s">
        <v>8</v>
      </c>
      <c r="BR462" s="27" t="s">
        <v>7</v>
      </c>
      <c r="EY462" s="27" t="s">
        <v>8</v>
      </c>
      <c r="EZ462" s="27" t="s">
        <v>7</v>
      </c>
    </row>
    <row r="463" spans="1:156" x14ac:dyDescent="0.25">
      <c r="A463" s="7">
        <v>11.652558675863176</v>
      </c>
      <c r="B463"/>
      <c r="C463"/>
      <c r="D463"/>
      <c r="E463"/>
      <c r="AO463" s="27" t="s">
        <v>8</v>
      </c>
      <c r="AP463" s="27" t="s">
        <v>7</v>
      </c>
      <c r="AQ463" s="27" t="s">
        <v>8</v>
      </c>
      <c r="AR463" s="27" t="s">
        <v>7</v>
      </c>
      <c r="AS463" s="27" t="s">
        <v>8</v>
      </c>
      <c r="AT463" s="27" t="s">
        <v>7</v>
      </c>
      <c r="AU463" s="27" t="s">
        <v>8</v>
      </c>
      <c r="AZ463" s="27" t="s">
        <v>7</v>
      </c>
      <c r="BA463" s="27" t="s">
        <v>8</v>
      </c>
      <c r="BB463" s="27" t="s">
        <v>7</v>
      </c>
      <c r="BG463" s="27" t="s">
        <v>8</v>
      </c>
      <c r="BH463" s="27" t="s">
        <v>7</v>
      </c>
      <c r="BI463" s="27" t="s">
        <v>8</v>
      </c>
      <c r="BP463" s="27" t="s">
        <v>7</v>
      </c>
      <c r="BQ463" s="27" t="s">
        <v>8</v>
      </c>
      <c r="BR463" s="27" t="s">
        <v>7</v>
      </c>
      <c r="EY463" s="27" t="s">
        <v>8</v>
      </c>
      <c r="EZ463" s="27" t="s">
        <v>7</v>
      </c>
    </row>
    <row r="464" spans="1:156" x14ac:dyDescent="0.25">
      <c r="A464" s="7">
        <v>11.424077133199193</v>
      </c>
      <c r="B464"/>
      <c r="C464"/>
      <c r="D464"/>
      <c r="E464"/>
      <c r="AO464" s="27" t="s">
        <v>8</v>
      </c>
      <c r="AP464" s="27" t="s">
        <v>7</v>
      </c>
      <c r="AQ464" s="27" t="s">
        <v>8</v>
      </c>
      <c r="AR464" s="27" t="s">
        <v>7</v>
      </c>
      <c r="AS464" s="27" t="s">
        <v>8</v>
      </c>
      <c r="AT464" s="27" t="s">
        <v>7</v>
      </c>
      <c r="AU464" s="27" t="s">
        <v>8</v>
      </c>
      <c r="AZ464" s="27" t="s">
        <v>7</v>
      </c>
      <c r="BA464" s="27" t="s">
        <v>8</v>
      </c>
      <c r="BB464" s="27" t="s">
        <v>7</v>
      </c>
      <c r="BE464" s="27" t="s">
        <v>8</v>
      </c>
      <c r="BG464" s="27" t="s">
        <v>8</v>
      </c>
      <c r="BH464" s="27" t="s">
        <v>7</v>
      </c>
      <c r="BP464" s="27" t="s">
        <v>7</v>
      </c>
      <c r="BQ464" s="27" t="s">
        <v>8</v>
      </c>
      <c r="BR464" s="27" t="s">
        <v>7</v>
      </c>
      <c r="EY464" s="27" t="s">
        <v>8</v>
      </c>
      <c r="EZ464" s="27" t="s">
        <v>7</v>
      </c>
    </row>
    <row r="465" spans="1:178" x14ac:dyDescent="0.25">
      <c r="A465" s="7">
        <v>11.200075620783522</v>
      </c>
      <c r="B465"/>
      <c r="C465"/>
      <c r="D465"/>
      <c r="E465"/>
      <c r="AO465" s="27" t="s">
        <v>8</v>
      </c>
      <c r="AP465" s="27" t="s">
        <v>7</v>
      </c>
      <c r="AQ465" s="27" t="s">
        <v>8</v>
      </c>
      <c r="AR465" s="27" t="s">
        <v>7</v>
      </c>
      <c r="AT465" s="27" t="s">
        <v>7</v>
      </c>
      <c r="AU465" s="27" t="s">
        <v>8</v>
      </c>
      <c r="AZ465" s="27" t="s">
        <v>7</v>
      </c>
      <c r="BB465" s="27" t="s">
        <v>7</v>
      </c>
      <c r="BE465" s="27" t="s">
        <v>8</v>
      </c>
      <c r="BF465" s="27" t="s">
        <v>7</v>
      </c>
      <c r="BG465" s="27" t="s">
        <v>8</v>
      </c>
      <c r="BP465" s="27" t="s">
        <v>7</v>
      </c>
      <c r="BR465" s="27" t="s">
        <v>7</v>
      </c>
      <c r="EY465" s="27" t="s">
        <v>8</v>
      </c>
      <c r="EZ465" s="27" t="s">
        <v>7</v>
      </c>
    </row>
    <row r="466" spans="1:178" x14ac:dyDescent="0.25">
      <c r="A466" s="7">
        <v>10.980466294885806</v>
      </c>
      <c r="B466"/>
      <c r="C466"/>
      <c r="D466"/>
      <c r="E466"/>
      <c r="AO466" s="27" t="s">
        <v>8</v>
      </c>
      <c r="AP466" s="27" t="s">
        <v>7</v>
      </c>
      <c r="AQ466" s="27" t="s">
        <v>8</v>
      </c>
      <c r="AT466" s="27" t="s">
        <v>7</v>
      </c>
      <c r="BB466" s="27" t="s">
        <v>7</v>
      </c>
      <c r="BE466" s="27" t="s">
        <v>8</v>
      </c>
      <c r="BF466" s="27" t="s">
        <v>7</v>
      </c>
      <c r="BG466" s="27" t="s">
        <v>8</v>
      </c>
      <c r="BR466" s="27" t="s">
        <v>7</v>
      </c>
      <c r="EY466" s="27" t="s">
        <v>8</v>
      </c>
      <c r="EZ466" s="27" t="s">
        <v>7</v>
      </c>
    </row>
    <row r="467" spans="1:178" x14ac:dyDescent="0.25">
      <c r="A467" s="7">
        <v>10.765163034201771</v>
      </c>
      <c r="B467"/>
      <c r="C467"/>
      <c r="D467"/>
      <c r="E467"/>
      <c r="AO467" s="27" t="s">
        <v>8</v>
      </c>
      <c r="AP467" s="27" t="s">
        <v>7</v>
      </c>
      <c r="AQ467" s="27" t="s">
        <v>8</v>
      </c>
      <c r="BB467" s="27" t="s">
        <v>7</v>
      </c>
      <c r="BE467" s="27" t="s">
        <v>8</v>
      </c>
      <c r="BF467" s="27" t="s">
        <v>7</v>
      </c>
      <c r="BG467" s="27" t="s">
        <v>8</v>
      </c>
      <c r="BR467" s="27" t="s">
        <v>7</v>
      </c>
      <c r="CC467" s="27" t="s">
        <v>8</v>
      </c>
      <c r="EY467" s="27" t="s">
        <v>8</v>
      </c>
      <c r="EZ467" s="27" t="s">
        <v>7</v>
      </c>
      <c r="FA467" s="27" t="s">
        <v>8</v>
      </c>
    </row>
    <row r="468" spans="1:178" x14ac:dyDescent="0.25">
      <c r="A468" s="7">
        <v>10.554081406080169</v>
      </c>
      <c r="B468"/>
      <c r="C468"/>
      <c r="D468"/>
      <c r="E468"/>
      <c r="AO468" s="27" t="s">
        <v>8</v>
      </c>
      <c r="AP468" s="27" t="s">
        <v>7</v>
      </c>
      <c r="AQ468" s="27" t="s">
        <v>8</v>
      </c>
      <c r="BB468" s="27" t="s">
        <v>7</v>
      </c>
      <c r="BE468" s="27" t="s">
        <v>8</v>
      </c>
      <c r="BF468" s="27" t="s">
        <v>7</v>
      </c>
      <c r="BG468" s="27" t="s">
        <v>8</v>
      </c>
      <c r="BR468" s="27" t="s">
        <v>7</v>
      </c>
      <c r="CC468" s="27" t="s">
        <v>8</v>
      </c>
      <c r="CD468" s="27" t="s">
        <v>7</v>
      </c>
      <c r="EY468" s="27" t="s">
        <v>8</v>
      </c>
      <c r="EZ468" s="27" t="s">
        <v>7</v>
      </c>
      <c r="FA468" s="27" t="s">
        <v>8</v>
      </c>
      <c r="FB468" s="27" t="s">
        <v>7</v>
      </c>
    </row>
    <row r="469" spans="1:178" x14ac:dyDescent="0.25">
      <c r="A469" s="7">
        <v>10.34713863341193</v>
      </c>
      <c r="B469"/>
      <c r="C469"/>
      <c r="D469"/>
      <c r="E469"/>
      <c r="AO469" s="27" t="s">
        <v>8</v>
      </c>
      <c r="AP469" s="27" t="s">
        <v>7</v>
      </c>
      <c r="AQ469" s="27" t="s">
        <v>8</v>
      </c>
      <c r="BB469" s="27" t="s">
        <v>7</v>
      </c>
      <c r="BE469" s="27" t="s">
        <v>8</v>
      </c>
      <c r="BF469" s="27" t="s">
        <v>7</v>
      </c>
      <c r="BR469" s="27" t="s">
        <v>7</v>
      </c>
      <c r="BS469" s="27" t="s">
        <v>8</v>
      </c>
      <c r="CC469" s="27" t="s">
        <v>8</v>
      </c>
      <c r="CD469" s="27" t="s">
        <v>7</v>
      </c>
      <c r="EY469" s="27" t="s">
        <v>8</v>
      </c>
      <c r="EZ469" s="27" t="s">
        <v>7</v>
      </c>
      <c r="FA469" s="27" t="s">
        <v>8</v>
      </c>
      <c r="FB469" s="27" t="s">
        <v>7</v>
      </c>
    </row>
    <row r="470" spans="1:178" x14ac:dyDescent="0.25">
      <c r="A470" s="7">
        <v>10.14425356216856</v>
      </c>
      <c r="B470"/>
      <c r="C470"/>
      <c r="D470"/>
      <c r="E470"/>
      <c r="AO470" s="27" t="s">
        <v>8</v>
      </c>
      <c r="AP470" s="27" t="s">
        <v>7</v>
      </c>
      <c r="AQ470" s="27" t="s">
        <v>8</v>
      </c>
      <c r="BB470" s="27" t="s">
        <v>7</v>
      </c>
      <c r="BC470" s="27" t="s">
        <v>8</v>
      </c>
      <c r="BE470" s="27" t="s">
        <v>8</v>
      </c>
      <c r="BR470" s="27" t="s">
        <v>7</v>
      </c>
      <c r="BS470" s="27" t="s">
        <v>8</v>
      </c>
      <c r="BT470" s="27" t="s">
        <v>7</v>
      </c>
      <c r="CC470" s="27" t="s">
        <v>8</v>
      </c>
      <c r="CD470" s="27" t="s">
        <v>7</v>
      </c>
      <c r="EY470" s="27" t="s">
        <v>8</v>
      </c>
      <c r="EZ470" s="27" t="s">
        <v>7</v>
      </c>
      <c r="FA470" s="27" t="s">
        <v>8</v>
      </c>
      <c r="FB470" s="27" t="s">
        <v>7</v>
      </c>
      <c r="FC470" s="27" t="s">
        <v>8</v>
      </c>
    </row>
    <row r="471" spans="1:178" x14ac:dyDescent="0.25">
      <c r="A471" s="7">
        <v>9.9453466295770188</v>
      </c>
      <c r="B471"/>
      <c r="C471"/>
      <c r="D471"/>
      <c r="E471"/>
      <c r="AM471" s="27" t="s">
        <v>8</v>
      </c>
      <c r="AO471" s="27" t="s">
        <v>8</v>
      </c>
      <c r="AP471" s="27" t="s">
        <v>7</v>
      </c>
      <c r="AQ471" s="27" t="s">
        <v>8</v>
      </c>
      <c r="BB471" s="27" t="s">
        <v>7</v>
      </c>
      <c r="BC471" s="27" t="s">
        <v>8</v>
      </c>
      <c r="BD471" s="27" t="s">
        <v>7</v>
      </c>
      <c r="BE471" s="27" t="s">
        <v>8</v>
      </c>
      <c r="BR471" s="27" t="s">
        <v>7</v>
      </c>
      <c r="BS471" s="27" t="s">
        <v>8</v>
      </c>
      <c r="BT471" s="27" t="s">
        <v>7</v>
      </c>
      <c r="CC471" s="27" t="s">
        <v>8</v>
      </c>
      <c r="CD471" s="27" t="s">
        <v>7</v>
      </c>
      <c r="EY471" s="27" t="s">
        <v>8</v>
      </c>
      <c r="EZ471" s="27" t="s">
        <v>7</v>
      </c>
      <c r="FA471" s="27" t="s">
        <v>8</v>
      </c>
      <c r="FB471" s="27" t="s">
        <v>7</v>
      </c>
      <c r="FC471" s="27" t="s">
        <v>8</v>
      </c>
      <c r="FD471" s="27" t="s">
        <v>7</v>
      </c>
    </row>
    <row r="472" spans="1:178" x14ac:dyDescent="0.25">
      <c r="A472" s="7">
        <v>9.7503398329186464</v>
      </c>
      <c r="B472"/>
      <c r="C472"/>
      <c r="D472"/>
      <c r="E472"/>
      <c r="AM472" s="27" t="s">
        <v>8</v>
      </c>
      <c r="AN472" s="27" t="s">
        <v>7</v>
      </c>
      <c r="AO472" s="27" t="s">
        <v>8</v>
      </c>
      <c r="AP472" s="27" t="s">
        <v>7</v>
      </c>
      <c r="AQ472" s="27" t="s">
        <v>8</v>
      </c>
      <c r="BB472" s="27" t="s">
        <v>7</v>
      </c>
      <c r="BC472" s="27" t="s">
        <v>8</v>
      </c>
      <c r="BD472" s="27" t="s">
        <v>7</v>
      </c>
      <c r="BE472" s="27" t="s">
        <v>8</v>
      </c>
      <c r="BR472" s="27" t="s">
        <v>7</v>
      </c>
      <c r="BS472" s="27" t="s">
        <v>8</v>
      </c>
      <c r="BT472" s="27" t="s">
        <v>7</v>
      </c>
      <c r="CC472" s="27" t="s">
        <v>8</v>
      </c>
      <c r="CD472" s="27" t="s">
        <v>7</v>
      </c>
      <c r="EY472" s="27" t="s">
        <v>8</v>
      </c>
      <c r="EZ472" s="27" t="s">
        <v>7</v>
      </c>
      <c r="FA472" s="27" t="s">
        <v>8</v>
      </c>
      <c r="FB472" s="27" t="s">
        <v>7</v>
      </c>
      <c r="FC472" s="27" t="s">
        <v>8</v>
      </c>
      <c r="FD472" s="27" t="s">
        <v>7</v>
      </c>
      <c r="FG472" s="27" t="s">
        <v>8</v>
      </c>
    </row>
    <row r="473" spans="1:178" x14ac:dyDescent="0.25">
      <c r="A473" s="7">
        <v>9.5591566989398498</v>
      </c>
      <c r="B473"/>
      <c r="C473"/>
      <c r="D473"/>
      <c r="E473"/>
      <c r="AM473" s="27" t="s">
        <v>8</v>
      </c>
      <c r="AN473" s="27" t="s">
        <v>7</v>
      </c>
      <c r="AO473" s="27" t="s">
        <v>8</v>
      </c>
      <c r="AP473" s="27" t="s">
        <v>7</v>
      </c>
      <c r="BB473" s="27" t="s">
        <v>7</v>
      </c>
      <c r="BC473" s="27" t="s">
        <v>8</v>
      </c>
      <c r="BD473" s="27" t="s">
        <v>7</v>
      </c>
      <c r="BE473" s="27" t="s">
        <v>8</v>
      </c>
      <c r="BR473" s="27" t="s">
        <v>7</v>
      </c>
      <c r="BS473" s="27" t="s">
        <v>8</v>
      </c>
      <c r="BT473" s="27" t="s">
        <v>7</v>
      </c>
      <c r="CC473" s="27" t="s">
        <v>8</v>
      </c>
      <c r="CD473" s="27" t="s">
        <v>7</v>
      </c>
      <c r="EY473" s="27" t="s">
        <v>8</v>
      </c>
      <c r="EZ473" s="27" t="s">
        <v>7</v>
      </c>
      <c r="FA473" s="27" t="s">
        <v>8</v>
      </c>
      <c r="FB473" s="27" t="s">
        <v>7</v>
      </c>
      <c r="FC473" s="27" t="s">
        <v>8</v>
      </c>
      <c r="FD473" s="27" t="s">
        <v>7</v>
      </c>
      <c r="FG473" s="27" t="s">
        <v>8</v>
      </c>
      <c r="FH473" s="27" t="s">
        <v>7</v>
      </c>
      <c r="FI473" s="27" t="s">
        <v>8</v>
      </c>
    </row>
    <row r="474" spans="1:178" x14ac:dyDescent="0.25">
      <c r="A474" s="7">
        <v>9.3717222538625968</v>
      </c>
      <c r="B474"/>
      <c r="C474"/>
      <c r="D474"/>
      <c r="E474"/>
      <c r="AE474" s="27" t="s">
        <v>8</v>
      </c>
      <c r="AK474" s="27" t="s">
        <v>8</v>
      </c>
      <c r="AM474" s="27" t="s">
        <v>8</v>
      </c>
      <c r="AN474" s="27" t="s">
        <v>7</v>
      </c>
      <c r="AO474" s="27" t="s">
        <v>8</v>
      </c>
      <c r="BB474" s="27" t="s">
        <v>7</v>
      </c>
      <c r="BC474" s="27" t="s">
        <v>8</v>
      </c>
      <c r="BD474" s="27" t="s">
        <v>7</v>
      </c>
      <c r="BE474" s="27" t="s">
        <v>8</v>
      </c>
      <c r="BR474" s="27" t="s">
        <v>7</v>
      </c>
      <c r="BS474" s="27" t="s">
        <v>8</v>
      </c>
      <c r="BT474" s="27" t="s">
        <v>7</v>
      </c>
      <c r="CC474" s="27" t="s">
        <v>8</v>
      </c>
      <c r="CD474" s="27" t="s">
        <v>7</v>
      </c>
      <c r="DW474" s="27" t="s">
        <v>8</v>
      </c>
      <c r="EA474" s="27" t="s">
        <v>8</v>
      </c>
      <c r="EY474" s="27" t="s">
        <v>8</v>
      </c>
      <c r="EZ474" s="27" t="s">
        <v>7</v>
      </c>
      <c r="FA474" s="27" t="s">
        <v>8</v>
      </c>
      <c r="FB474" s="27" t="s">
        <v>7</v>
      </c>
      <c r="FC474" s="27" t="s">
        <v>8</v>
      </c>
      <c r="FD474" s="27" t="s">
        <v>7</v>
      </c>
      <c r="FG474" s="27" t="s">
        <v>8</v>
      </c>
      <c r="FH474" s="27" t="s">
        <v>7</v>
      </c>
      <c r="FI474" s="27" t="s">
        <v>8</v>
      </c>
      <c r="FJ474" s="27" t="s">
        <v>7</v>
      </c>
    </row>
    <row r="475" spans="1:178" x14ac:dyDescent="0.25">
      <c r="A475" s="7">
        <v>9.1879629939829375</v>
      </c>
      <c r="B475"/>
      <c r="C475"/>
      <c r="D475"/>
      <c r="E475"/>
      <c r="AE475" s="27" t="s">
        <v>8</v>
      </c>
      <c r="AF475" s="27" t="s">
        <v>7</v>
      </c>
      <c r="AK475" s="27" t="s">
        <v>8</v>
      </c>
      <c r="AL475" s="27" t="s">
        <v>7</v>
      </c>
      <c r="AM475" s="27" t="s">
        <v>8</v>
      </c>
      <c r="AN475" s="27" t="s">
        <v>7</v>
      </c>
      <c r="AO475" s="27" t="s">
        <v>8</v>
      </c>
      <c r="BB475" s="27" t="s">
        <v>7</v>
      </c>
      <c r="BC475" s="27" t="s">
        <v>8</v>
      </c>
      <c r="BD475" s="27" t="s">
        <v>7</v>
      </c>
      <c r="BE475" s="27" t="s">
        <v>8</v>
      </c>
      <c r="BR475" s="27" t="s">
        <v>7</v>
      </c>
      <c r="BS475" s="27" t="s">
        <v>8</v>
      </c>
      <c r="BT475" s="27" t="s">
        <v>7</v>
      </c>
      <c r="CC475" s="27" t="s">
        <v>8</v>
      </c>
      <c r="CD475" s="27" t="s">
        <v>7</v>
      </c>
      <c r="DW475" s="27" t="s">
        <v>8</v>
      </c>
      <c r="DX475" s="27" t="s">
        <v>7</v>
      </c>
      <c r="EA475" s="27" t="s">
        <v>8</v>
      </c>
      <c r="EB475" s="27" t="s">
        <v>7</v>
      </c>
      <c r="EY475" s="27" t="s">
        <v>8</v>
      </c>
      <c r="EZ475" s="27" t="s">
        <v>7</v>
      </c>
      <c r="FA475" s="27" t="s">
        <v>8</v>
      </c>
      <c r="FB475" s="27" t="s">
        <v>7</v>
      </c>
      <c r="FC475" s="27" t="s">
        <v>8</v>
      </c>
      <c r="FD475" s="27" t="s">
        <v>7</v>
      </c>
      <c r="FG475" s="27" t="s">
        <v>8</v>
      </c>
      <c r="FH475" s="27" t="s">
        <v>7</v>
      </c>
      <c r="FI475" s="27" t="s">
        <v>8</v>
      </c>
      <c r="FJ475" s="27" t="s">
        <v>7</v>
      </c>
      <c r="FM475" s="27" t="s">
        <v>8</v>
      </c>
    </row>
    <row r="476" spans="1:178" x14ac:dyDescent="0.25">
      <c r="A476" s="7">
        <v>9.0078068568460168</v>
      </c>
      <c r="B476"/>
      <c r="C476"/>
      <c r="D476"/>
      <c r="E476"/>
      <c r="AE476" s="27" t="s">
        <v>8</v>
      </c>
      <c r="AF476" s="27" t="s">
        <v>7</v>
      </c>
      <c r="AK476" s="27" t="s">
        <v>8</v>
      </c>
      <c r="AL476" s="27" t="s">
        <v>7</v>
      </c>
      <c r="AM476" s="27" t="s">
        <v>8</v>
      </c>
      <c r="AN476" s="27" t="s">
        <v>7</v>
      </c>
      <c r="AO476" s="27" t="s">
        <v>8</v>
      </c>
      <c r="BB476" s="27" t="s">
        <v>7</v>
      </c>
      <c r="BC476" s="27" t="s">
        <v>8</v>
      </c>
      <c r="BD476" s="27" t="s">
        <v>7</v>
      </c>
      <c r="BE476" s="27" t="s">
        <v>8</v>
      </c>
      <c r="BR476" s="27" t="s">
        <v>7</v>
      </c>
      <c r="BS476" s="27" t="s">
        <v>8</v>
      </c>
      <c r="BT476" s="27" t="s">
        <v>7</v>
      </c>
      <c r="CC476" s="27" t="s">
        <v>8</v>
      </c>
      <c r="CD476" s="27" t="s">
        <v>7</v>
      </c>
      <c r="DQ476" s="27" t="s">
        <v>8</v>
      </c>
      <c r="DW476" s="27" t="s">
        <v>8</v>
      </c>
      <c r="DX476" s="27" t="s">
        <v>7</v>
      </c>
      <c r="EA476" s="27" t="s">
        <v>8</v>
      </c>
      <c r="EB476" s="27" t="s">
        <v>7</v>
      </c>
      <c r="EY476" s="27" t="s">
        <v>8</v>
      </c>
      <c r="EZ476" s="27" t="s">
        <v>7</v>
      </c>
      <c r="FA476" s="27" t="s">
        <v>8</v>
      </c>
      <c r="FB476" s="27" t="s">
        <v>7</v>
      </c>
      <c r="FC476" s="27" t="s">
        <v>8</v>
      </c>
      <c r="FD476" s="27" t="s">
        <v>7</v>
      </c>
      <c r="FG476" s="27" t="s">
        <v>8</v>
      </c>
      <c r="FH476" s="27" t="s">
        <v>7</v>
      </c>
      <c r="FI476" s="27" t="s">
        <v>8</v>
      </c>
      <c r="FJ476" s="27" t="s">
        <v>7</v>
      </c>
      <c r="FM476" s="27" t="s">
        <v>8</v>
      </c>
      <c r="FN476" s="27" t="s">
        <v>7</v>
      </c>
    </row>
    <row r="477" spans="1:178" x14ac:dyDescent="0.25">
      <c r="A477" s="7">
        <v>8.8311831929862912</v>
      </c>
      <c r="B477"/>
      <c r="C477"/>
      <c r="D477"/>
      <c r="E477"/>
      <c r="AC477" s="27" t="s">
        <v>8</v>
      </c>
      <c r="AE477" s="27" t="s">
        <v>8</v>
      </c>
      <c r="AF477" s="27" t="s">
        <v>7</v>
      </c>
      <c r="AK477" s="27" t="s">
        <v>8</v>
      </c>
      <c r="AL477" s="27" t="s">
        <v>7</v>
      </c>
      <c r="AM477" s="27" t="s">
        <v>8</v>
      </c>
      <c r="AN477" s="27" t="s">
        <v>7</v>
      </c>
      <c r="AO477" s="27" t="s">
        <v>8</v>
      </c>
      <c r="BB477" s="27" t="s">
        <v>7</v>
      </c>
      <c r="BC477" s="27" t="s">
        <v>8</v>
      </c>
      <c r="BD477" s="27" t="s">
        <v>7</v>
      </c>
      <c r="BE477" s="27" t="s">
        <v>8</v>
      </c>
      <c r="BR477" s="27" t="s">
        <v>7</v>
      </c>
      <c r="BS477" s="27" t="s">
        <v>8</v>
      </c>
      <c r="BT477" s="27" t="s">
        <v>7</v>
      </c>
      <c r="BW477" s="27" t="s">
        <v>8</v>
      </c>
      <c r="CC477" s="27" t="s">
        <v>8</v>
      </c>
      <c r="CD477" s="27" t="s">
        <v>7</v>
      </c>
      <c r="DQ477" s="27" t="s">
        <v>8</v>
      </c>
      <c r="DR477" s="27" t="s">
        <v>7</v>
      </c>
      <c r="DW477" s="27" t="s">
        <v>8</v>
      </c>
      <c r="DX477" s="27" t="s">
        <v>7</v>
      </c>
      <c r="DY477" s="27" t="s">
        <v>8</v>
      </c>
      <c r="EA477" s="27" t="s">
        <v>8</v>
      </c>
      <c r="EB477" s="27" t="s">
        <v>7</v>
      </c>
      <c r="EY477" s="27" t="s">
        <v>8</v>
      </c>
      <c r="EZ477" s="27" t="s">
        <v>7</v>
      </c>
      <c r="FA477" s="27" t="s">
        <v>8</v>
      </c>
      <c r="FB477" s="27" t="s">
        <v>7</v>
      </c>
      <c r="FD477" s="27" t="s">
        <v>7</v>
      </c>
      <c r="FE477" s="27" t="s">
        <v>8</v>
      </c>
      <c r="FG477" s="27" t="s">
        <v>8</v>
      </c>
      <c r="FH477" s="27" t="s">
        <v>7</v>
      </c>
      <c r="FI477" s="27" t="s">
        <v>8</v>
      </c>
      <c r="FJ477" s="27" t="s">
        <v>7</v>
      </c>
      <c r="FK477" s="27" t="s">
        <v>8</v>
      </c>
      <c r="FM477" s="27" t="s">
        <v>8</v>
      </c>
      <c r="FN477" s="27" t="s">
        <v>7</v>
      </c>
      <c r="FU477" s="27" t="s">
        <v>8</v>
      </c>
    </row>
    <row r="478" spans="1:178" x14ac:dyDescent="0.25">
      <c r="A478" s="7">
        <v>8.6580227382218542</v>
      </c>
      <c r="B478"/>
      <c r="C478"/>
      <c r="D478"/>
      <c r="E478"/>
      <c r="AC478" s="27" t="s">
        <v>8</v>
      </c>
      <c r="AD478" s="27" t="s">
        <v>7</v>
      </c>
      <c r="AE478" s="27" t="s">
        <v>8</v>
      </c>
      <c r="AF478" s="27" t="s">
        <v>7</v>
      </c>
      <c r="AG478" s="27" t="s">
        <v>8</v>
      </c>
      <c r="AK478" s="27" t="s">
        <v>8</v>
      </c>
      <c r="AL478" s="27" t="s">
        <v>7</v>
      </c>
      <c r="AN478" s="27" t="s">
        <v>7</v>
      </c>
      <c r="AO478" s="27" t="s">
        <v>8</v>
      </c>
      <c r="BB478" s="27" t="s">
        <v>7</v>
      </c>
      <c r="BC478" s="27" t="s">
        <v>8</v>
      </c>
      <c r="BD478" s="27" t="s">
        <v>7</v>
      </c>
      <c r="BE478" s="27" t="s">
        <v>8</v>
      </c>
      <c r="BR478" s="27" t="s">
        <v>7</v>
      </c>
      <c r="BS478" s="27" t="s">
        <v>8</v>
      </c>
      <c r="BT478" s="27" t="s">
        <v>7</v>
      </c>
      <c r="BW478" s="27" t="s">
        <v>8</v>
      </c>
      <c r="BX478" s="27" t="s">
        <v>7</v>
      </c>
      <c r="CC478" s="27" t="s">
        <v>8</v>
      </c>
      <c r="CD478" s="27" t="s">
        <v>7</v>
      </c>
      <c r="DQ478" s="27" t="s">
        <v>8</v>
      </c>
      <c r="DR478" s="27" t="s">
        <v>7</v>
      </c>
      <c r="DS478" s="27" t="s">
        <v>8</v>
      </c>
      <c r="DW478" s="27" t="s">
        <v>8</v>
      </c>
      <c r="DX478" s="27" t="s">
        <v>7</v>
      </c>
      <c r="DY478" s="27" t="s">
        <v>8</v>
      </c>
      <c r="DZ478" s="27" t="s">
        <v>7</v>
      </c>
      <c r="EA478" s="27" t="s">
        <v>8</v>
      </c>
      <c r="EB478" s="27" t="s">
        <v>7</v>
      </c>
      <c r="EU478" s="27" t="s">
        <v>8</v>
      </c>
      <c r="EY478" s="27" t="s">
        <v>8</v>
      </c>
      <c r="EZ478" s="27" t="s">
        <v>7</v>
      </c>
      <c r="FA478" s="27" t="s">
        <v>8</v>
      </c>
      <c r="FD478" s="27" t="s">
        <v>7</v>
      </c>
      <c r="FE478" s="27" t="s">
        <v>8</v>
      </c>
      <c r="FF478" s="27" t="s">
        <v>7</v>
      </c>
      <c r="FG478" s="27" t="s">
        <v>8</v>
      </c>
      <c r="FH478" s="27" t="s">
        <v>7</v>
      </c>
      <c r="FI478" s="27" t="s">
        <v>8</v>
      </c>
      <c r="FJ478" s="27" t="s">
        <v>7</v>
      </c>
      <c r="FK478" s="27" t="s">
        <v>8</v>
      </c>
      <c r="FL478" s="27" t="s">
        <v>7</v>
      </c>
      <c r="FM478" s="27" t="s">
        <v>8</v>
      </c>
      <c r="FN478" s="27" t="s">
        <v>7</v>
      </c>
      <c r="FU478" s="27" t="s">
        <v>8</v>
      </c>
      <c r="FV478" s="27" t="s">
        <v>7</v>
      </c>
    </row>
    <row r="479" spans="1:178" x14ac:dyDescent="0.25">
      <c r="A479" s="7">
        <v>8.4882575864920131</v>
      </c>
      <c r="B479"/>
      <c r="C479"/>
      <c r="D479"/>
      <c r="E479"/>
      <c r="AC479" s="27" t="s">
        <v>8</v>
      </c>
      <c r="AD479" s="27" t="s">
        <v>7</v>
      </c>
      <c r="AE479" s="27" t="s">
        <v>8</v>
      </c>
      <c r="AF479" s="27" t="s">
        <v>7</v>
      </c>
      <c r="AG479" s="27" t="s">
        <v>8</v>
      </c>
      <c r="AH479" s="27" t="s">
        <v>7</v>
      </c>
      <c r="AI479" s="27" t="s">
        <v>8</v>
      </c>
      <c r="AK479" s="27" t="s">
        <v>8</v>
      </c>
      <c r="AN479" s="27" t="s">
        <v>7</v>
      </c>
      <c r="AO479" s="27" t="s">
        <v>8</v>
      </c>
      <c r="BB479" s="27" t="s">
        <v>7</v>
      </c>
      <c r="BC479" s="27" t="s">
        <v>8</v>
      </c>
      <c r="BD479" s="27" t="s">
        <v>7</v>
      </c>
      <c r="BR479" s="27" t="s">
        <v>7</v>
      </c>
      <c r="BS479" s="27" t="s">
        <v>8</v>
      </c>
      <c r="BT479" s="27" t="s">
        <v>7</v>
      </c>
      <c r="BW479" s="27" t="s">
        <v>8</v>
      </c>
      <c r="BX479" s="27" t="s">
        <v>7</v>
      </c>
      <c r="CC479" s="27" t="s">
        <v>8</v>
      </c>
      <c r="CD479" s="27" t="s">
        <v>7</v>
      </c>
      <c r="DQ479" s="27" t="s">
        <v>8</v>
      </c>
      <c r="DR479" s="27" t="s">
        <v>7</v>
      </c>
      <c r="DS479" s="27" t="s">
        <v>8</v>
      </c>
      <c r="DT479" s="27" t="s">
        <v>7</v>
      </c>
      <c r="DW479" s="27" t="s">
        <v>8</v>
      </c>
      <c r="DX479" s="27" t="s">
        <v>7</v>
      </c>
      <c r="DY479" s="27" t="s">
        <v>8</v>
      </c>
      <c r="DZ479" s="27" t="s">
        <v>7</v>
      </c>
      <c r="EA479" s="27" t="s">
        <v>8</v>
      </c>
      <c r="EB479" s="27" t="s">
        <v>7</v>
      </c>
      <c r="ES479" s="27" t="s">
        <v>8</v>
      </c>
      <c r="EU479" s="27" t="s">
        <v>8</v>
      </c>
      <c r="EV479" s="27" t="s">
        <v>7</v>
      </c>
      <c r="EY479" s="27" t="s">
        <v>8</v>
      </c>
      <c r="EZ479" s="27" t="s">
        <v>7</v>
      </c>
      <c r="FA479" s="27" t="s">
        <v>8</v>
      </c>
      <c r="FD479" s="27" t="s">
        <v>7</v>
      </c>
      <c r="FE479" s="27" t="s">
        <v>8</v>
      </c>
      <c r="FF479" s="27" t="s">
        <v>7</v>
      </c>
      <c r="FG479" s="27" t="s">
        <v>8</v>
      </c>
      <c r="FH479" s="27" t="s">
        <v>7</v>
      </c>
      <c r="FI479" s="27" t="s">
        <v>8</v>
      </c>
      <c r="FJ479" s="27" t="s">
        <v>7</v>
      </c>
      <c r="FK479" s="27" t="s">
        <v>8</v>
      </c>
      <c r="FL479" s="27" t="s">
        <v>7</v>
      </c>
      <c r="FM479" s="27" t="s">
        <v>8</v>
      </c>
      <c r="FN479" s="27" t="s">
        <v>7</v>
      </c>
      <c r="FU479" s="27" t="s">
        <v>8</v>
      </c>
      <c r="FV479" s="27" t="s">
        <v>7</v>
      </c>
    </row>
    <row r="480" spans="1:178" x14ac:dyDescent="0.25">
      <c r="A480" s="7">
        <v>8.3218211632274635</v>
      </c>
      <c r="B480"/>
      <c r="C480"/>
      <c r="D480"/>
      <c r="E480"/>
      <c r="AC480" s="27" t="s">
        <v>8</v>
      </c>
      <c r="AD480" s="27" t="s">
        <v>7</v>
      </c>
      <c r="AE480" s="27" t="s">
        <v>8</v>
      </c>
      <c r="AF480" s="27" t="s">
        <v>7</v>
      </c>
      <c r="AG480" s="27" t="s">
        <v>8</v>
      </c>
      <c r="AH480" s="27" t="s">
        <v>7</v>
      </c>
      <c r="AI480" s="27" t="s">
        <v>8</v>
      </c>
      <c r="AJ480" s="27" t="s">
        <v>7</v>
      </c>
      <c r="AK480" s="27" t="s">
        <v>8</v>
      </c>
      <c r="AN480" s="27" t="s">
        <v>7</v>
      </c>
      <c r="AO480" s="27" t="s">
        <v>8</v>
      </c>
      <c r="BB480" s="27" t="s">
        <v>7</v>
      </c>
      <c r="BR480" s="27" t="s">
        <v>7</v>
      </c>
      <c r="BS480" s="27" t="s">
        <v>8</v>
      </c>
      <c r="BT480" s="27" t="s">
        <v>7</v>
      </c>
      <c r="BW480" s="27" t="s">
        <v>8</v>
      </c>
      <c r="BX480" s="27" t="s">
        <v>7</v>
      </c>
      <c r="CC480" s="27" t="s">
        <v>8</v>
      </c>
      <c r="CD480" s="27" t="s">
        <v>7</v>
      </c>
      <c r="CE480" s="27" t="s">
        <v>8</v>
      </c>
      <c r="DQ480" s="27" t="s">
        <v>8</v>
      </c>
      <c r="DR480" s="27" t="s">
        <v>7</v>
      </c>
      <c r="DS480" s="27" t="s">
        <v>8</v>
      </c>
      <c r="DT480" s="27" t="s">
        <v>7</v>
      </c>
      <c r="DW480" s="27" t="s">
        <v>8</v>
      </c>
      <c r="DX480" s="27" t="s">
        <v>7</v>
      </c>
      <c r="DZ480" s="27" t="s">
        <v>7</v>
      </c>
      <c r="EB480" s="27" t="s">
        <v>7</v>
      </c>
      <c r="ES480" s="27" t="s">
        <v>8</v>
      </c>
      <c r="ET480" s="27" t="s">
        <v>7</v>
      </c>
      <c r="EU480" s="27" t="s">
        <v>8</v>
      </c>
      <c r="EV480" s="27" t="s">
        <v>7</v>
      </c>
      <c r="EY480" s="27" t="s">
        <v>8</v>
      </c>
      <c r="EZ480" s="27" t="s">
        <v>7</v>
      </c>
      <c r="FA480" s="27" t="s">
        <v>8</v>
      </c>
      <c r="FD480" s="27" t="s">
        <v>7</v>
      </c>
      <c r="FE480" s="27" t="s">
        <v>8</v>
      </c>
      <c r="FF480" s="27" t="s">
        <v>7</v>
      </c>
      <c r="FG480" s="27" t="s">
        <v>8</v>
      </c>
      <c r="FH480" s="27" t="s">
        <v>7</v>
      </c>
      <c r="FJ480" s="27" t="s">
        <v>7</v>
      </c>
      <c r="FL480" s="27" t="s">
        <v>7</v>
      </c>
      <c r="FM480" s="27" t="s">
        <v>8</v>
      </c>
      <c r="FN480" s="27" t="s">
        <v>7</v>
      </c>
      <c r="FQ480" s="27" t="s">
        <v>8</v>
      </c>
      <c r="FU480" s="27" t="s">
        <v>8</v>
      </c>
      <c r="FV480" s="27" t="s">
        <v>7</v>
      </c>
    </row>
    <row r="481" spans="1:192" x14ac:dyDescent="0.25">
      <c r="A481" s="7">
        <v>8.1586481992426112</v>
      </c>
      <c r="B481"/>
      <c r="C481"/>
      <c r="D481"/>
      <c r="E481"/>
      <c r="M481" s="27" t="s">
        <v>8</v>
      </c>
      <c r="AC481" s="27" t="s">
        <v>8</v>
      </c>
      <c r="AD481" s="27" t="s">
        <v>7</v>
      </c>
      <c r="AE481" s="27" t="s">
        <v>8</v>
      </c>
      <c r="AF481" s="27" t="s">
        <v>7</v>
      </c>
      <c r="AG481" s="27" t="s">
        <v>8</v>
      </c>
      <c r="AH481" s="27" t="s">
        <v>7</v>
      </c>
      <c r="AI481" s="27" t="s">
        <v>8</v>
      </c>
      <c r="AJ481" s="27" t="s">
        <v>7</v>
      </c>
      <c r="AK481" s="27" t="s">
        <v>8</v>
      </c>
      <c r="AN481" s="27" t="s">
        <v>7</v>
      </c>
      <c r="BR481" s="27" t="s">
        <v>7</v>
      </c>
      <c r="BS481" s="27" t="s">
        <v>8</v>
      </c>
      <c r="BT481" s="27" t="s">
        <v>7</v>
      </c>
      <c r="BW481" s="27" t="s">
        <v>8</v>
      </c>
      <c r="BX481" s="27" t="s">
        <v>7</v>
      </c>
      <c r="CC481" s="27" t="s">
        <v>8</v>
      </c>
      <c r="CD481" s="27" t="s">
        <v>7</v>
      </c>
      <c r="CE481" s="27" t="s">
        <v>8</v>
      </c>
      <c r="CF481" s="27" t="s">
        <v>7</v>
      </c>
      <c r="DQ481" s="27" t="s">
        <v>8</v>
      </c>
      <c r="DR481" s="27" t="s">
        <v>7</v>
      </c>
      <c r="DS481" s="27" t="s">
        <v>8</v>
      </c>
      <c r="DT481" s="27" t="s">
        <v>7</v>
      </c>
      <c r="DW481" s="27" t="s">
        <v>8</v>
      </c>
      <c r="EB481" s="27" t="s">
        <v>7</v>
      </c>
      <c r="ES481" s="27" t="s">
        <v>8</v>
      </c>
      <c r="ET481" s="27" t="s">
        <v>7</v>
      </c>
      <c r="EU481" s="27" t="s">
        <v>8</v>
      </c>
      <c r="EV481" s="27" t="s">
        <v>7</v>
      </c>
      <c r="EY481" s="27" t="s">
        <v>8</v>
      </c>
      <c r="EZ481" s="27" t="s">
        <v>7</v>
      </c>
      <c r="FD481" s="27" t="s">
        <v>7</v>
      </c>
      <c r="FF481" s="27" t="s">
        <v>7</v>
      </c>
      <c r="FL481" s="27" t="s">
        <v>7</v>
      </c>
      <c r="FM481" s="27" t="s">
        <v>8</v>
      </c>
      <c r="FN481" s="27" t="s">
        <v>7</v>
      </c>
      <c r="FQ481" s="27" t="s">
        <v>8</v>
      </c>
      <c r="FR481" s="27" t="s">
        <v>7</v>
      </c>
      <c r="FS481" s="27" t="s">
        <v>8</v>
      </c>
      <c r="FU481" s="27" t="s">
        <v>8</v>
      </c>
      <c r="FV481" s="27" t="s">
        <v>7</v>
      </c>
    </row>
    <row r="482" spans="1:192" x14ac:dyDescent="0.25">
      <c r="A482" s="7">
        <v>7.9986747051398144</v>
      </c>
      <c r="B482"/>
      <c r="C482"/>
      <c r="D482"/>
      <c r="E482"/>
      <c r="M482" s="27" t="s">
        <v>8</v>
      </c>
      <c r="N482" s="27" t="s">
        <v>7</v>
      </c>
      <c r="AC482" s="27" t="s">
        <v>8</v>
      </c>
      <c r="AD482" s="27" t="s">
        <v>7</v>
      </c>
      <c r="AE482" s="27" t="s">
        <v>8</v>
      </c>
      <c r="AF482" s="27" t="s">
        <v>7</v>
      </c>
      <c r="AG482" s="27" t="s">
        <v>8</v>
      </c>
      <c r="AH482" s="27" t="s">
        <v>7</v>
      </c>
      <c r="AI482" s="27" t="s">
        <v>8</v>
      </c>
      <c r="AJ482" s="27" t="s">
        <v>7</v>
      </c>
      <c r="AK482" s="27" t="s">
        <v>8</v>
      </c>
      <c r="BR482" s="27" t="s">
        <v>7</v>
      </c>
      <c r="BS482" s="27" t="s">
        <v>8</v>
      </c>
      <c r="BT482" s="27" t="s">
        <v>7</v>
      </c>
      <c r="BU482" s="27" t="s">
        <v>8</v>
      </c>
      <c r="BW482" s="27" t="s">
        <v>8</v>
      </c>
      <c r="BX482" s="27" t="s">
        <v>7</v>
      </c>
      <c r="CC482" s="27" t="s">
        <v>8</v>
      </c>
      <c r="CD482" s="27" t="s">
        <v>7</v>
      </c>
      <c r="CE482" s="27" t="s">
        <v>8</v>
      </c>
      <c r="CF482" s="27" t="s">
        <v>7</v>
      </c>
      <c r="DQ482" s="27" t="s">
        <v>8</v>
      </c>
      <c r="DR482" s="27" t="s">
        <v>7</v>
      </c>
      <c r="DS482" s="27" t="s">
        <v>8</v>
      </c>
      <c r="DT482" s="27" t="s">
        <v>7</v>
      </c>
      <c r="DW482" s="27" t="s">
        <v>8</v>
      </c>
      <c r="EB482" s="27" t="s">
        <v>7</v>
      </c>
      <c r="EC482" s="27" t="s">
        <v>8</v>
      </c>
      <c r="ES482" s="27" t="s">
        <v>8</v>
      </c>
      <c r="ET482" s="27" t="s">
        <v>7</v>
      </c>
      <c r="EU482" s="27" t="s">
        <v>8</v>
      </c>
      <c r="EV482" s="27" t="s">
        <v>7</v>
      </c>
      <c r="EY482" s="27" t="s">
        <v>8</v>
      </c>
      <c r="FL482" s="27" t="s">
        <v>7</v>
      </c>
      <c r="FM482" s="27" t="s">
        <v>8</v>
      </c>
      <c r="FN482" s="27" t="s">
        <v>7</v>
      </c>
      <c r="FQ482" s="27" t="s">
        <v>8</v>
      </c>
      <c r="FR482" s="27" t="s">
        <v>7</v>
      </c>
      <c r="FS482" s="27" t="s">
        <v>8</v>
      </c>
      <c r="FT482" s="27" t="s">
        <v>7</v>
      </c>
      <c r="FU482" s="27" t="s">
        <v>8</v>
      </c>
      <c r="FV482" s="27" t="s">
        <v>7</v>
      </c>
    </row>
    <row r="483" spans="1:192" x14ac:dyDescent="0.25">
      <c r="A483" s="7">
        <v>7.8418379462155041</v>
      </c>
      <c r="B483"/>
      <c r="C483"/>
      <c r="D483"/>
      <c r="E483"/>
      <c r="M483" s="27" t="s">
        <v>8</v>
      </c>
      <c r="N483" s="27" t="s">
        <v>7</v>
      </c>
      <c r="AC483" s="27" t="s">
        <v>8</v>
      </c>
      <c r="AD483" s="27" t="s">
        <v>7</v>
      </c>
      <c r="AE483" s="27" t="s">
        <v>8</v>
      </c>
      <c r="AF483" s="27" t="s">
        <v>7</v>
      </c>
      <c r="AG483" s="27" t="s">
        <v>8</v>
      </c>
      <c r="AH483" s="27" t="s">
        <v>7</v>
      </c>
      <c r="AJ483" s="27" t="s">
        <v>7</v>
      </c>
      <c r="AK483" s="27" t="s">
        <v>8</v>
      </c>
      <c r="BR483" s="27" t="s">
        <v>7</v>
      </c>
      <c r="BS483" s="27" t="s">
        <v>8</v>
      </c>
      <c r="BT483" s="27" t="s">
        <v>7</v>
      </c>
      <c r="BU483" s="27" t="s">
        <v>8</v>
      </c>
      <c r="BV483" s="27" t="s">
        <v>7</v>
      </c>
      <c r="BW483" s="27" t="s">
        <v>8</v>
      </c>
      <c r="BX483" s="27" t="s">
        <v>7</v>
      </c>
      <c r="BY483" s="27" t="s">
        <v>8</v>
      </c>
      <c r="CC483" s="27" t="s">
        <v>8</v>
      </c>
      <c r="CD483" s="27" t="s">
        <v>7</v>
      </c>
      <c r="CE483" s="27" t="s">
        <v>8</v>
      </c>
      <c r="CF483" s="27" t="s">
        <v>7</v>
      </c>
      <c r="CI483" s="27" t="s">
        <v>8</v>
      </c>
      <c r="DK483" s="27" t="s">
        <v>8</v>
      </c>
      <c r="DQ483" s="27" t="s">
        <v>8</v>
      </c>
      <c r="DR483" s="27" t="s">
        <v>7</v>
      </c>
      <c r="DS483" s="27" t="s">
        <v>8</v>
      </c>
      <c r="DT483" s="27" t="s">
        <v>7</v>
      </c>
      <c r="DU483" s="27" t="s">
        <v>8</v>
      </c>
      <c r="DW483" s="27" t="s">
        <v>8</v>
      </c>
      <c r="EB483" s="27" t="s">
        <v>7</v>
      </c>
      <c r="EC483" s="27" t="s">
        <v>8</v>
      </c>
      <c r="ED483" s="27" t="s">
        <v>7</v>
      </c>
      <c r="EI483" s="27" t="s">
        <v>8</v>
      </c>
      <c r="ES483" s="27" t="s">
        <v>8</v>
      </c>
      <c r="ET483" s="27" t="s">
        <v>7</v>
      </c>
      <c r="EU483" s="27" t="s">
        <v>8</v>
      </c>
      <c r="EV483" s="27" t="s">
        <v>7</v>
      </c>
      <c r="EY483" s="27" t="s">
        <v>8</v>
      </c>
      <c r="FL483" s="27" t="s">
        <v>7</v>
      </c>
      <c r="FM483" s="27" t="s">
        <v>8</v>
      </c>
      <c r="FN483" s="27" t="s">
        <v>7</v>
      </c>
      <c r="FO483" s="27" t="s">
        <v>8</v>
      </c>
      <c r="FQ483" s="27" t="s">
        <v>8</v>
      </c>
      <c r="FR483" s="27" t="s">
        <v>7</v>
      </c>
      <c r="FS483" s="27" t="s">
        <v>8</v>
      </c>
      <c r="FT483" s="27" t="s">
        <v>7</v>
      </c>
      <c r="FU483" s="27" t="s">
        <v>8</v>
      </c>
      <c r="FV483" s="27" t="s">
        <v>7</v>
      </c>
    </row>
    <row r="484" spans="1:192" x14ac:dyDescent="0.25">
      <c r="A484" s="7">
        <v>7.688076417858337</v>
      </c>
      <c r="B484"/>
      <c r="C484"/>
      <c r="D484"/>
      <c r="E484"/>
      <c r="M484" s="27" t="s">
        <v>8</v>
      </c>
      <c r="N484" s="27" t="s">
        <v>7</v>
      </c>
      <c r="AC484" s="27" t="s">
        <v>8</v>
      </c>
      <c r="AD484" s="27" t="s">
        <v>7</v>
      </c>
      <c r="AE484" s="27" t="s">
        <v>8</v>
      </c>
      <c r="AF484" s="27" t="s">
        <v>7</v>
      </c>
      <c r="AG484" s="27" t="s">
        <v>8</v>
      </c>
      <c r="AJ484" s="27" t="s">
        <v>7</v>
      </c>
      <c r="AK484" s="27" t="s">
        <v>8</v>
      </c>
      <c r="BR484" s="27" t="s">
        <v>7</v>
      </c>
      <c r="BS484" s="27" t="s">
        <v>8</v>
      </c>
      <c r="BT484" s="27" t="s">
        <v>7</v>
      </c>
      <c r="BU484" s="27" t="s">
        <v>8</v>
      </c>
      <c r="BV484" s="27" t="s">
        <v>7</v>
      </c>
      <c r="BW484" s="27" t="s">
        <v>8</v>
      </c>
      <c r="BX484" s="27" t="s">
        <v>7</v>
      </c>
      <c r="BY484" s="27" t="s">
        <v>8</v>
      </c>
      <c r="BZ484" s="27" t="s">
        <v>7</v>
      </c>
      <c r="CC484" s="27" t="s">
        <v>8</v>
      </c>
      <c r="CD484" s="27" t="s">
        <v>7</v>
      </c>
      <c r="CE484" s="27" t="s">
        <v>8</v>
      </c>
      <c r="CF484" s="27" t="s">
        <v>7</v>
      </c>
      <c r="CI484" s="27" t="s">
        <v>8</v>
      </c>
      <c r="CJ484" s="27" t="s">
        <v>7</v>
      </c>
      <c r="DK484" s="27" t="s">
        <v>8</v>
      </c>
      <c r="DL484" s="27" t="s">
        <v>7</v>
      </c>
      <c r="DO484" s="27" t="s">
        <v>8</v>
      </c>
      <c r="DQ484" s="27" t="s">
        <v>8</v>
      </c>
      <c r="DR484" s="27" t="s">
        <v>7</v>
      </c>
      <c r="DS484" s="27" t="s">
        <v>8</v>
      </c>
      <c r="DT484" s="27" t="s">
        <v>7</v>
      </c>
      <c r="DU484" s="27" t="s">
        <v>8</v>
      </c>
      <c r="DV484" s="27" t="s">
        <v>7</v>
      </c>
      <c r="DW484" s="27" t="s">
        <v>8</v>
      </c>
      <c r="EB484" s="27" t="s">
        <v>7</v>
      </c>
      <c r="EC484" s="27" t="s">
        <v>8</v>
      </c>
      <c r="ED484" s="27" t="s">
        <v>7</v>
      </c>
      <c r="EG484" s="27" t="s">
        <v>8</v>
      </c>
      <c r="EI484" s="27" t="s">
        <v>8</v>
      </c>
      <c r="EJ484" s="27" t="s">
        <v>7</v>
      </c>
      <c r="EQ484" s="27" t="s">
        <v>8</v>
      </c>
      <c r="ES484" s="27" t="s">
        <v>8</v>
      </c>
      <c r="ET484" s="27" t="s">
        <v>7</v>
      </c>
      <c r="EU484" s="27" t="s">
        <v>8</v>
      </c>
      <c r="EV484" s="27" t="s">
        <v>7</v>
      </c>
      <c r="EW484" s="27" t="s">
        <v>8</v>
      </c>
      <c r="EY484" s="27" t="s">
        <v>8</v>
      </c>
      <c r="FL484" s="27" t="s">
        <v>7</v>
      </c>
      <c r="FM484" s="27" t="s">
        <v>8</v>
      </c>
      <c r="FN484" s="27" t="s">
        <v>7</v>
      </c>
      <c r="FO484" s="27" t="s">
        <v>8</v>
      </c>
      <c r="FP484" s="27" t="s">
        <v>7</v>
      </c>
      <c r="FQ484" s="27" t="s">
        <v>8</v>
      </c>
      <c r="FR484" s="27" t="s">
        <v>7</v>
      </c>
      <c r="FS484" s="27" t="s">
        <v>8</v>
      </c>
      <c r="FT484" s="27" t="s">
        <v>7</v>
      </c>
      <c r="FU484" s="27" t="s">
        <v>8</v>
      </c>
      <c r="FV484" s="27" t="s">
        <v>7</v>
      </c>
    </row>
    <row r="485" spans="1:192" x14ac:dyDescent="0.25">
      <c r="A485" s="7">
        <v>7.5373298214297417</v>
      </c>
      <c r="B485"/>
      <c r="C485"/>
      <c r="D485"/>
      <c r="E485"/>
      <c r="M485" s="27" t="s">
        <v>8</v>
      </c>
      <c r="N485" s="27" t="s">
        <v>7</v>
      </c>
      <c r="AC485" s="27" t="s">
        <v>8</v>
      </c>
      <c r="AD485" s="27" t="s">
        <v>7</v>
      </c>
      <c r="AE485" s="27" t="s">
        <v>8</v>
      </c>
      <c r="AF485" s="27" t="s">
        <v>7</v>
      </c>
      <c r="AJ485" s="27" t="s">
        <v>7</v>
      </c>
      <c r="AK485" s="27" t="s">
        <v>8</v>
      </c>
      <c r="BR485" s="27" t="s">
        <v>7</v>
      </c>
      <c r="BS485" s="27" t="s">
        <v>8</v>
      </c>
      <c r="BT485" s="27" t="s">
        <v>7</v>
      </c>
      <c r="BU485" s="27" t="s">
        <v>8</v>
      </c>
      <c r="BV485" s="27" t="s">
        <v>7</v>
      </c>
      <c r="BW485" s="27" t="s">
        <v>8</v>
      </c>
      <c r="BX485" s="27" t="s">
        <v>7</v>
      </c>
      <c r="BY485" s="27" t="s">
        <v>8</v>
      </c>
      <c r="BZ485" s="27" t="s">
        <v>7</v>
      </c>
      <c r="CA485" s="27" t="s">
        <v>8</v>
      </c>
      <c r="CC485" s="27" t="s">
        <v>8</v>
      </c>
      <c r="CD485" s="27" t="s">
        <v>7</v>
      </c>
      <c r="CE485" s="27" t="s">
        <v>8</v>
      </c>
      <c r="CF485" s="27" t="s">
        <v>7</v>
      </c>
      <c r="CI485" s="27" t="s">
        <v>8</v>
      </c>
      <c r="CJ485" s="27" t="s">
        <v>7</v>
      </c>
      <c r="CK485" s="27" t="s">
        <v>8</v>
      </c>
      <c r="DK485" s="27" t="s">
        <v>8</v>
      </c>
      <c r="DL485" s="27" t="s">
        <v>7</v>
      </c>
      <c r="DM485" s="27" t="s">
        <v>8</v>
      </c>
      <c r="DO485" s="27" t="s">
        <v>8</v>
      </c>
      <c r="DP485" s="27" t="s">
        <v>7</v>
      </c>
      <c r="DQ485" s="27" t="s">
        <v>8</v>
      </c>
      <c r="DR485" s="27" t="s">
        <v>7</v>
      </c>
      <c r="DT485" s="27" t="s">
        <v>7</v>
      </c>
      <c r="DU485" s="27" t="s">
        <v>8</v>
      </c>
      <c r="DV485" s="27" t="s">
        <v>7</v>
      </c>
      <c r="DW485" s="27" t="s">
        <v>8</v>
      </c>
      <c r="EB485" s="27" t="s">
        <v>7</v>
      </c>
      <c r="EC485" s="27" t="s">
        <v>8</v>
      </c>
      <c r="ED485" s="27" t="s">
        <v>7</v>
      </c>
      <c r="EE485" s="27" t="s">
        <v>8</v>
      </c>
      <c r="EG485" s="27" t="s">
        <v>8</v>
      </c>
      <c r="EH485" s="27" t="s">
        <v>7</v>
      </c>
      <c r="EI485" s="27" t="s">
        <v>8</v>
      </c>
      <c r="EJ485" s="27" t="s">
        <v>7</v>
      </c>
      <c r="EQ485" s="27" t="s">
        <v>8</v>
      </c>
      <c r="ER485" s="27" t="s">
        <v>7</v>
      </c>
      <c r="ES485" s="27" t="s">
        <v>8</v>
      </c>
      <c r="ET485" s="27" t="s">
        <v>7</v>
      </c>
      <c r="EU485" s="27" t="s">
        <v>8</v>
      </c>
      <c r="EV485" s="27" t="s">
        <v>7</v>
      </c>
      <c r="EW485" s="27" t="s">
        <v>8</v>
      </c>
      <c r="EX485" s="27" t="s">
        <v>7</v>
      </c>
      <c r="EY485" s="27" t="s">
        <v>8</v>
      </c>
      <c r="FL485" s="27" t="s">
        <v>7</v>
      </c>
      <c r="FM485" s="27" t="s">
        <v>8</v>
      </c>
      <c r="FN485" s="27" t="s">
        <v>7</v>
      </c>
      <c r="FO485" s="27" t="s">
        <v>8</v>
      </c>
      <c r="FP485" s="27" t="s">
        <v>7</v>
      </c>
      <c r="FQ485" s="27" t="s">
        <v>8</v>
      </c>
      <c r="FR485" s="27" t="s">
        <v>7</v>
      </c>
      <c r="FS485" s="27" t="s">
        <v>8</v>
      </c>
      <c r="FT485" s="27" t="s">
        <v>7</v>
      </c>
      <c r="FV485" s="27" t="s">
        <v>7</v>
      </c>
    </row>
    <row r="486" spans="1:192" x14ac:dyDescent="0.25">
      <c r="A486" s="7">
        <v>7.389539040617394</v>
      </c>
      <c r="B486"/>
      <c r="C486"/>
      <c r="D486"/>
      <c r="E486"/>
      <c r="M486" s="27" t="s">
        <v>8</v>
      </c>
      <c r="N486" s="27" t="s">
        <v>7</v>
      </c>
      <c r="W486" s="27" t="s">
        <v>8</v>
      </c>
      <c r="AC486" s="27" t="s">
        <v>8</v>
      </c>
      <c r="AD486" s="27" t="s">
        <v>7</v>
      </c>
      <c r="AE486" s="27" t="s">
        <v>8</v>
      </c>
      <c r="AJ486" s="27" t="s">
        <v>7</v>
      </c>
      <c r="AK486" s="27" t="s">
        <v>8</v>
      </c>
      <c r="BR486" s="27" t="s">
        <v>7</v>
      </c>
      <c r="BS486" s="27" t="s">
        <v>8</v>
      </c>
      <c r="BT486" s="27" t="s">
        <v>7</v>
      </c>
      <c r="BU486" s="27" t="s">
        <v>8</v>
      </c>
      <c r="BV486" s="27" t="s">
        <v>7</v>
      </c>
      <c r="BW486" s="27" t="s">
        <v>8</v>
      </c>
      <c r="BX486" s="27" t="s">
        <v>7</v>
      </c>
      <c r="BY486" s="27" t="s">
        <v>8</v>
      </c>
      <c r="BZ486" s="27" t="s">
        <v>7</v>
      </c>
      <c r="CA486" s="27" t="s">
        <v>8</v>
      </c>
      <c r="CB486" s="27" t="s">
        <v>7</v>
      </c>
      <c r="CC486" s="27" t="s">
        <v>8</v>
      </c>
      <c r="CD486" s="27" t="s">
        <v>7</v>
      </c>
      <c r="CF486" s="27" t="s">
        <v>7</v>
      </c>
      <c r="CG486" s="27" t="s">
        <v>8</v>
      </c>
      <c r="CI486" s="27" t="s">
        <v>8</v>
      </c>
      <c r="CJ486" s="27" t="s">
        <v>7</v>
      </c>
      <c r="CK486" s="27" t="s">
        <v>8</v>
      </c>
      <c r="CL486" s="27" t="s">
        <v>7</v>
      </c>
      <c r="DI486" s="27" t="s">
        <v>8</v>
      </c>
      <c r="DK486" s="27" t="s">
        <v>8</v>
      </c>
      <c r="DL486" s="27" t="s">
        <v>7</v>
      </c>
      <c r="DM486" s="27" t="s">
        <v>8</v>
      </c>
      <c r="DN486" s="27" t="s">
        <v>7</v>
      </c>
      <c r="DO486" s="27" t="s">
        <v>8</v>
      </c>
      <c r="DP486" s="27" t="s">
        <v>7</v>
      </c>
      <c r="DQ486" s="27" t="s">
        <v>8</v>
      </c>
      <c r="DT486" s="27" t="s">
        <v>7</v>
      </c>
      <c r="DU486" s="27" t="s">
        <v>8</v>
      </c>
      <c r="DV486" s="27" t="s">
        <v>7</v>
      </c>
      <c r="DW486" s="27" t="s">
        <v>8</v>
      </c>
      <c r="EB486" s="27" t="s">
        <v>7</v>
      </c>
      <c r="EC486" s="27" t="s">
        <v>8</v>
      </c>
      <c r="ED486" s="27" t="s">
        <v>7</v>
      </c>
      <c r="EE486" s="27" t="s">
        <v>8</v>
      </c>
      <c r="EF486" s="27" t="s">
        <v>7</v>
      </c>
      <c r="EG486" s="27" t="s">
        <v>8</v>
      </c>
      <c r="EH486" s="27" t="s">
        <v>7</v>
      </c>
      <c r="EI486" s="27" t="s">
        <v>8</v>
      </c>
      <c r="EJ486" s="27" t="s">
        <v>7</v>
      </c>
      <c r="EQ486" s="27" t="s">
        <v>8</v>
      </c>
      <c r="ER486" s="27" t="s">
        <v>7</v>
      </c>
      <c r="ES486" s="27" t="s">
        <v>8</v>
      </c>
      <c r="ET486" s="27" t="s">
        <v>7</v>
      </c>
      <c r="EU486" s="27" t="s">
        <v>8</v>
      </c>
      <c r="EV486" s="27" t="s">
        <v>7</v>
      </c>
      <c r="EW486" s="27" t="s">
        <v>8</v>
      </c>
      <c r="EX486" s="27" t="s">
        <v>7</v>
      </c>
      <c r="EY486" s="27" t="s">
        <v>8</v>
      </c>
      <c r="FL486" s="27" t="s">
        <v>7</v>
      </c>
      <c r="FM486" s="27" t="s">
        <v>8</v>
      </c>
      <c r="FN486" s="27" t="s">
        <v>7</v>
      </c>
      <c r="FO486" s="27" t="s">
        <v>8</v>
      </c>
      <c r="FP486" s="27" t="s">
        <v>7</v>
      </c>
      <c r="FQ486" s="27" t="s">
        <v>8</v>
      </c>
      <c r="FR486" s="27" t="s">
        <v>7</v>
      </c>
      <c r="FS486" s="27" t="s">
        <v>8</v>
      </c>
      <c r="FV486" s="27" t="s">
        <v>7</v>
      </c>
    </row>
    <row r="487" spans="1:192" x14ac:dyDescent="0.25">
      <c r="A487" s="7">
        <v>7.2446461182523469</v>
      </c>
      <c r="B487"/>
      <c r="C487"/>
      <c r="D487"/>
      <c r="E487"/>
      <c r="M487" s="27" t="s">
        <v>8</v>
      </c>
      <c r="N487" s="27" t="s">
        <v>7</v>
      </c>
      <c r="O487" s="27" t="s">
        <v>8</v>
      </c>
      <c r="W487" s="27" t="s">
        <v>8</v>
      </c>
      <c r="X487" s="27" t="s">
        <v>7</v>
      </c>
      <c r="AC487" s="27" t="s">
        <v>8</v>
      </c>
      <c r="AD487" s="27" t="s">
        <v>7</v>
      </c>
      <c r="AJ487" s="27" t="s">
        <v>7</v>
      </c>
      <c r="AK487" s="27" t="s">
        <v>8</v>
      </c>
      <c r="BR487" s="27" t="s">
        <v>7</v>
      </c>
      <c r="BS487" s="27" t="s">
        <v>8</v>
      </c>
      <c r="BT487" s="27" t="s">
        <v>7</v>
      </c>
      <c r="BU487" s="27" t="s">
        <v>8</v>
      </c>
      <c r="BV487" s="27" t="s">
        <v>7</v>
      </c>
      <c r="BW487" s="27" t="s">
        <v>8</v>
      </c>
      <c r="BX487" s="27" t="s">
        <v>7</v>
      </c>
      <c r="BY487" s="27" t="s">
        <v>8</v>
      </c>
      <c r="BZ487" s="27" t="s">
        <v>7</v>
      </c>
      <c r="CA487" s="27" t="s">
        <v>8</v>
      </c>
      <c r="CB487" s="27" t="s">
        <v>7</v>
      </c>
      <c r="CC487" s="27" t="s">
        <v>8</v>
      </c>
      <c r="CF487" s="27" t="s">
        <v>7</v>
      </c>
      <c r="CG487" s="27" t="s">
        <v>8</v>
      </c>
      <c r="CH487" s="27" t="s">
        <v>7</v>
      </c>
      <c r="CI487" s="27" t="s">
        <v>8</v>
      </c>
      <c r="CJ487" s="27" t="s">
        <v>7</v>
      </c>
      <c r="CK487" s="27" t="s">
        <v>8</v>
      </c>
      <c r="CL487" s="27" t="s">
        <v>7</v>
      </c>
      <c r="DI487" s="27" t="s">
        <v>8</v>
      </c>
      <c r="DJ487" s="27" t="s">
        <v>7</v>
      </c>
      <c r="DK487" s="27" t="s">
        <v>8</v>
      </c>
      <c r="DL487" s="27" t="s">
        <v>7</v>
      </c>
      <c r="DM487" s="27" t="s">
        <v>8</v>
      </c>
      <c r="DN487" s="27" t="s">
        <v>7</v>
      </c>
      <c r="DO487" s="27" t="s">
        <v>8</v>
      </c>
      <c r="DP487" s="27" t="s">
        <v>7</v>
      </c>
      <c r="DQ487" s="27" t="s">
        <v>8</v>
      </c>
      <c r="DT487" s="27" t="s">
        <v>7</v>
      </c>
      <c r="DV487" s="27" t="s">
        <v>7</v>
      </c>
      <c r="DW487" s="27" t="s">
        <v>8</v>
      </c>
      <c r="EB487" s="27" t="s">
        <v>7</v>
      </c>
      <c r="EC487" s="27" t="s">
        <v>8</v>
      </c>
      <c r="ED487" s="27" t="s">
        <v>7</v>
      </c>
      <c r="EE487" s="27" t="s">
        <v>8</v>
      </c>
      <c r="EF487" s="27" t="s">
        <v>7</v>
      </c>
      <c r="EG487" s="27" t="s">
        <v>8</v>
      </c>
      <c r="EH487" s="27" t="s">
        <v>7</v>
      </c>
      <c r="EI487" s="27" t="s">
        <v>8</v>
      </c>
      <c r="EJ487" s="27" t="s">
        <v>7</v>
      </c>
      <c r="EQ487" s="27" t="s">
        <v>8</v>
      </c>
      <c r="ER487" s="27" t="s">
        <v>7</v>
      </c>
      <c r="ES487" s="27" t="s">
        <v>8</v>
      </c>
      <c r="ET487" s="27" t="s">
        <v>7</v>
      </c>
      <c r="EU487" s="27" t="s">
        <v>8</v>
      </c>
      <c r="EV487" s="27" t="s">
        <v>7</v>
      </c>
      <c r="EW487" s="27" t="s">
        <v>8</v>
      </c>
      <c r="EX487" s="27" t="s">
        <v>7</v>
      </c>
      <c r="EY487" s="27" t="s">
        <v>8</v>
      </c>
      <c r="FL487" s="27" t="s">
        <v>7</v>
      </c>
      <c r="FM487" s="27" t="s">
        <v>8</v>
      </c>
      <c r="FN487" s="27" t="s">
        <v>7</v>
      </c>
      <c r="FO487" s="27" t="s">
        <v>8</v>
      </c>
      <c r="FP487" s="27" t="s">
        <v>7</v>
      </c>
      <c r="FR487" s="27" t="s">
        <v>7</v>
      </c>
      <c r="FS487" s="27" t="s">
        <v>8</v>
      </c>
      <c r="FV487" s="27" t="s">
        <v>7</v>
      </c>
    </row>
    <row r="488" spans="1:192" x14ac:dyDescent="0.25">
      <c r="A488" s="7">
        <v>7.1025942335807324</v>
      </c>
      <c r="B488"/>
      <c r="C488"/>
      <c r="D488"/>
      <c r="E488"/>
      <c r="M488" s="27" t="s">
        <v>8</v>
      </c>
      <c r="N488" s="27" t="s">
        <v>7</v>
      </c>
      <c r="O488" s="27" t="s">
        <v>8</v>
      </c>
      <c r="P488" s="27" t="s">
        <v>7</v>
      </c>
      <c r="W488" s="27" t="s">
        <v>8</v>
      </c>
      <c r="X488" s="27" t="s">
        <v>7</v>
      </c>
      <c r="AC488" s="27" t="s">
        <v>8</v>
      </c>
      <c r="AJ488" s="27" t="s">
        <v>7</v>
      </c>
      <c r="AK488" s="27" t="s">
        <v>8</v>
      </c>
      <c r="BR488" s="27" t="s">
        <v>7</v>
      </c>
      <c r="BS488" s="27" t="s">
        <v>8</v>
      </c>
      <c r="BT488" s="27" t="s">
        <v>7</v>
      </c>
      <c r="BU488" s="27" t="s">
        <v>8</v>
      </c>
      <c r="BV488" s="27" t="s">
        <v>7</v>
      </c>
      <c r="BW488" s="27" t="s">
        <v>8</v>
      </c>
      <c r="BX488" s="27" t="s">
        <v>7</v>
      </c>
      <c r="BY488" s="27" t="s">
        <v>8</v>
      </c>
      <c r="BZ488" s="27" t="s">
        <v>7</v>
      </c>
      <c r="CA488" s="27" t="s">
        <v>8</v>
      </c>
      <c r="CB488" s="27" t="s">
        <v>7</v>
      </c>
      <c r="CF488" s="27" t="s">
        <v>7</v>
      </c>
      <c r="CG488" s="27" t="s">
        <v>8</v>
      </c>
      <c r="CH488" s="27" t="s">
        <v>7</v>
      </c>
      <c r="CI488" s="27" t="s">
        <v>8</v>
      </c>
      <c r="CJ488" s="27" t="s">
        <v>7</v>
      </c>
      <c r="CK488" s="27" t="s">
        <v>8</v>
      </c>
      <c r="CL488" s="27" t="s">
        <v>7</v>
      </c>
      <c r="DI488" s="27" t="s">
        <v>8</v>
      </c>
      <c r="DJ488" s="27" t="s">
        <v>7</v>
      </c>
      <c r="DK488" s="27" t="s">
        <v>8</v>
      </c>
      <c r="DL488" s="27" t="s">
        <v>7</v>
      </c>
      <c r="DM488" s="27" t="s">
        <v>8</v>
      </c>
      <c r="DN488" s="27" t="s">
        <v>7</v>
      </c>
      <c r="DO488" s="27" t="s">
        <v>8</v>
      </c>
      <c r="DP488" s="27" t="s">
        <v>7</v>
      </c>
      <c r="DV488" s="27" t="s">
        <v>7</v>
      </c>
      <c r="EB488" s="27" t="s">
        <v>7</v>
      </c>
      <c r="EC488" s="27" t="s">
        <v>8</v>
      </c>
      <c r="ED488" s="27" t="s">
        <v>7</v>
      </c>
      <c r="EE488" s="27" t="s">
        <v>8</v>
      </c>
      <c r="EF488" s="27" t="s">
        <v>7</v>
      </c>
      <c r="EG488" s="27" t="s">
        <v>8</v>
      </c>
      <c r="EH488" s="27" t="s">
        <v>7</v>
      </c>
      <c r="EI488" s="27" t="s">
        <v>8</v>
      </c>
      <c r="EJ488" s="27" t="s">
        <v>7</v>
      </c>
      <c r="EQ488" s="27" t="s">
        <v>8</v>
      </c>
      <c r="ER488" s="27" t="s">
        <v>7</v>
      </c>
      <c r="ES488" s="27" t="s">
        <v>8</v>
      </c>
      <c r="ET488" s="27" t="s">
        <v>7</v>
      </c>
      <c r="EU488" s="27" t="s">
        <v>8</v>
      </c>
      <c r="EV488" s="27" t="s">
        <v>7</v>
      </c>
      <c r="EX488" s="27" t="s">
        <v>7</v>
      </c>
      <c r="EY488" s="27" t="s">
        <v>8</v>
      </c>
      <c r="FL488" s="27" t="s">
        <v>7</v>
      </c>
      <c r="FM488" s="27" t="s">
        <v>8</v>
      </c>
      <c r="FN488" s="27" t="s">
        <v>7</v>
      </c>
      <c r="FR488" s="27" t="s">
        <v>7</v>
      </c>
      <c r="FV488" s="27" t="s">
        <v>7</v>
      </c>
      <c r="GI488" s="27" t="s">
        <v>8</v>
      </c>
    </row>
    <row r="489" spans="1:192" x14ac:dyDescent="0.25">
      <c r="A489" s="7">
        <v>6.9633276799811101</v>
      </c>
      <c r="B489"/>
      <c r="C489"/>
      <c r="D489"/>
      <c r="E489"/>
      <c r="M489" s="27" t="s">
        <v>8</v>
      </c>
      <c r="N489" s="27" t="s">
        <v>7</v>
      </c>
      <c r="O489" s="27" t="s">
        <v>8</v>
      </c>
      <c r="P489" s="27" t="s">
        <v>7</v>
      </c>
      <c r="Q489" s="27" t="s">
        <v>8</v>
      </c>
      <c r="W489" s="27" t="s">
        <v>8</v>
      </c>
      <c r="X489" s="27" t="s">
        <v>7</v>
      </c>
      <c r="AA489" s="27" t="s">
        <v>8</v>
      </c>
      <c r="AC489" s="27" t="s">
        <v>8</v>
      </c>
      <c r="AJ489" s="27" t="s">
        <v>7</v>
      </c>
      <c r="AK489" s="27" t="s">
        <v>8</v>
      </c>
      <c r="BR489" s="27" t="s">
        <v>7</v>
      </c>
      <c r="BS489" s="27" t="s">
        <v>8</v>
      </c>
      <c r="BT489" s="27" t="s">
        <v>7</v>
      </c>
      <c r="BU489" s="27" t="s">
        <v>8</v>
      </c>
      <c r="BV489" s="27" t="s">
        <v>7</v>
      </c>
      <c r="BW489" s="27" t="s">
        <v>8</v>
      </c>
      <c r="BX489" s="27" t="s">
        <v>7</v>
      </c>
      <c r="BY489" s="27" t="s">
        <v>8</v>
      </c>
      <c r="BZ489" s="27" t="s">
        <v>7</v>
      </c>
      <c r="CA489" s="27" t="s">
        <v>8</v>
      </c>
      <c r="CF489" s="27" t="s">
        <v>7</v>
      </c>
      <c r="CG489" s="27" t="s">
        <v>8</v>
      </c>
      <c r="CH489" s="27" t="s">
        <v>7</v>
      </c>
      <c r="CI489" s="27" t="s">
        <v>8</v>
      </c>
      <c r="CJ489" s="27" t="s">
        <v>7</v>
      </c>
      <c r="CK489" s="27" t="s">
        <v>8</v>
      </c>
      <c r="CL489" s="27" t="s">
        <v>7</v>
      </c>
      <c r="DI489" s="27" t="s">
        <v>8</v>
      </c>
      <c r="DJ489" s="27" t="s">
        <v>7</v>
      </c>
      <c r="DK489" s="27" t="s">
        <v>8</v>
      </c>
      <c r="DL489" s="27" t="s">
        <v>7</v>
      </c>
      <c r="DN489" s="27" t="s">
        <v>7</v>
      </c>
      <c r="DO489" s="27" t="s">
        <v>8</v>
      </c>
      <c r="EB489" s="27" t="s">
        <v>7</v>
      </c>
      <c r="EC489" s="27" t="s">
        <v>8</v>
      </c>
      <c r="ED489" s="27" t="s">
        <v>7</v>
      </c>
      <c r="EF489" s="27" t="s">
        <v>7</v>
      </c>
      <c r="EG489" s="27" t="s">
        <v>8</v>
      </c>
      <c r="EH489" s="27" t="s">
        <v>7</v>
      </c>
      <c r="EJ489" s="27" t="s">
        <v>7</v>
      </c>
      <c r="EQ489" s="27" t="s">
        <v>8</v>
      </c>
      <c r="ER489" s="27" t="s">
        <v>7</v>
      </c>
      <c r="ES489" s="27" t="s">
        <v>8</v>
      </c>
      <c r="ET489" s="27" t="s">
        <v>7</v>
      </c>
      <c r="EX489" s="27" t="s">
        <v>7</v>
      </c>
      <c r="EY489" s="27" t="s">
        <v>8</v>
      </c>
      <c r="FL489" s="27" t="s">
        <v>7</v>
      </c>
      <c r="FM489" s="27" t="s">
        <v>8</v>
      </c>
      <c r="FV489" s="27" t="s">
        <v>7</v>
      </c>
      <c r="GI489" s="27" t="s">
        <v>8</v>
      </c>
      <c r="GJ489" s="27" t="s">
        <v>7</v>
      </c>
    </row>
    <row r="490" spans="1:192" x14ac:dyDescent="0.25">
      <c r="A490" s="7">
        <v>6.8267918431187349</v>
      </c>
      <c r="B490"/>
      <c r="C490"/>
      <c r="D490"/>
      <c r="E490"/>
      <c r="M490" s="27" t="s">
        <v>8</v>
      </c>
      <c r="N490" s="27" t="s">
        <v>7</v>
      </c>
      <c r="O490" s="27" t="s">
        <v>8</v>
      </c>
      <c r="P490" s="27" t="s">
        <v>7</v>
      </c>
      <c r="Q490" s="27" t="s">
        <v>8</v>
      </c>
      <c r="R490" s="27" t="s">
        <v>7</v>
      </c>
      <c r="W490" s="27" t="s">
        <v>8</v>
      </c>
      <c r="X490" s="27" t="s">
        <v>7</v>
      </c>
      <c r="AA490" s="27" t="s">
        <v>8</v>
      </c>
      <c r="AB490" s="27" t="s">
        <v>7</v>
      </c>
      <c r="AC490" s="27" t="s">
        <v>8</v>
      </c>
      <c r="AJ490" s="27" t="s">
        <v>7</v>
      </c>
      <c r="AK490" s="27" t="s">
        <v>8</v>
      </c>
      <c r="BR490" s="27" t="s">
        <v>7</v>
      </c>
      <c r="BS490" s="27" t="s">
        <v>8</v>
      </c>
      <c r="BT490" s="27" t="s">
        <v>7</v>
      </c>
      <c r="BV490" s="27" t="s">
        <v>7</v>
      </c>
      <c r="BW490" s="27" t="s">
        <v>8</v>
      </c>
      <c r="BX490" s="27" t="s">
        <v>7</v>
      </c>
      <c r="BY490" s="27" t="s">
        <v>8</v>
      </c>
      <c r="BZ490" s="27" t="s">
        <v>7</v>
      </c>
      <c r="CA490" s="27" t="s">
        <v>8</v>
      </c>
      <c r="CF490" s="27" t="s">
        <v>7</v>
      </c>
      <c r="CG490" s="27" t="s">
        <v>8</v>
      </c>
      <c r="CH490" s="27" t="s">
        <v>7</v>
      </c>
      <c r="CJ490" s="27" t="s">
        <v>7</v>
      </c>
      <c r="CK490" s="27" t="s">
        <v>8</v>
      </c>
      <c r="CL490" s="27" t="s">
        <v>7</v>
      </c>
      <c r="DI490" s="27" t="s">
        <v>8</v>
      </c>
      <c r="DJ490" s="27" t="s">
        <v>7</v>
      </c>
      <c r="DK490" s="27" t="s">
        <v>8</v>
      </c>
      <c r="DN490" s="27" t="s">
        <v>7</v>
      </c>
      <c r="DO490" s="27" t="s">
        <v>8</v>
      </c>
      <c r="EB490" s="27" t="s">
        <v>7</v>
      </c>
      <c r="EC490" s="27" t="s">
        <v>8</v>
      </c>
      <c r="EF490" s="27" t="s">
        <v>7</v>
      </c>
      <c r="EJ490" s="27" t="s">
        <v>7</v>
      </c>
      <c r="EQ490" s="27" t="s">
        <v>8</v>
      </c>
      <c r="ER490" s="27" t="s">
        <v>7</v>
      </c>
      <c r="ES490" s="27" t="s">
        <v>8</v>
      </c>
      <c r="EX490" s="27" t="s">
        <v>7</v>
      </c>
      <c r="FL490" s="27" t="s">
        <v>7</v>
      </c>
      <c r="FM490" s="27" t="s">
        <v>8</v>
      </c>
      <c r="FV490" s="27" t="s">
        <v>7</v>
      </c>
      <c r="GI490" s="27" t="s">
        <v>8</v>
      </c>
      <c r="GJ490" s="27" t="s">
        <v>7</v>
      </c>
    </row>
    <row r="491" spans="1:192" x14ac:dyDescent="0.25">
      <c r="A491" s="7">
        <v>6.692933179528171</v>
      </c>
      <c r="B491"/>
      <c r="C491"/>
      <c r="D491"/>
      <c r="E491"/>
      <c r="M491" s="27" t="s">
        <v>8</v>
      </c>
      <c r="N491" s="27" t="s">
        <v>7</v>
      </c>
      <c r="O491" s="27" t="s">
        <v>8</v>
      </c>
      <c r="P491" s="27" t="s">
        <v>7</v>
      </c>
      <c r="Q491" s="27" t="s">
        <v>8</v>
      </c>
      <c r="R491" s="27" t="s">
        <v>7</v>
      </c>
      <c r="W491" s="27" t="s">
        <v>8</v>
      </c>
      <c r="X491" s="27" t="s">
        <v>7</v>
      </c>
      <c r="Y491" s="27" t="s">
        <v>8</v>
      </c>
      <c r="AA491" s="27" t="s">
        <v>8</v>
      </c>
      <c r="AB491" s="27" t="s">
        <v>7</v>
      </c>
      <c r="AC491" s="27" t="s">
        <v>8</v>
      </c>
      <c r="AJ491" s="27" t="s">
        <v>7</v>
      </c>
      <c r="BR491" s="27" t="s">
        <v>7</v>
      </c>
      <c r="BS491" s="27" t="s">
        <v>8</v>
      </c>
      <c r="BV491" s="27" t="s">
        <v>7</v>
      </c>
      <c r="BW491" s="27" t="s">
        <v>8</v>
      </c>
      <c r="BX491" s="27" t="s">
        <v>7</v>
      </c>
      <c r="BY491" s="27" t="s">
        <v>8</v>
      </c>
      <c r="BZ491" s="27" t="s">
        <v>7</v>
      </c>
      <c r="CA491" s="27" t="s">
        <v>8</v>
      </c>
      <c r="CF491" s="27" t="s">
        <v>7</v>
      </c>
      <c r="CG491" s="27" t="s">
        <v>8</v>
      </c>
      <c r="CJ491" s="27" t="s">
        <v>7</v>
      </c>
      <c r="CK491" s="27" t="s">
        <v>8</v>
      </c>
      <c r="CL491" s="27" t="s">
        <v>7</v>
      </c>
      <c r="DG491" s="27" t="s">
        <v>8</v>
      </c>
      <c r="DI491" s="27" t="s">
        <v>8</v>
      </c>
      <c r="DJ491" s="27" t="s">
        <v>7</v>
      </c>
      <c r="DK491" s="27" t="s">
        <v>8</v>
      </c>
      <c r="DN491" s="27" t="s">
        <v>7</v>
      </c>
      <c r="DO491" s="27" t="s">
        <v>8</v>
      </c>
      <c r="EB491" s="27" t="s">
        <v>7</v>
      </c>
      <c r="EJ491" s="27" t="s">
        <v>7</v>
      </c>
      <c r="EK491" s="27" t="s">
        <v>8</v>
      </c>
      <c r="EQ491" s="27" t="s">
        <v>8</v>
      </c>
      <c r="ER491" s="27" t="s">
        <v>7</v>
      </c>
      <c r="FL491" s="27" t="s">
        <v>7</v>
      </c>
      <c r="FV491" s="27" t="s">
        <v>7</v>
      </c>
      <c r="GI491" s="27" t="s">
        <v>8</v>
      </c>
      <c r="GJ491" s="27" t="s">
        <v>7</v>
      </c>
    </row>
    <row r="492" spans="1:192" x14ac:dyDescent="0.25">
      <c r="A492" s="7">
        <v>6.5616991956158541</v>
      </c>
      <c r="B492"/>
      <c r="C492"/>
      <c r="D492"/>
      <c r="E492"/>
      <c r="M492" s="27" t="s">
        <v>8</v>
      </c>
      <c r="N492" s="27" t="s">
        <v>7</v>
      </c>
      <c r="O492" s="27" t="s">
        <v>8</v>
      </c>
      <c r="P492" s="27" t="s">
        <v>7</v>
      </c>
      <c r="Q492" s="27" t="s">
        <v>8</v>
      </c>
      <c r="R492" s="27" t="s">
        <v>7</v>
      </c>
      <c r="W492" s="27" t="s">
        <v>8</v>
      </c>
      <c r="X492" s="27" t="s">
        <v>7</v>
      </c>
      <c r="Y492" s="27" t="s">
        <v>8</v>
      </c>
      <c r="Z492" s="27" t="s">
        <v>7</v>
      </c>
      <c r="AA492" s="27" t="s">
        <v>8</v>
      </c>
      <c r="AB492" s="27" t="s">
        <v>7</v>
      </c>
      <c r="AC492" s="27" t="s">
        <v>8</v>
      </c>
      <c r="BR492" s="27" t="s">
        <v>7</v>
      </c>
      <c r="BS492" s="27" t="s">
        <v>8</v>
      </c>
      <c r="BV492" s="27" t="s">
        <v>7</v>
      </c>
      <c r="BW492" s="27" t="s">
        <v>8</v>
      </c>
      <c r="BX492" s="27" t="s">
        <v>7</v>
      </c>
      <c r="BY492" s="27" t="s">
        <v>8</v>
      </c>
      <c r="BZ492" s="27" t="s">
        <v>7</v>
      </c>
      <c r="CA492" s="27" t="s">
        <v>8</v>
      </c>
      <c r="CF492" s="27" t="s">
        <v>7</v>
      </c>
      <c r="CG492" s="27" t="s">
        <v>8</v>
      </c>
      <c r="CJ492" s="27" t="s">
        <v>7</v>
      </c>
      <c r="CK492" s="27" t="s">
        <v>8</v>
      </c>
      <c r="CL492" s="27" t="s">
        <v>7</v>
      </c>
      <c r="DG492" s="27" t="s">
        <v>8</v>
      </c>
      <c r="DH492" s="27" t="s">
        <v>7</v>
      </c>
      <c r="DI492" s="27" t="s">
        <v>8</v>
      </c>
      <c r="DJ492" s="27" t="s">
        <v>7</v>
      </c>
      <c r="DK492" s="27" t="s">
        <v>8</v>
      </c>
      <c r="DN492" s="27" t="s">
        <v>7</v>
      </c>
      <c r="DO492" s="27" t="s">
        <v>8</v>
      </c>
      <c r="EJ492" s="27" t="s">
        <v>7</v>
      </c>
      <c r="EK492" s="27" t="s">
        <v>8</v>
      </c>
      <c r="EL492" s="27" t="s">
        <v>7</v>
      </c>
      <c r="EQ492" s="27" t="s">
        <v>8</v>
      </c>
      <c r="FV492" s="27" t="s">
        <v>7</v>
      </c>
      <c r="FW492" s="27" t="s">
        <v>8</v>
      </c>
      <c r="GI492" s="27" t="s">
        <v>8</v>
      </c>
      <c r="GJ492" s="27" t="s">
        <v>7</v>
      </c>
    </row>
    <row r="493" spans="1:192" x14ac:dyDescent="0.25">
      <c r="A493" s="7">
        <v>6.4330384270743668</v>
      </c>
      <c r="B493"/>
      <c r="C493"/>
      <c r="D493"/>
      <c r="E493"/>
      <c r="M493" s="27" t="s">
        <v>8</v>
      </c>
      <c r="N493" s="27" t="s">
        <v>7</v>
      </c>
      <c r="O493" s="27" t="s">
        <v>8</v>
      </c>
      <c r="P493" s="27" t="s">
        <v>7</v>
      </c>
      <c r="Q493" s="27" t="s">
        <v>8</v>
      </c>
      <c r="R493" s="27" t="s">
        <v>7</v>
      </c>
      <c r="W493" s="27" t="s">
        <v>8</v>
      </c>
      <c r="X493" s="27" t="s">
        <v>7</v>
      </c>
      <c r="Y493" s="27" t="s">
        <v>8</v>
      </c>
      <c r="Z493" s="27" t="s">
        <v>7</v>
      </c>
      <c r="AA493" s="27" t="s">
        <v>8</v>
      </c>
      <c r="AB493" s="27" t="s">
        <v>7</v>
      </c>
      <c r="AC493" s="27" t="s">
        <v>8</v>
      </c>
      <c r="BR493" s="27" t="s">
        <v>7</v>
      </c>
      <c r="BS493" s="27" t="s">
        <v>8</v>
      </c>
      <c r="BV493" s="27" t="s">
        <v>7</v>
      </c>
      <c r="BW493" s="27" t="s">
        <v>8</v>
      </c>
      <c r="BX493" s="27" t="s">
        <v>7</v>
      </c>
      <c r="BY493" s="27" t="s">
        <v>8</v>
      </c>
      <c r="BZ493" s="27" t="s">
        <v>7</v>
      </c>
      <c r="CA493" s="27" t="s">
        <v>8</v>
      </c>
      <c r="CF493" s="27" t="s">
        <v>7</v>
      </c>
      <c r="CG493" s="27" t="s">
        <v>8</v>
      </c>
      <c r="CJ493" s="27" t="s">
        <v>7</v>
      </c>
      <c r="CL493" s="27" t="s">
        <v>7</v>
      </c>
      <c r="DG493" s="27" t="s">
        <v>8</v>
      </c>
      <c r="DH493" s="27" t="s">
        <v>7</v>
      </c>
      <c r="DI493" s="27" t="s">
        <v>8</v>
      </c>
      <c r="DJ493" s="27" t="s">
        <v>7</v>
      </c>
      <c r="DN493" s="27" t="s">
        <v>7</v>
      </c>
      <c r="DO493" s="27" t="s">
        <v>8</v>
      </c>
      <c r="EJ493" s="27" t="s">
        <v>7</v>
      </c>
      <c r="EK493" s="27" t="s">
        <v>8</v>
      </c>
      <c r="EL493" s="27" t="s">
        <v>7</v>
      </c>
      <c r="EQ493" s="27" t="s">
        <v>8</v>
      </c>
      <c r="FV493" s="27" t="s">
        <v>7</v>
      </c>
      <c r="FW493" s="27" t="s">
        <v>8</v>
      </c>
      <c r="FX493" s="27" t="s">
        <v>7</v>
      </c>
      <c r="GI493" s="27" t="s">
        <v>8</v>
      </c>
      <c r="GJ493" s="27" t="s">
        <v>7</v>
      </c>
    </row>
    <row r="494" spans="1:192" x14ac:dyDescent="0.25">
      <c r="A494" s="7">
        <v>6.3069004187003594</v>
      </c>
      <c r="B494"/>
      <c r="C494"/>
      <c r="D494"/>
      <c r="E494"/>
      <c r="M494" s="27" t="s">
        <v>8</v>
      </c>
      <c r="N494" s="27" t="s">
        <v>7</v>
      </c>
      <c r="O494" s="27" t="s">
        <v>8</v>
      </c>
      <c r="P494" s="27" t="s">
        <v>7</v>
      </c>
      <c r="Q494" s="27" t="s">
        <v>8</v>
      </c>
      <c r="R494" s="27" t="s">
        <v>7</v>
      </c>
      <c r="W494" s="27" t="s">
        <v>8</v>
      </c>
      <c r="X494" s="27" t="s">
        <v>7</v>
      </c>
      <c r="Y494" s="27" t="s">
        <v>8</v>
      </c>
      <c r="Z494" s="27" t="s">
        <v>7</v>
      </c>
      <c r="AA494" s="27" t="s">
        <v>8</v>
      </c>
      <c r="AB494" s="27" t="s">
        <v>7</v>
      </c>
      <c r="BR494" s="27" t="s">
        <v>7</v>
      </c>
      <c r="BS494" s="27" t="s">
        <v>8</v>
      </c>
      <c r="BV494" s="27" t="s">
        <v>7</v>
      </c>
      <c r="BW494" s="27" t="s">
        <v>8</v>
      </c>
      <c r="BX494" s="27" t="s">
        <v>7</v>
      </c>
      <c r="BZ494" s="27" t="s">
        <v>7</v>
      </c>
      <c r="CF494" s="27" t="s">
        <v>7</v>
      </c>
      <c r="CL494" s="27" t="s">
        <v>7</v>
      </c>
      <c r="DG494" s="27" t="s">
        <v>8</v>
      </c>
      <c r="DH494" s="27" t="s">
        <v>7</v>
      </c>
      <c r="DI494" s="27" t="s">
        <v>8</v>
      </c>
      <c r="DN494" s="27" t="s">
        <v>7</v>
      </c>
      <c r="EJ494" s="27" t="s">
        <v>7</v>
      </c>
      <c r="EK494" s="27" t="s">
        <v>8</v>
      </c>
      <c r="EL494" s="27" t="s">
        <v>7</v>
      </c>
      <c r="EQ494" s="27" t="s">
        <v>8</v>
      </c>
      <c r="FV494" s="27" t="s">
        <v>7</v>
      </c>
      <c r="FW494" s="27" t="s">
        <v>8</v>
      </c>
      <c r="FX494" s="27" t="s">
        <v>7</v>
      </c>
      <c r="FY494" s="27" t="s">
        <v>8</v>
      </c>
      <c r="GI494" s="27" t="s">
        <v>8</v>
      </c>
      <c r="GJ494" s="27" t="s">
        <v>7</v>
      </c>
    </row>
    <row r="495" spans="1:192" x14ac:dyDescent="0.25">
      <c r="A495" s="7">
        <v>6.1832357046081956</v>
      </c>
      <c r="B495"/>
      <c r="C495"/>
      <c r="D495"/>
      <c r="E495"/>
      <c r="K495" s="27" t="s">
        <v>8</v>
      </c>
      <c r="M495" s="27" t="s">
        <v>8</v>
      </c>
      <c r="N495" s="27" t="s">
        <v>7</v>
      </c>
      <c r="O495" s="27" t="s">
        <v>8</v>
      </c>
      <c r="P495" s="27" t="s">
        <v>7</v>
      </c>
      <c r="Q495" s="27" t="s">
        <v>8</v>
      </c>
      <c r="R495" s="27" t="s">
        <v>7</v>
      </c>
      <c r="W495" s="27" t="s">
        <v>8</v>
      </c>
      <c r="X495" s="27" t="s">
        <v>7</v>
      </c>
      <c r="Y495" s="27" t="s">
        <v>8</v>
      </c>
      <c r="Z495" s="27" t="s">
        <v>7</v>
      </c>
      <c r="BR495" s="27" t="s">
        <v>7</v>
      </c>
      <c r="BS495" s="27" t="s">
        <v>8</v>
      </c>
      <c r="BV495" s="27" t="s">
        <v>7</v>
      </c>
      <c r="BW495" s="27" t="s">
        <v>8</v>
      </c>
      <c r="CL495" s="27" t="s">
        <v>7</v>
      </c>
      <c r="DG495" s="27" t="s">
        <v>8</v>
      </c>
      <c r="DH495" s="27" t="s">
        <v>7</v>
      </c>
      <c r="DI495" s="27" t="s">
        <v>8</v>
      </c>
      <c r="EJ495" s="27" t="s">
        <v>7</v>
      </c>
      <c r="EK495" s="27" t="s">
        <v>8</v>
      </c>
      <c r="EL495" s="27" t="s">
        <v>7</v>
      </c>
      <c r="EQ495" s="27" t="s">
        <v>8</v>
      </c>
      <c r="FV495" s="27" t="s">
        <v>7</v>
      </c>
      <c r="FW495" s="27" t="s">
        <v>8</v>
      </c>
      <c r="FX495" s="27" t="s">
        <v>7</v>
      </c>
      <c r="FY495" s="27" t="s">
        <v>8</v>
      </c>
      <c r="FZ495" s="27" t="s">
        <v>7</v>
      </c>
      <c r="GA495" s="27" t="s">
        <v>8</v>
      </c>
      <c r="GI495" s="27" t="s">
        <v>8</v>
      </c>
      <c r="GJ495" s="27" t="s">
        <v>7</v>
      </c>
    </row>
    <row r="496" spans="1:192" x14ac:dyDescent="0.25">
      <c r="A496" s="7">
        <v>6.0619957888315641</v>
      </c>
      <c r="B496"/>
      <c r="C496"/>
      <c r="D496"/>
      <c r="E496"/>
      <c r="K496" s="27" t="s">
        <v>8</v>
      </c>
      <c r="L496" s="27" t="s">
        <v>7</v>
      </c>
      <c r="M496" s="27" t="s">
        <v>8</v>
      </c>
      <c r="N496" s="27" t="s">
        <v>7</v>
      </c>
      <c r="O496" s="27" t="s">
        <v>8</v>
      </c>
      <c r="P496" s="27" t="s">
        <v>7</v>
      </c>
      <c r="R496" s="27" t="s">
        <v>7</v>
      </c>
      <c r="W496" s="27" t="s">
        <v>8</v>
      </c>
      <c r="X496" s="27" t="s">
        <v>7</v>
      </c>
      <c r="Y496" s="27" t="s">
        <v>8</v>
      </c>
      <c r="BR496" s="27" t="s">
        <v>7</v>
      </c>
      <c r="BV496" s="27" t="s">
        <v>7</v>
      </c>
      <c r="BW496" s="27" t="s">
        <v>8</v>
      </c>
      <c r="CL496" s="27" t="s">
        <v>7</v>
      </c>
      <c r="DG496" s="27" t="s">
        <v>8</v>
      </c>
      <c r="DH496" s="27" t="s">
        <v>7</v>
      </c>
      <c r="DI496" s="27" t="s">
        <v>8</v>
      </c>
      <c r="EJ496" s="27" t="s">
        <v>7</v>
      </c>
      <c r="EK496" s="27" t="s">
        <v>8</v>
      </c>
      <c r="EL496" s="27" t="s">
        <v>7</v>
      </c>
      <c r="EQ496" s="27" t="s">
        <v>8</v>
      </c>
      <c r="FV496" s="27" t="s">
        <v>7</v>
      </c>
      <c r="FW496" s="27" t="s">
        <v>8</v>
      </c>
      <c r="FX496" s="27" t="s">
        <v>7</v>
      </c>
      <c r="FY496" s="27" t="s">
        <v>8</v>
      </c>
      <c r="FZ496" s="27" t="s">
        <v>7</v>
      </c>
      <c r="GA496" s="27" t="s">
        <v>8</v>
      </c>
      <c r="GB496" s="27" t="s">
        <v>7</v>
      </c>
      <c r="GI496" s="27" t="s">
        <v>8</v>
      </c>
      <c r="GJ496" s="27" t="s">
        <v>7</v>
      </c>
    </row>
    <row r="497" spans="1:200" x14ac:dyDescent="0.25">
      <c r="A497" s="7">
        <v>5.9431331263054545</v>
      </c>
      <c r="B497"/>
      <c r="C497"/>
      <c r="D497"/>
      <c r="E497"/>
      <c r="K497" s="27" t="s">
        <v>8</v>
      </c>
      <c r="L497" s="27" t="s">
        <v>7</v>
      </c>
      <c r="M497" s="27" t="s">
        <v>8</v>
      </c>
      <c r="N497" s="27" t="s">
        <v>7</v>
      </c>
      <c r="O497" s="27" t="s">
        <v>8</v>
      </c>
      <c r="R497" s="27" t="s">
        <v>7</v>
      </c>
      <c r="U497" s="27" t="s">
        <v>8</v>
      </c>
      <c r="W497" s="27" t="s">
        <v>8</v>
      </c>
      <c r="X497" s="27" t="s">
        <v>7</v>
      </c>
      <c r="Y497" s="27" t="s">
        <v>8</v>
      </c>
      <c r="BV497" s="27" t="s">
        <v>7</v>
      </c>
      <c r="BW497" s="27" t="s">
        <v>8</v>
      </c>
      <c r="CL497" s="27" t="s">
        <v>7</v>
      </c>
      <c r="DC497" s="27" t="s">
        <v>8</v>
      </c>
      <c r="DG497" s="27" t="s">
        <v>8</v>
      </c>
      <c r="DH497" s="27" t="s">
        <v>7</v>
      </c>
      <c r="DI497" s="27" t="s">
        <v>8</v>
      </c>
      <c r="EJ497" s="27" t="s">
        <v>7</v>
      </c>
      <c r="EK497" s="27" t="s">
        <v>8</v>
      </c>
      <c r="EL497" s="27" t="s">
        <v>7</v>
      </c>
      <c r="EM497" s="27" t="s">
        <v>8</v>
      </c>
      <c r="EO497" s="27" t="s">
        <v>8</v>
      </c>
      <c r="EQ497" s="27" t="s">
        <v>8</v>
      </c>
      <c r="FV497" s="27" t="s">
        <v>7</v>
      </c>
      <c r="FW497" s="27" t="s">
        <v>8</v>
      </c>
      <c r="FX497" s="27" t="s">
        <v>7</v>
      </c>
      <c r="FY497" s="27" t="s">
        <v>8</v>
      </c>
      <c r="FZ497" s="27" t="s">
        <v>7</v>
      </c>
      <c r="GA497" s="27" t="s">
        <v>8</v>
      </c>
      <c r="GB497" s="27" t="s">
        <v>7</v>
      </c>
      <c r="GG497" s="27" t="s">
        <v>8</v>
      </c>
      <c r="GI497" s="27" t="s">
        <v>8</v>
      </c>
      <c r="GJ497" s="27" t="s">
        <v>7</v>
      </c>
    </row>
    <row r="498" spans="1:200" x14ac:dyDescent="0.25">
      <c r="A498" s="7">
        <v>5.8266011042210337</v>
      </c>
      <c r="B498"/>
      <c r="C498"/>
      <c r="D498"/>
      <c r="E498"/>
      <c r="K498" s="27" t="s">
        <v>8</v>
      </c>
      <c r="L498" s="27" t="s">
        <v>7</v>
      </c>
      <c r="M498" s="27" t="s">
        <v>8</v>
      </c>
      <c r="N498" s="27" t="s">
        <v>7</v>
      </c>
      <c r="O498" s="27" t="s">
        <v>8</v>
      </c>
      <c r="R498" s="27" t="s">
        <v>7</v>
      </c>
      <c r="S498" s="27" t="s">
        <v>8</v>
      </c>
      <c r="U498" s="27" t="s">
        <v>8</v>
      </c>
      <c r="V498" s="27" t="s">
        <v>7</v>
      </c>
      <c r="W498" s="27" t="s">
        <v>8</v>
      </c>
      <c r="X498" s="27" t="s">
        <v>7</v>
      </c>
      <c r="Y498" s="27" t="s">
        <v>8</v>
      </c>
      <c r="BV498" s="27" t="s">
        <v>7</v>
      </c>
      <c r="BW498" s="27" t="s">
        <v>8</v>
      </c>
      <c r="CL498" s="27" t="s">
        <v>7</v>
      </c>
      <c r="DC498" s="27" t="s">
        <v>8</v>
      </c>
      <c r="DD498" s="27" t="s">
        <v>7</v>
      </c>
      <c r="DG498" s="27" t="s">
        <v>8</v>
      </c>
      <c r="DH498" s="27" t="s">
        <v>7</v>
      </c>
      <c r="EJ498" s="27" t="s">
        <v>7</v>
      </c>
      <c r="EK498" s="27" t="s">
        <v>8</v>
      </c>
      <c r="EL498" s="27" t="s">
        <v>7</v>
      </c>
      <c r="EM498" s="27" t="s">
        <v>8</v>
      </c>
      <c r="EN498" s="27" t="s">
        <v>7</v>
      </c>
      <c r="EO498" s="27" t="s">
        <v>8</v>
      </c>
      <c r="EP498" s="27" t="s">
        <v>7</v>
      </c>
      <c r="EQ498" s="27" t="s">
        <v>8</v>
      </c>
      <c r="FV498" s="27" t="s">
        <v>7</v>
      </c>
      <c r="FW498" s="27" t="s">
        <v>8</v>
      </c>
      <c r="FX498" s="27" t="s">
        <v>7</v>
      </c>
      <c r="FY498" s="27" t="s">
        <v>8</v>
      </c>
      <c r="FZ498" s="27" t="s">
        <v>7</v>
      </c>
      <c r="GA498" s="27" t="s">
        <v>8</v>
      </c>
      <c r="GB498" s="27" t="s">
        <v>7</v>
      </c>
      <c r="GG498" s="27" t="s">
        <v>8</v>
      </c>
      <c r="GH498" s="27" t="s">
        <v>7</v>
      </c>
      <c r="GI498" s="27" t="s">
        <v>8</v>
      </c>
      <c r="GJ498" s="27" t="s">
        <v>7</v>
      </c>
    </row>
    <row r="499" spans="1:200" x14ac:dyDescent="0.25">
      <c r="A499" s="7">
        <v>5.7123540237461112</v>
      </c>
      <c r="B499"/>
      <c r="C499"/>
      <c r="D499"/>
      <c r="E499"/>
      <c r="K499" s="27" t="s">
        <v>8</v>
      </c>
      <c r="L499" s="27" t="s">
        <v>7</v>
      </c>
      <c r="N499" s="27" t="s">
        <v>7</v>
      </c>
      <c r="O499" s="27" t="s">
        <v>8</v>
      </c>
      <c r="R499" s="27" t="s">
        <v>7</v>
      </c>
      <c r="S499" s="27" t="s">
        <v>8</v>
      </c>
      <c r="T499" s="27" t="s">
        <v>7</v>
      </c>
      <c r="U499" s="27" t="s">
        <v>8</v>
      </c>
      <c r="V499" s="27" t="s">
        <v>7</v>
      </c>
      <c r="W499" s="27" t="s">
        <v>8</v>
      </c>
      <c r="X499" s="27" t="s">
        <v>7</v>
      </c>
      <c r="BV499" s="27" t="s">
        <v>7</v>
      </c>
      <c r="BW499" s="27" t="s">
        <v>8</v>
      </c>
      <c r="CL499" s="27" t="s">
        <v>7</v>
      </c>
      <c r="DC499" s="27" t="s">
        <v>8</v>
      </c>
      <c r="DD499" s="27" t="s">
        <v>7</v>
      </c>
      <c r="DG499" s="27" t="s">
        <v>8</v>
      </c>
      <c r="EJ499" s="27" t="s">
        <v>7</v>
      </c>
      <c r="EL499" s="27" t="s">
        <v>7</v>
      </c>
      <c r="EM499" s="27" t="s">
        <v>8</v>
      </c>
      <c r="EN499" s="27" t="s">
        <v>7</v>
      </c>
      <c r="EO499" s="27" t="s">
        <v>8</v>
      </c>
      <c r="EP499" s="27" t="s">
        <v>7</v>
      </c>
      <c r="EQ499" s="27" t="s">
        <v>8</v>
      </c>
      <c r="FV499" s="27" t="s">
        <v>7</v>
      </c>
      <c r="FW499" s="27" t="s">
        <v>8</v>
      </c>
      <c r="FX499" s="27" t="s">
        <v>7</v>
      </c>
      <c r="FY499" s="27" t="s">
        <v>8</v>
      </c>
      <c r="FZ499" s="27" t="s">
        <v>7</v>
      </c>
      <c r="GA499" s="27" t="s">
        <v>8</v>
      </c>
      <c r="GB499" s="27" t="s">
        <v>7</v>
      </c>
      <c r="GG499" s="27" t="s">
        <v>8</v>
      </c>
      <c r="GH499" s="27" t="s">
        <v>7</v>
      </c>
      <c r="GI499" s="27" t="s">
        <v>8</v>
      </c>
      <c r="GJ499" s="27" t="s">
        <v>7</v>
      </c>
    </row>
    <row r="500" spans="1:200" x14ac:dyDescent="0.25">
      <c r="A500" s="7">
        <v>5.6003470821040304</v>
      </c>
      <c r="B500"/>
      <c r="C500"/>
      <c r="D500"/>
      <c r="E500"/>
      <c r="I500" s="27" t="s">
        <v>8</v>
      </c>
      <c r="K500" s="27" t="s">
        <v>8</v>
      </c>
      <c r="N500" s="27" t="s">
        <v>7</v>
      </c>
      <c r="O500" s="27" t="s">
        <v>8</v>
      </c>
      <c r="R500" s="27" t="s">
        <v>7</v>
      </c>
      <c r="S500" s="27" t="s">
        <v>8</v>
      </c>
      <c r="T500" s="27" t="s">
        <v>7</v>
      </c>
      <c r="U500" s="27" t="s">
        <v>8</v>
      </c>
      <c r="V500" s="27" t="s">
        <v>7</v>
      </c>
      <c r="W500" s="27" t="s">
        <v>8</v>
      </c>
      <c r="BV500" s="27" t="s">
        <v>7</v>
      </c>
      <c r="BW500" s="27" t="s">
        <v>8</v>
      </c>
      <c r="CL500" s="27" t="s">
        <v>7</v>
      </c>
      <c r="CQ500" s="27" t="s">
        <v>8</v>
      </c>
      <c r="DC500" s="27" t="s">
        <v>8</v>
      </c>
      <c r="DD500" s="27" t="s">
        <v>7</v>
      </c>
      <c r="DG500" s="27" t="s">
        <v>8</v>
      </c>
      <c r="EL500" s="27" t="s">
        <v>7</v>
      </c>
      <c r="EN500" s="27" t="s">
        <v>7</v>
      </c>
      <c r="EO500" s="27" t="s">
        <v>8</v>
      </c>
      <c r="EP500" s="27" t="s">
        <v>7</v>
      </c>
      <c r="EQ500" s="27" t="s">
        <v>8</v>
      </c>
      <c r="FV500" s="27" t="s">
        <v>7</v>
      </c>
      <c r="FX500" s="27" t="s">
        <v>7</v>
      </c>
      <c r="FY500" s="27" t="s">
        <v>8</v>
      </c>
      <c r="FZ500" s="27" t="s">
        <v>7</v>
      </c>
      <c r="GA500" s="27" t="s">
        <v>8</v>
      </c>
      <c r="GB500" s="27" t="s">
        <v>7</v>
      </c>
      <c r="GG500" s="27" t="s">
        <v>8</v>
      </c>
      <c r="GH500" s="27" t="s">
        <v>7</v>
      </c>
      <c r="GI500" s="27" t="s">
        <v>8</v>
      </c>
      <c r="GJ500" s="27" t="s">
        <v>7</v>
      </c>
      <c r="GM500" s="27" t="s">
        <v>8</v>
      </c>
    </row>
    <row r="501" spans="1:200" x14ac:dyDescent="0.25">
      <c r="A501" s="7">
        <v>5.4905363550039512</v>
      </c>
      <c r="B501"/>
      <c r="C501"/>
      <c r="D501"/>
      <c r="E501"/>
      <c r="I501" s="27" t="s">
        <v>8</v>
      </c>
      <c r="J501" s="27" t="s">
        <v>7</v>
      </c>
      <c r="K501" s="27" t="s">
        <v>8</v>
      </c>
      <c r="N501" s="27" t="s">
        <v>7</v>
      </c>
      <c r="O501" s="27" t="s">
        <v>8</v>
      </c>
      <c r="R501" s="27" t="s">
        <v>7</v>
      </c>
      <c r="S501" s="27" t="s">
        <v>8</v>
      </c>
      <c r="T501" s="27" t="s">
        <v>7</v>
      </c>
      <c r="U501" s="27" t="s">
        <v>8</v>
      </c>
      <c r="V501" s="27" t="s">
        <v>7</v>
      </c>
      <c r="W501" s="27" t="s">
        <v>8</v>
      </c>
      <c r="BV501" s="27" t="s">
        <v>7</v>
      </c>
      <c r="BW501" s="27" t="s">
        <v>8</v>
      </c>
      <c r="CL501" s="27" t="s">
        <v>7</v>
      </c>
      <c r="CM501" s="27" t="s">
        <v>8</v>
      </c>
      <c r="CO501" s="27" t="s">
        <v>8</v>
      </c>
      <c r="CQ501" s="27" t="s">
        <v>8</v>
      </c>
      <c r="CR501" s="27" t="s">
        <v>7</v>
      </c>
      <c r="DC501" s="27" t="s">
        <v>8</v>
      </c>
      <c r="DD501" s="27" t="s">
        <v>7</v>
      </c>
      <c r="DE501" s="27" t="s">
        <v>8</v>
      </c>
      <c r="DG501" s="27" t="s">
        <v>8</v>
      </c>
      <c r="EN501" s="27" t="s">
        <v>7</v>
      </c>
      <c r="EO501" s="27" t="s">
        <v>8</v>
      </c>
      <c r="EP501" s="27" t="s">
        <v>7</v>
      </c>
      <c r="EQ501" s="27" t="s">
        <v>8</v>
      </c>
      <c r="FX501" s="27" t="s">
        <v>7</v>
      </c>
      <c r="FZ501" s="27" t="s">
        <v>7</v>
      </c>
      <c r="GA501" s="27" t="s">
        <v>8</v>
      </c>
      <c r="GB501" s="27" t="s">
        <v>7</v>
      </c>
      <c r="GC501" s="27" t="s">
        <v>8</v>
      </c>
      <c r="GE501" s="27" t="s">
        <v>8</v>
      </c>
      <c r="GG501" s="27" t="s">
        <v>8</v>
      </c>
      <c r="GH501" s="27" t="s">
        <v>7</v>
      </c>
      <c r="GI501" s="27" t="s">
        <v>8</v>
      </c>
      <c r="GJ501" s="27" t="s">
        <v>7</v>
      </c>
      <c r="GM501" s="27" t="s">
        <v>8</v>
      </c>
      <c r="GN501" s="27" t="s">
        <v>7</v>
      </c>
    </row>
    <row r="502" spans="1:200" x14ac:dyDescent="0.25">
      <c r="A502" s="7">
        <v>5.3828787794156385</v>
      </c>
      <c r="B502"/>
      <c r="C502"/>
      <c r="D502"/>
      <c r="E502"/>
      <c r="G502" s="27" t="s">
        <v>8</v>
      </c>
      <c r="I502" s="27" t="s">
        <v>8</v>
      </c>
      <c r="J502" s="27" t="s">
        <v>7</v>
      </c>
      <c r="K502" s="27" t="s">
        <v>8</v>
      </c>
      <c r="N502" s="27" t="s">
        <v>7</v>
      </c>
      <c r="R502" s="27" t="s">
        <v>7</v>
      </c>
      <c r="S502" s="27" t="s">
        <v>8</v>
      </c>
      <c r="T502" s="27" t="s">
        <v>7</v>
      </c>
      <c r="U502" s="27" t="s">
        <v>8</v>
      </c>
      <c r="V502" s="27" t="s">
        <v>7</v>
      </c>
      <c r="W502" s="27" t="s">
        <v>8</v>
      </c>
      <c r="BV502" s="27" t="s">
        <v>7</v>
      </c>
      <c r="BW502" s="27" t="s">
        <v>8</v>
      </c>
      <c r="CL502" s="27" t="s">
        <v>7</v>
      </c>
      <c r="CM502" s="27" t="s">
        <v>8</v>
      </c>
      <c r="CN502" s="27" t="s">
        <v>7</v>
      </c>
      <c r="CO502" s="27" t="s">
        <v>8</v>
      </c>
      <c r="CP502" s="27" t="s">
        <v>7</v>
      </c>
      <c r="CQ502" s="27" t="s">
        <v>8</v>
      </c>
      <c r="CR502" s="27" t="s">
        <v>7</v>
      </c>
      <c r="CS502" s="27" t="s">
        <v>8</v>
      </c>
      <c r="DC502" s="27" t="s">
        <v>8</v>
      </c>
      <c r="DD502" s="27" t="s">
        <v>7</v>
      </c>
      <c r="DE502" s="27" t="s">
        <v>8</v>
      </c>
      <c r="DF502" s="27" t="s">
        <v>7</v>
      </c>
      <c r="DG502" s="27" t="s">
        <v>8</v>
      </c>
      <c r="EN502" s="27" t="s">
        <v>7</v>
      </c>
      <c r="EO502" s="27" t="s">
        <v>8</v>
      </c>
      <c r="EP502" s="27" t="s">
        <v>7</v>
      </c>
      <c r="EQ502" s="27" t="s">
        <v>8</v>
      </c>
      <c r="FZ502" s="27" t="s">
        <v>7</v>
      </c>
      <c r="GA502" s="27" t="s">
        <v>8</v>
      </c>
      <c r="GB502" s="27" t="s">
        <v>7</v>
      </c>
      <c r="GC502" s="27" t="s">
        <v>8</v>
      </c>
      <c r="GD502" s="27" t="s">
        <v>7</v>
      </c>
      <c r="GE502" s="27" t="s">
        <v>8</v>
      </c>
      <c r="GF502" s="27" t="s">
        <v>7</v>
      </c>
      <c r="GG502" s="27" t="s">
        <v>8</v>
      </c>
      <c r="GH502" s="27" t="s">
        <v>7</v>
      </c>
      <c r="GJ502" s="27" t="s">
        <v>7</v>
      </c>
      <c r="GK502" s="27" t="s">
        <v>8</v>
      </c>
      <c r="GM502" s="27" t="s">
        <v>8</v>
      </c>
      <c r="GN502" s="27" t="s">
        <v>7</v>
      </c>
      <c r="GQ502" s="27" t="s">
        <v>8</v>
      </c>
    </row>
    <row r="503" spans="1:200" x14ac:dyDescent="0.25">
      <c r="A503" s="7">
        <v>5.2773321366819985</v>
      </c>
      <c r="B503"/>
      <c r="C503"/>
      <c r="D503"/>
      <c r="E503"/>
      <c r="G503" s="27" t="s">
        <v>8</v>
      </c>
      <c r="H503" s="27" t="s">
        <v>7</v>
      </c>
      <c r="I503" s="27" t="s">
        <v>8</v>
      </c>
      <c r="J503" s="27" t="s">
        <v>7</v>
      </c>
      <c r="K503" s="27" t="s">
        <v>8</v>
      </c>
      <c r="R503" s="27" t="s">
        <v>7</v>
      </c>
      <c r="S503" s="27" t="s">
        <v>8</v>
      </c>
      <c r="T503" s="27" t="s">
        <v>7</v>
      </c>
      <c r="U503" s="27" t="s">
        <v>8</v>
      </c>
      <c r="V503" s="27" t="s">
        <v>7</v>
      </c>
      <c r="W503" s="27" t="s">
        <v>8</v>
      </c>
      <c r="BV503" s="27" t="s">
        <v>7</v>
      </c>
      <c r="BW503" s="27" t="s">
        <v>8</v>
      </c>
      <c r="CL503" s="27" t="s">
        <v>7</v>
      </c>
      <c r="CM503" s="27" t="s">
        <v>8</v>
      </c>
      <c r="CN503" s="27" t="s">
        <v>7</v>
      </c>
      <c r="CO503" s="27" t="s">
        <v>8</v>
      </c>
      <c r="CP503" s="27" t="s">
        <v>7</v>
      </c>
      <c r="CQ503" s="27" t="s">
        <v>8</v>
      </c>
      <c r="CR503" s="27" t="s">
        <v>7</v>
      </c>
      <c r="CS503" s="27" t="s">
        <v>8</v>
      </c>
      <c r="CT503" s="27" t="s">
        <v>7</v>
      </c>
      <c r="CU503" s="27" t="s">
        <v>8</v>
      </c>
      <c r="DC503" s="27" t="s">
        <v>8</v>
      </c>
      <c r="DD503" s="27" t="s">
        <v>7</v>
      </c>
      <c r="DE503" s="27" t="s">
        <v>8</v>
      </c>
      <c r="DF503" s="27" t="s">
        <v>7</v>
      </c>
      <c r="DG503" s="27" t="s">
        <v>8</v>
      </c>
      <c r="EN503" s="27" t="s">
        <v>7</v>
      </c>
      <c r="EO503" s="27" t="s">
        <v>8</v>
      </c>
      <c r="EP503" s="27" t="s">
        <v>7</v>
      </c>
      <c r="EQ503" s="27" t="s">
        <v>8</v>
      </c>
      <c r="FZ503" s="27" t="s">
        <v>7</v>
      </c>
      <c r="GB503" s="27" t="s">
        <v>7</v>
      </c>
      <c r="GC503" s="27" t="s">
        <v>8</v>
      </c>
      <c r="GD503" s="27" t="s">
        <v>7</v>
      </c>
      <c r="GE503" s="27" t="s">
        <v>8</v>
      </c>
      <c r="GF503" s="27" t="s">
        <v>7</v>
      </c>
      <c r="GG503" s="27" t="s">
        <v>8</v>
      </c>
      <c r="GJ503" s="27" t="s">
        <v>7</v>
      </c>
      <c r="GK503" s="27" t="s">
        <v>8</v>
      </c>
      <c r="GL503" s="27" t="s">
        <v>7</v>
      </c>
      <c r="GM503" s="27" t="s">
        <v>8</v>
      </c>
      <c r="GN503" s="27" t="s">
        <v>7</v>
      </c>
      <c r="GQ503" s="27" t="s">
        <v>8</v>
      </c>
      <c r="GR503" s="27" t="s">
        <v>7</v>
      </c>
    </row>
    <row r="504" spans="1:200" x14ac:dyDescent="0.25">
      <c r="A504" s="7">
        <v>5.1738550359627435</v>
      </c>
      <c r="B504"/>
      <c r="C504"/>
      <c r="D504"/>
      <c r="E504"/>
      <c r="G504" s="27" t="s">
        <v>8</v>
      </c>
      <c r="H504" s="27" t="s">
        <v>7</v>
      </c>
      <c r="I504" s="27" t="s">
        <v>8</v>
      </c>
      <c r="J504" s="27" t="s">
        <v>7</v>
      </c>
      <c r="K504" s="27" t="s">
        <v>8</v>
      </c>
      <c r="R504" s="27" t="s">
        <v>7</v>
      </c>
      <c r="S504" s="27" t="s">
        <v>8</v>
      </c>
      <c r="T504" s="27" t="s">
        <v>7</v>
      </c>
      <c r="U504" s="27" t="s">
        <v>8</v>
      </c>
      <c r="V504" s="27" t="s">
        <v>7</v>
      </c>
      <c r="W504" s="27" t="s">
        <v>8</v>
      </c>
      <c r="BV504" s="27" t="s">
        <v>7</v>
      </c>
      <c r="BW504" s="27" t="s">
        <v>8</v>
      </c>
      <c r="CL504" s="27" t="s">
        <v>7</v>
      </c>
      <c r="CM504" s="27" t="s">
        <v>8</v>
      </c>
      <c r="CN504" s="27" t="s">
        <v>7</v>
      </c>
      <c r="CO504" s="27" t="s">
        <v>8</v>
      </c>
      <c r="CP504" s="27" t="s">
        <v>7</v>
      </c>
      <c r="CQ504" s="27" t="s">
        <v>8</v>
      </c>
      <c r="CR504" s="27" t="s">
        <v>7</v>
      </c>
      <c r="CS504" s="27" t="s">
        <v>8</v>
      </c>
      <c r="CT504" s="27" t="s">
        <v>7</v>
      </c>
      <c r="CU504" s="27" t="s">
        <v>8</v>
      </c>
      <c r="CV504" s="27" t="s">
        <v>7</v>
      </c>
      <c r="DA504" s="27" t="s">
        <v>8</v>
      </c>
      <c r="DC504" s="27" t="s">
        <v>8</v>
      </c>
      <c r="DD504" s="27" t="s">
        <v>7</v>
      </c>
      <c r="DE504" s="27" t="s">
        <v>8</v>
      </c>
      <c r="DF504" s="27" t="s">
        <v>7</v>
      </c>
      <c r="EN504" s="27" t="s">
        <v>7</v>
      </c>
      <c r="EP504" s="27" t="s">
        <v>7</v>
      </c>
      <c r="EQ504" s="27" t="s">
        <v>8</v>
      </c>
      <c r="GB504" s="27" t="s">
        <v>7</v>
      </c>
      <c r="GC504" s="27" t="s">
        <v>8</v>
      </c>
      <c r="GD504" s="27" t="s">
        <v>7</v>
      </c>
      <c r="GE504" s="27" t="s">
        <v>8</v>
      </c>
      <c r="GF504" s="27" t="s">
        <v>7</v>
      </c>
      <c r="GG504" s="27" t="s">
        <v>8</v>
      </c>
      <c r="GJ504" s="27" t="s">
        <v>7</v>
      </c>
      <c r="GK504" s="27" t="s">
        <v>8</v>
      </c>
      <c r="GL504" s="27" t="s">
        <v>7</v>
      </c>
      <c r="GM504" s="27" t="s">
        <v>8</v>
      </c>
      <c r="GN504" s="27" t="s">
        <v>7</v>
      </c>
      <c r="GQ504" s="27" t="s">
        <v>8</v>
      </c>
      <c r="GR504" s="27" t="s">
        <v>7</v>
      </c>
    </row>
    <row r="505" spans="1:200" x14ac:dyDescent="0.25">
      <c r="A505" s="7">
        <v>5.07240689800269</v>
      </c>
      <c r="B505"/>
      <c r="C505"/>
      <c r="D505"/>
      <c r="E505"/>
      <c r="G505" s="27" t="s">
        <v>8</v>
      </c>
      <c r="H505" s="27" t="s">
        <v>7</v>
      </c>
      <c r="I505" s="27" t="s">
        <v>8</v>
      </c>
      <c r="J505" s="27" t="s">
        <v>7</v>
      </c>
      <c r="K505" s="27" t="s">
        <v>8</v>
      </c>
      <c r="R505" s="27" t="s">
        <v>7</v>
      </c>
      <c r="S505" s="27" t="s">
        <v>8</v>
      </c>
      <c r="T505" s="27" t="s">
        <v>7</v>
      </c>
      <c r="U505" s="27" t="s">
        <v>8</v>
      </c>
      <c r="V505" s="27" t="s">
        <v>7</v>
      </c>
      <c r="W505" s="27" t="s">
        <v>8</v>
      </c>
      <c r="BV505" s="27" t="s">
        <v>7</v>
      </c>
      <c r="CL505" s="27" t="s">
        <v>7</v>
      </c>
      <c r="CM505" s="27" t="s">
        <v>8</v>
      </c>
      <c r="CN505" s="27" t="s">
        <v>7</v>
      </c>
      <c r="CO505" s="27" t="s">
        <v>8</v>
      </c>
      <c r="CP505" s="27" t="s">
        <v>7</v>
      </c>
      <c r="CQ505" s="27" t="s">
        <v>8</v>
      </c>
      <c r="CR505" s="27" t="s">
        <v>7</v>
      </c>
      <c r="CT505" s="27" t="s">
        <v>7</v>
      </c>
      <c r="CU505" s="27" t="s">
        <v>8</v>
      </c>
      <c r="CV505" s="27" t="s">
        <v>7</v>
      </c>
      <c r="CW505" s="27" t="s">
        <v>8</v>
      </c>
      <c r="DA505" s="27" t="s">
        <v>8</v>
      </c>
      <c r="DB505" s="27" t="s">
        <v>7</v>
      </c>
      <c r="DC505" s="27" t="s">
        <v>8</v>
      </c>
      <c r="DD505" s="27" t="s">
        <v>7</v>
      </c>
      <c r="EP505" s="27" t="s">
        <v>7</v>
      </c>
      <c r="GB505" s="27" t="s">
        <v>7</v>
      </c>
      <c r="GC505" s="27" t="s">
        <v>8</v>
      </c>
      <c r="GD505" s="27" t="s">
        <v>7</v>
      </c>
      <c r="GE505" s="27" t="s">
        <v>8</v>
      </c>
      <c r="GF505" s="27" t="s">
        <v>7</v>
      </c>
      <c r="GG505" s="27" t="s">
        <v>8</v>
      </c>
      <c r="GJ505" s="27" t="s">
        <v>7</v>
      </c>
      <c r="GL505" s="27" t="s">
        <v>7</v>
      </c>
      <c r="GN505" s="27" t="s">
        <v>7</v>
      </c>
      <c r="GO505" s="27" t="s">
        <v>8</v>
      </c>
      <c r="GQ505" s="27" t="s">
        <v>8</v>
      </c>
      <c r="GR505" s="27" t="s">
        <v>7</v>
      </c>
    </row>
    <row r="506" spans="1:200" x14ac:dyDescent="0.25">
      <c r="A506" s="7">
        <v>4.9729479392183231</v>
      </c>
      <c r="B506"/>
      <c r="C506"/>
      <c r="D506"/>
      <c r="E506"/>
      <c r="G506" s="27" t="s">
        <v>8</v>
      </c>
      <c r="H506" s="27" t="s">
        <v>7</v>
      </c>
      <c r="I506" s="27" t="s">
        <v>8</v>
      </c>
      <c r="J506" s="27" t="s">
        <v>7</v>
      </c>
      <c r="K506" s="27" t="s">
        <v>8</v>
      </c>
      <c r="R506" s="27" t="s">
        <v>7</v>
      </c>
      <c r="S506" s="27" t="s">
        <v>8</v>
      </c>
      <c r="T506" s="27" t="s">
        <v>7</v>
      </c>
      <c r="U506" s="27" t="s">
        <v>8</v>
      </c>
      <c r="V506" s="27" t="s">
        <v>7</v>
      </c>
      <c r="CL506" s="27" t="s">
        <v>7</v>
      </c>
      <c r="CM506" s="27" t="s">
        <v>8</v>
      </c>
      <c r="CN506" s="27" t="s">
        <v>7</v>
      </c>
      <c r="CO506" s="27" t="s">
        <v>8</v>
      </c>
      <c r="CP506" s="27" t="s">
        <v>7</v>
      </c>
      <c r="CQ506" s="27" t="s">
        <v>8</v>
      </c>
      <c r="CT506" s="27" t="s">
        <v>7</v>
      </c>
      <c r="CU506" s="27" t="s">
        <v>8</v>
      </c>
      <c r="CV506" s="27" t="s">
        <v>7</v>
      </c>
      <c r="CW506" s="27" t="s">
        <v>8</v>
      </c>
      <c r="CX506" s="27" t="s">
        <v>7</v>
      </c>
      <c r="DA506" s="27" t="s">
        <v>8</v>
      </c>
      <c r="DB506" s="27" t="s">
        <v>7</v>
      </c>
      <c r="DC506" s="27" t="s">
        <v>8</v>
      </c>
      <c r="GB506" s="27" t="s">
        <v>7</v>
      </c>
      <c r="GC506" s="27" t="s">
        <v>8</v>
      </c>
      <c r="GD506" s="27" t="s">
        <v>7</v>
      </c>
      <c r="GF506" s="27" t="s">
        <v>7</v>
      </c>
      <c r="GN506" s="27" t="s">
        <v>7</v>
      </c>
      <c r="GO506" s="27" t="s">
        <v>8</v>
      </c>
      <c r="GP506" s="27" t="s">
        <v>7</v>
      </c>
      <c r="GQ506" s="27" t="s">
        <v>8</v>
      </c>
      <c r="GR506" s="27" t="s">
        <v>7</v>
      </c>
    </row>
    <row r="507" spans="1:200" x14ac:dyDescent="0.25">
      <c r="A507" s="7">
        <v>4.8754391560963954</v>
      </c>
      <c r="B507"/>
      <c r="C507"/>
      <c r="D507"/>
      <c r="E507"/>
      <c r="G507" s="27" t="s">
        <v>8</v>
      </c>
      <c r="H507" s="27" t="s">
        <v>7</v>
      </c>
      <c r="I507" s="27" t="s">
        <v>8</v>
      </c>
      <c r="J507" s="27" t="s">
        <v>7</v>
      </c>
      <c r="R507" s="27" t="s">
        <v>7</v>
      </c>
      <c r="S507" s="27" t="s">
        <v>8</v>
      </c>
      <c r="T507" s="27" t="s">
        <v>7</v>
      </c>
      <c r="U507" s="27" t="s">
        <v>8</v>
      </c>
      <c r="CL507" s="27" t="s">
        <v>7</v>
      </c>
      <c r="CM507" s="27" t="s">
        <v>8</v>
      </c>
      <c r="CN507" s="27" t="s">
        <v>7</v>
      </c>
      <c r="CO507" s="27" t="s">
        <v>8</v>
      </c>
      <c r="CP507" s="27" t="s">
        <v>7</v>
      </c>
      <c r="CQ507" s="27" t="s">
        <v>8</v>
      </c>
      <c r="CT507" s="27" t="s">
        <v>7</v>
      </c>
      <c r="CU507" s="27" t="s">
        <v>8</v>
      </c>
      <c r="CV507" s="27" t="s">
        <v>7</v>
      </c>
      <c r="CW507" s="27" t="s">
        <v>8</v>
      </c>
      <c r="CX507" s="27" t="s">
        <v>7</v>
      </c>
      <c r="DA507" s="27" t="s">
        <v>8</v>
      </c>
      <c r="DB507" s="27" t="s">
        <v>7</v>
      </c>
      <c r="GB507" s="27" t="s">
        <v>7</v>
      </c>
      <c r="GC507" s="27" t="s">
        <v>8</v>
      </c>
      <c r="GN507" s="27" t="s">
        <v>7</v>
      </c>
      <c r="GO507" s="27" t="s">
        <v>8</v>
      </c>
      <c r="GP507" s="27" t="s">
        <v>7</v>
      </c>
      <c r="GQ507" s="27" t="s">
        <v>8</v>
      </c>
      <c r="GR507" s="27" t="s">
        <v>7</v>
      </c>
    </row>
    <row r="508" spans="1:200" x14ac:dyDescent="0.25">
      <c r="A508" s="7">
        <v>4.7798423098984264</v>
      </c>
      <c r="B508"/>
      <c r="C508"/>
      <c r="D508"/>
      <c r="E508"/>
      <c r="G508" s="27" t="s">
        <v>8</v>
      </c>
      <c r="H508" s="27" t="s">
        <v>7</v>
      </c>
      <c r="I508" s="27" t="s">
        <v>8</v>
      </c>
      <c r="R508" s="27" t="s">
        <v>7</v>
      </c>
      <c r="S508" s="27" t="s">
        <v>8</v>
      </c>
      <c r="T508" s="27" t="s">
        <v>7</v>
      </c>
      <c r="U508" s="27" t="s">
        <v>8</v>
      </c>
      <c r="CL508" s="27" t="s">
        <v>7</v>
      </c>
      <c r="CM508" s="27" t="s">
        <v>8</v>
      </c>
      <c r="CN508" s="27" t="s">
        <v>7</v>
      </c>
      <c r="CO508" s="27" t="s">
        <v>8</v>
      </c>
      <c r="CP508" s="27" t="s">
        <v>7</v>
      </c>
      <c r="CT508" s="27" t="s">
        <v>7</v>
      </c>
      <c r="CV508" s="27" t="s">
        <v>7</v>
      </c>
      <c r="CW508" s="27" t="s">
        <v>8</v>
      </c>
      <c r="CX508" s="27" t="s">
        <v>7</v>
      </c>
      <c r="DA508" s="27" t="s">
        <v>8</v>
      </c>
      <c r="GB508" s="27" t="s">
        <v>7</v>
      </c>
      <c r="GN508" s="27" t="s">
        <v>7</v>
      </c>
      <c r="GO508" s="27" t="s">
        <v>8</v>
      </c>
      <c r="GP508" s="27" t="s">
        <v>7</v>
      </c>
      <c r="GQ508" s="27" t="s">
        <v>8</v>
      </c>
      <c r="GR508" s="27" t="s">
        <v>7</v>
      </c>
    </row>
    <row r="509" spans="1:200" x14ac:dyDescent="0.25">
      <c r="A509" s="7">
        <v>4.6861199116651235</v>
      </c>
      <c r="B509"/>
      <c r="C509"/>
      <c r="D509"/>
      <c r="E509"/>
      <c r="G509" s="27" t="s">
        <v>8</v>
      </c>
      <c r="H509" s="27" t="s">
        <v>7</v>
      </c>
      <c r="I509" s="27" t="s">
        <v>8</v>
      </c>
      <c r="R509" s="27" t="s">
        <v>7</v>
      </c>
      <c r="T509" s="27" t="s">
        <v>7</v>
      </c>
      <c r="CL509" s="27" t="s">
        <v>7</v>
      </c>
      <c r="CM509" s="27" t="s">
        <v>8</v>
      </c>
      <c r="CN509" s="27" t="s">
        <v>7</v>
      </c>
      <c r="CO509" s="27" t="s">
        <v>8</v>
      </c>
      <c r="CV509" s="27" t="s">
        <v>7</v>
      </c>
      <c r="CW509" s="27" t="s">
        <v>8</v>
      </c>
      <c r="CX509" s="27" t="s">
        <v>7</v>
      </c>
      <c r="DA509" s="27" t="s">
        <v>8</v>
      </c>
      <c r="GN509" s="27" t="s">
        <v>7</v>
      </c>
      <c r="GO509" s="27" t="s">
        <v>8</v>
      </c>
      <c r="GP509" s="27" t="s">
        <v>7</v>
      </c>
      <c r="GQ509" s="27" t="s">
        <v>8</v>
      </c>
      <c r="GR509" s="27" t="s">
        <v>7</v>
      </c>
    </row>
    <row r="510" spans="1:200" x14ac:dyDescent="0.25">
      <c r="A510" s="7">
        <v>4.5942352075148269</v>
      </c>
      <c r="B510"/>
      <c r="C510"/>
      <c r="D510"/>
      <c r="E510"/>
      <c r="G510" s="27" t="s">
        <v>8</v>
      </c>
      <c r="H510" s="27" t="s">
        <v>7</v>
      </c>
      <c r="I510" s="27" t="s">
        <v>8</v>
      </c>
      <c r="CL510" s="27" t="s">
        <v>7</v>
      </c>
      <c r="CM510" s="27" t="s">
        <v>8</v>
      </c>
      <c r="CN510" s="27" t="s">
        <v>7</v>
      </c>
      <c r="CO510" s="27" t="s">
        <v>8</v>
      </c>
      <c r="CV510" s="27" t="s">
        <v>7</v>
      </c>
      <c r="CX510" s="27" t="s">
        <v>7</v>
      </c>
      <c r="DA510" s="27" t="s">
        <v>8</v>
      </c>
      <c r="GN510" s="27" t="s">
        <v>7</v>
      </c>
      <c r="GO510" s="27" t="s">
        <v>8</v>
      </c>
      <c r="GP510" s="27" t="s">
        <v>7</v>
      </c>
      <c r="GQ510" s="27" t="s">
        <v>8</v>
      </c>
      <c r="GR510" s="27" t="s">
        <v>7</v>
      </c>
    </row>
    <row r="511" spans="1:200" x14ac:dyDescent="0.25">
      <c r="A511" s="7">
        <v>4.5041521642302227</v>
      </c>
      <c r="B511"/>
      <c r="C511"/>
      <c r="D511"/>
      <c r="E511" t="s">
        <v>8</v>
      </c>
      <c r="G511" s="27" t="s">
        <v>8</v>
      </c>
      <c r="H511" s="27" t="s">
        <v>7</v>
      </c>
      <c r="I511" s="27" t="s">
        <v>8</v>
      </c>
      <c r="CL511" s="27" t="s">
        <v>7</v>
      </c>
      <c r="CM511" s="27" t="s">
        <v>8</v>
      </c>
      <c r="CN511" s="27" t="s">
        <v>7</v>
      </c>
      <c r="CX511" s="27" t="s">
        <v>7</v>
      </c>
      <c r="CY511" s="27" t="s">
        <v>8</v>
      </c>
      <c r="DA511" s="27" t="s">
        <v>8</v>
      </c>
      <c r="GN511" s="27" t="s">
        <v>7</v>
      </c>
      <c r="GO511" s="27" t="s">
        <v>8</v>
      </c>
      <c r="GP511" s="27" t="s">
        <v>7</v>
      </c>
      <c r="GQ511" s="27" t="s">
        <v>8</v>
      </c>
      <c r="GR511" s="27" t="s">
        <v>7</v>
      </c>
    </row>
    <row r="512" spans="1:200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CL512" s="27" t="s">
        <v>7</v>
      </c>
      <c r="CM512" s="27" t="s">
        <v>8</v>
      </c>
      <c r="CX512" s="27" t="s">
        <v>7</v>
      </c>
      <c r="CY512" s="27" t="s">
        <v>8</v>
      </c>
      <c r="CZ512" s="27" t="s">
        <v>7</v>
      </c>
      <c r="DA512" s="27" t="s">
        <v>8</v>
      </c>
      <c r="GN512" s="27" t="s">
        <v>7</v>
      </c>
      <c r="GO512" s="27" t="s">
        <v>8</v>
      </c>
      <c r="GP512" s="27" t="s">
        <v>7</v>
      </c>
      <c r="GQ512" s="27" t="s">
        <v>8</v>
      </c>
      <c r="GR512" s="27" t="s">
        <v>7</v>
      </c>
    </row>
    <row r="513" spans="1:204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CL513" s="27" t="s">
        <v>7</v>
      </c>
      <c r="CX513" s="18" t="s">
        <v>7</v>
      </c>
      <c r="CY513" s="27" t="s">
        <v>8</v>
      </c>
      <c r="CZ513" s="27" t="s">
        <v>7</v>
      </c>
      <c r="DA513" s="27" t="s">
        <v>8</v>
      </c>
      <c r="GN513" s="27" t="s">
        <v>7</v>
      </c>
      <c r="GO513" s="27" t="s">
        <v>8</v>
      </c>
      <c r="GP513" s="27" t="s">
        <v>7</v>
      </c>
      <c r="GR513" s="27" t="s">
        <v>7</v>
      </c>
    </row>
    <row r="514" spans="1:204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CX514" s="27" t="s">
        <v>7</v>
      </c>
      <c r="CY514" s="27" t="s">
        <v>8</v>
      </c>
      <c r="CZ514" s="27" t="s">
        <v>7</v>
      </c>
      <c r="GN514" s="27" t="s">
        <v>7</v>
      </c>
      <c r="GO514" s="27" t="s">
        <v>8</v>
      </c>
      <c r="GR514" s="27" t="s">
        <v>7</v>
      </c>
    </row>
    <row r="515" spans="1:204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CX515" s="27" t="s">
        <v>7</v>
      </c>
      <c r="CY515" s="27" t="s">
        <v>8</v>
      </c>
      <c r="GN515" s="27" t="s">
        <v>7</v>
      </c>
      <c r="GR515" s="27" t="s">
        <v>7</v>
      </c>
    </row>
    <row r="516" spans="1:204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CX516" s="27" t="s">
        <v>7</v>
      </c>
      <c r="GR516" s="27" t="s">
        <v>7</v>
      </c>
    </row>
    <row r="517" spans="1:204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GR517" s="27" t="s">
        <v>7</v>
      </c>
    </row>
    <row r="518" spans="1:204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GR518" s="27" t="s">
        <v>7</v>
      </c>
    </row>
    <row r="519" spans="1:204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GR519" s="27" t="s">
        <v>7</v>
      </c>
      <c r="GU519" s="27" t="s">
        <v>8</v>
      </c>
    </row>
    <row r="520" spans="1:204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GR520" s="27" t="s">
        <v>7</v>
      </c>
      <c r="GU520" s="27" t="s">
        <v>8</v>
      </c>
      <c r="GV520" s="27" t="s">
        <v>7</v>
      </c>
    </row>
    <row r="521" spans="1:204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R521" s="27" t="s">
        <v>7</v>
      </c>
      <c r="GU521" s="27" t="s">
        <v>8</v>
      </c>
      <c r="GV521" s="27" t="s">
        <v>7</v>
      </c>
    </row>
    <row r="522" spans="1:204" x14ac:dyDescent="0.25">
      <c r="A522" s="7">
        <v>3.6225231081424152</v>
      </c>
      <c r="B522"/>
      <c r="C522"/>
      <c r="D522"/>
      <c r="E522" t="s">
        <v>8</v>
      </c>
      <c r="GR522" s="27" t="s">
        <v>7</v>
      </c>
      <c r="GS522" s="27" t="s">
        <v>8</v>
      </c>
      <c r="GU522" s="27" t="s">
        <v>8</v>
      </c>
      <c r="GV522" s="27" t="s">
        <v>7</v>
      </c>
    </row>
    <row r="523" spans="1:204" x14ac:dyDescent="0.25">
      <c r="A523" s="7">
        <v>3.5514932432768775</v>
      </c>
      <c r="B523"/>
      <c r="C523"/>
      <c r="D523"/>
      <c r="E523" t="s">
        <v>8</v>
      </c>
      <c r="GR523" s="27" t="s">
        <v>7</v>
      </c>
      <c r="GS523" s="27" t="s">
        <v>8</v>
      </c>
      <c r="GT523" s="27" t="s">
        <v>7</v>
      </c>
      <c r="GU523" s="27" t="s">
        <v>8</v>
      </c>
      <c r="GV523" s="27" t="s">
        <v>7</v>
      </c>
    </row>
    <row r="524" spans="1:204" x14ac:dyDescent="0.25">
      <c r="A524" s="7">
        <v>3.4818561208596837</v>
      </c>
      <c r="B524"/>
      <c r="C524"/>
      <c r="D524"/>
      <c r="E524" t="s">
        <v>8</v>
      </c>
      <c r="GR524" s="27" t="s">
        <v>7</v>
      </c>
      <c r="GS524" s="27" t="s">
        <v>8</v>
      </c>
      <c r="GT524" s="27" t="s">
        <v>7</v>
      </c>
      <c r="GU524" s="27" t="s">
        <v>8</v>
      </c>
      <c r="GV524" s="27" t="s">
        <v>7</v>
      </c>
    </row>
    <row r="525" spans="1:204" x14ac:dyDescent="0.25">
      <c r="A525" s="7">
        <v>3.4135844322153761</v>
      </c>
      <c r="B525"/>
      <c r="C525"/>
      <c r="D525"/>
      <c r="E525" t="s">
        <v>8</v>
      </c>
      <c r="GR525" s="27" t="s">
        <v>7</v>
      </c>
      <c r="GS525" s="27" t="s">
        <v>8</v>
      </c>
      <c r="GT525" s="27" t="s">
        <v>7</v>
      </c>
      <c r="GU525" s="27" t="s">
        <v>8</v>
      </c>
      <c r="GV525" s="27" t="s">
        <v>7</v>
      </c>
    </row>
    <row r="526" spans="1:204" x14ac:dyDescent="0.25">
      <c r="A526" s="7">
        <v>3.3466514041327216</v>
      </c>
      <c r="B526"/>
      <c r="C526"/>
      <c r="D526"/>
      <c r="E526" t="s">
        <v>8</v>
      </c>
      <c r="GR526" s="27" t="s">
        <v>7</v>
      </c>
      <c r="GS526" s="27" t="s">
        <v>8</v>
      </c>
      <c r="GT526" s="27" t="s">
        <v>7</v>
      </c>
      <c r="GU526" s="27" t="s">
        <v>8</v>
      </c>
    </row>
    <row r="527" spans="1:204" x14ac:dyDescent="0.25">
      <c r="A527" s="7">
        <v>3.2810307883654133</v>
      </c>
      <c r="B527"/>
      <c r="C527"/>
      <c r="D527"/>
      <c r="E527" t="s">
        <v>8</v>
      </c>
      <c r="GR527" s="27" t="s">
        <v>7</v>
      </c>
      <c r="GS527" s="27" t="s">
        <v>8</v>
      </c>
      <c r="GT527" s="27" t="s">
        <v>7</v>
      </c>
      <c r="GU527" s="27" t="s">
        <v>8</v>
      </c>
    </row>
    <row r="528" spans="1:204" x14ac:dyDescent="0.25">
      <c r="A528" s="7">
        <v>3.2166968513386403</v>
      </c>
      <c r="B528"/>
      <c r="C528"/>
      <c r="D528"/>
      <c r="E528" t="s">
        <v>8</v>
      </c>
      <c r="GR528" s="27" t="s">
        <v>7</v>
      </c>
      <c r="GS528" s="27" t="s">
        <v>8</v>
      </c>
      <c r="GT528" s="27" t="s">
        <v>7</v>
      </c>
      <c r="GU528" s="27" t="s">
        <v>8</v>
      </c>
    </row>
    <row r="529" spans="1:203" x14ac:dyDescent="0.25">
      <c r="A529" s="7">
        <v>3.1536243640574906</v>
      </c>
      <c r="B529"/>
      <c r="C529"/>
      <c r="D529"/>
      <c r="E529" t="s">
        <v>8</v>
      </c>
      <c r="GR529" s="27" t="s">
        <v>7</v>
      </c>
      <c r="GS529" s="27" t="s">
        <v>8</v>
      </c>
      <c r="GT529" s="27" t="s">
        <v>7</v>
      </c>
      <c r="GU529" s="27" t="s">
        <v>8</v>
      </c>
    </row>
    <row r="530" spans="1:203" x14ac:dyDescent="0.25">
      <c r="A530" s="7">
        <v>3.0917885922132262</v>
      </c>
      <c r="B530"/>
      <c r="C530"/>
      <c r="D530"/>
      <c r="E530" t="s">
        <v>8</v>
      </c>
      <c r="GR530" s="27" t="s">
        <v>7</v>
      </c>
      <c r="GT530" s="27" t="s">
        <v>7</v>
      </c>
    </row>
    <row r="531" spans="1:203" x14ac:dyDescent="0.25">
      <c r="A531" s="7">
        <v>3.0311652864835552</v>
      </c>
      <c r="B531"/>
      <c r="C531"/>
      <c r="D531"/>
      <c r="E531" t="s">
        <v>8</v>
      </c>
    </row>
    <row r="532" spans="1:203" x14ac:dyDescent="0.25">
      <c r="A532" s="7">
        <v>2.9717306730230932</v>
      </c>
      <c r="B532"/>
      <c r="C532"/>
      <c r="D532"/>
      <c r="E532" t="s">
        <v>8</v>
      </c>
    </row>
    <row r="533" spans="1:203" x14ac:dyDescent="0.25">
      <c r="A533" s="7">
        <v>2.9134614441402875</v>
      </c>
      <c r="B533"/>
      <c r="C533"/>
      <c r="D533"/>
      <c r="E533" t="s">
        <v>8</v>
      </c>
    </row>
    <row r="534" spans="1:203" x14ac:dyDescent="0.25">
      <c r="A534" s="7">
        <v>2.8563347491571447</v>
      </c>
      <c r="B534"/>
      <c r="C534"/>
      <c r="D534"/>
      <c r="E534" t="s">
        <v>8</v>
      </c>
    </row>
    <row r="535" spans="1:203" x14ac:dyDescent="0.25">
      <c r="A535" s="7">
        <v>2.8003281854481812</v>
      </c>
      <c r="B535"/>
      <c r="C535"/>
      <c r="D535"/>
      <c r="E535" t="s">
        <v>8</v>
      </c>
    </row>
    <row r="536" spans="1:203" x14ac:dyDescent="0.25">
      <c r="A536" s="7">
        <v>2.7454197896550796</v>
      </c>
      <c r="B536"/>
      <c r="C536"/>
      <c r="D536"/>
      <c r="E536" t="s">
        <v>8</v>
      </c>
    </row>
    <row r="537" spans="1:203" x14ac:dyDescent="0.25">
      <c r="A537" s="7">
        <v>2.6915880290736074</v>
      </c>
      <c r="B537"/>
      <c r="C537"/>
      <c r="D537"/>
      <c r="E537" t="s">
        <v>8</v>
      </c>
    </row>
    <row r="538" spans="1:203" x14ac:dyDescent="0.25">
      <c r="A538" s="7">
        <v>2.6388117932094191</v>
      </c>
      <c r="B538"/>
      <c r="C538"/>
      <c r="D538"/>
      <c r="E538" t="s">
        <v>8</v>
      </c>
    </row>
    <row r="539" spans="1:203" x14ac:dyDescent="0.25">
      <c r="A539" s="7">
        <v>2.5870703854994304</v>
      </c>
      <c r="B539"/>
      <c r="C539"/>
      <c r="D539"/>
      <c r="E539" t="s">
        <v>8</v>
      </c>
    </row>
    <row r="540" spans="1:203" x14ac:dyDescent="0.25">
      <c r="A540" s="7">
        <v>2.53634351519552</v>
      </c>
      <c r="B540"/>
      <c r="C540"/>
      <c r="D540"/>
      <c r="E540" t="s">
        <v>8</v>
      </c>
    </row>
    <row r="541" spans="1:203" x14ac:dyDescent="0.25">
      <c r="A541" s="7">
        <v>2.4866112894073726</v>
      </c>
      <c r="B541"/>
      <c r="C541"/>
      <c r="D541"/>
      <c r="E541" t="s">
        <v>8</v>
      </c>
    </row>
    <row r="542" spans="1:203" x14ac:dyDescent="0.25">
      <c r="A542" s="7">
        <v>2.4378542053013459</v>
      </c>
      <c r="B542"/>
      <c r="C542"/>
      <c r="D542"/>
      <c r="E542" t="s">
        <v>8</v>
      </c>
    </row>
    <row r="543" spans="1:203" x14ac:dyDescent="0.25">
      <c r="A543" s="7">
        <v>2.3900531424522997</v>
      </c>
      <c r="B543"/>
      <c r="C543"/>
      <c r="D543"/>
      <c r="E543" t="s">
        <v>8</v>
      </c>
    </row>
    <row r="544" spans="1:203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282" priority="769" operator="equal">
      <formula>$U$1</formula>
    </cfRule>
    <cfRule type="cellIs" dxfId="281" priority="770" operator="equal">
      <formula>$S$1</formula>
    </cfRule>
  </conditionalFormatting>
  <conditionalFormatting sqref="D27">
    <cfRule type="cellIs" dxfId="280" priority="767" operator="equal">
      <formula>$S$1</formula>
    </cfRule>
    <cfRule type="cellIs" dxfId="279" priority="768" operator="equal">
      <formula>$U$1</formula>
    </cfRule>
  </conditionalFormatting>
  <conditionalFormatting sqref="C164">
    <cfRule type="cellIs" dxfId="278" priority="765" operator="equal">
      <formula>$U$1</formula>
    </cfRule>
    <cfRule type="cellIs" dxfId="277" priority="766" operator="equal">
      <formula>$S$1</formula>
    </cfRule>
  </conditionalFormatting>
  <conditionalFormatting sqref="D164">
    <cfRule type="cellIs" dxfId="276" priority="763" operator="equal">
      <formula>$S$1</formula>
    </cfRule>
    <cfRule type="cellIs" dxfId="275" priority="764" operator="equal">
      <formula>$U$1</formula>
    </cfRule>
  </conditionalFormatting>
  <conditionalFormatting sqref="C55">
    <cfRule type="cellIs" dxfId="274" priority="761" operator="equal">
      <formula>$U$1</formula>
    </cfRule>
    <cfRule type="cellIs" dxfId="273" priority="762" operator="equal">
      <formula>$S$1</formula>
    </cfRule>
  </conditionalFormatting>
  <conditionalFormatting sqref="D55">
    <cfRule type="cellIs" dxfId="272" priority="759" operator="equal">
      <formula>$S$1</formula>
    </cfRule>
    <cfRule type="cellIs" dxfId="271" priority="760" operator="equal">
      <formula>$U$1</formula>
    </cfRule>
  </conditionalFormatting>
  <conditionalFormatting sqref="C89">
    <cfRule type="cellIs" dxfId="270" priority="757" operator="equal">
      <formula>$U$1</formula>
    </cfRule>
    <cfRule type="cellIs" dxfId="269" priority="758" operator="equal">
      <formula>$S$1</formula>
    </cfRule>
  </conditionalFormatting>
  <conditionalFormatting sqref="D89">
    <cfRule type="cellIs" dxfId="268" priority="755" operator="equal">
      <formula>$S$1</formula>
    </cfRule>
    <cfRule type="cellIs" dxfId="267" priority="756" operator="equal">
      <formula>$U$1</formula>
    </cfRule>
  </conditionalFormatting>
  <conditionalFormatting sqref="C136">
    <cfRule type="cellIs" dxfId="266" priority="753" operator="equal">
      <formula>$U$1</formula>
    </cfRule>
    <cfRule type="cellIs" dxfId="265" priority="754" operator="equal">
      <formula>$S$1</formula>
    </cfRule>
  </conditionalFormatting>
  <conditionalFormatting sqref="D136">
    <cfRule type="cellIs" dxfId="264" priority="751" operator="equal">
      <formula>$S$1</formula>
    </cfRule>
    <cfRule type="cellIs" dxfId="263" priority="752" operator="equal">
      <formula>$U$1</formula>
    </cfRule>
  </conditionalFormatting>
  <conditionalFormatting sqref="C1">
    <cfRule type="cellIs" dxfId="262" priority="75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W213" sqref="CW21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$A$212</v>
      </c>
      <c r="D111" s="1" t="str">
        <f>ADDRESS(C121-1,D121,1,1)</f>
        <v>$CW$212</v>
      </c>
      <c r="E111"/>
    </row>
    <row r="112" spans="1:5" x14ac:dyDescent="0.25">
      <c r="A112" s="30">
        <v>515.50191262726139</v>
      </c>
      <c r="C112" s="1" t="str">
        <f>ADDRESS(C121,1,1,1)</f>
        <v>$A$213</v>
      </c>
      <c r="D112" s="1" t="str">
        <f>ADDRESS(C121,D121-1,1,1)</f>
        <v>$CV$213</v>
      </c>
      <c r="E112"/>
    </row>
    <row r="113" spans="1:5" x14ac:dyDescent="0.25">
      <c r="A113" s="30">
        <v>490.95420250215363</v>
      </c>
      <c r="C113" s="1" t="str">
        <f>ADDRESS(C121+1,1,1,1)</f>
        <v>$A$214</v>
      </c>
      <c r="D113" s="1" t="str">
        <f>ADDRESS(C121-1,D121+1,1,1)</f>
        <v>$CX$212</v>
      </c>
    </row>
    <row r="114" spans="1:5" x14ac:dyDescent="0.25">
      <c r="A114" s="30">
        <v>467.57543095443202</v>
      </c>
      <c r="C114" s="1" t="str">
        <f>ADDRESS(C121,D121,1,1)</f>
        <v>$CW$213</v>
      </c>
      <c r="D114" s="1" t="str">
        <f>ADDRESS(C121+1,D121+1,1,1)</f>
        <v>$CX$214</v>
      </c>
    </row>
    <row r="115" spans="1:5" x14ac:dyDescent="0.25">
      <c r="A115" s="30">
        <v>445.30993424231622</v>
      </c>
      <c r="C115" s="1" t="str">
        <f>ADDRESS(C121+1,D121,1,1)</f>
        <v>$CW$214</v>
      </c>
    </row>
    <row r="116" spans="1:5" x14ac:dyDescent="0.25">
      <c r="A116" s="30">
        <v>424.10469927839637</v>
      </c>
      <c r="C116" s="1">
        <f>C117-1</f>
        <v>212</v>
      </c>
    </row>
    <row r="117" spans="1:5" x14ac:dyDescent="0.25">
      <c r="A117" s="30">
        <v>403.9092374079965</v>
      </c>
      <c r="C117" s="1">
        <f>C121</f>
        <v>213</v>
      </c>
      <c r="D117" s="1">
        <f>D121</f>
        <v>101</v>
      </c>
    </row>
    <row r="118" spans="1:5" x14ac:dyDescent="0.25">
      <c r="A118" s="30">
        <v>384.6754641980919</v>
      </c>
      <c r="C118" s="1">
        <f>C117+1</f>
        <v>214</v>
      </c>
      <c r="D118" s="1">
        <f>D117+1</f>
        <v>102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213</v>
      </c>
      <c r="D121" s="19">
        <v>101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R213</v>
      </c>
      <c r="D123" s="1" t="str">
        <f>"C"&amp;D121</f>
        <v>C101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3.7334563223415764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38" x14ac:dyDescent="0.25">
      <c r="A161" s="30">
        <v>47.201372444612005</v>
      </c>
      <c r="E161"/>
    </row>
    <row r="162" spans="1:38" x14ac:dyDescent="0.25">
      <c r="A162" s="30">
        <v>44.95368804248762</v>
      </c>
      <c r="E162"/>
    </row>
    <row r="163" spans="1:38" x14ac:dyDescent="0.25">
      <c r="A163" s="30">
        <v>42.81303623094059</v>
      </c>
      <c r="E163"/>
    </row>
    <row r="164" spans="1:38" x14ac:dyDescent="0.25">
      <c r="A164" s="30">
        <v>40.774320219943419</v>
      </c>
      <c r="E164"/>
    </row>
    <row r="165" spans="1:38" x14ac:dyDescent="0.25">
      <c r="A165" s="30">
        <v>38.832685923755633</v>
      </c>
      <c r="E165"/>
    </row>
    <row r="166" spans="1:38" x14ac:dyDescent="0.25">
      <c r="A166" s="30">
        <v>36.983510403576794</v>
      </c>
      <c r="E166"/>
    </row>
    <row r="167" spans="1:38" x14ac:dyDescent="0.25">
      <c r="A167" s="30">
        <v>35.222390860549325</v>
      </c>
      <c r="E167"/>
    </row>
    <row r="168" spans="1:38" x14ac:dyDescent="0.25">
      <c r="A168" s="30">
        <v>33.545134152904119</v>
      </c>
      <c r="E168"/>
    </row>
    <row r="169" spans="1:38" x14ac:dyDescent="0.25">
      <c r="A169" s="30">
        <v>31.947746812289637</v>
      </c>
      <c r="E169"/>
    </row>
    <row r="170" spans="1:38" x14ac:dyDescent="0.25">
      <c r="A170" s="30">
        <v>30.426425535513939</v>
      </c>
      <c r="E170"/>
    </row>
    <row r="171" spans="1:38" x14ac:dyDescent="0.25">
      <c r="A171" s="30">
        <v>28.977548129060892</v>
      </c>
      <c r="E171"/>
    </row>
    <row r="172" spans="1:38" x14ac:dyDescent="0.25">
      <c r="A172" s="30">
        <v>27.597664884819896</v>
      </c>
      <c r="E172"/>
    </row>
    <row r="173" spans="1:38" x14ac:dyDescent="0.25">
      <c r="A173" s="30">
        <v>26.283490366495137</v>
      </c>
      <c r="E173"/>
    </row>
    <row r="174" spans="1:38" x14ac:dyDescent="0.25">
      <c r="A174" s="30">
        <v>25.031895587138223</v>
      </c>
      <c r="E174"/>
      <c r="AK174" s="27" t="s">
        <v>8</v>
      </c>
    </row>
    <row r="175" spans="1:38" x14ac:dyDescent="0.25">
      <c r="A175" s="30">
        <v>23.839900559179259</v>
      </c>
      <c r="E175"/>
      <c r="AK175" s="27" t="s">
        <v>8</v>
      </c>
      <c r="AL175" s="27" t="s">
        <v>7</v>
      </c>
    </row>
    <row r="176" spans="1:38" x14ac:dyDescent="0.25">
      <c r="A176" s="30">
        <v>22.704667199218342</v>
      </c>
      <c r="E176"/>
      <c r="AK176" s="27" t="s">
        <v>8</v>
      </c>
      <c r="AL176" s="27" t="s">
        <v>7</v>
      </c>
    </row>
    <row r="177" spans="1:85" x14ac:dyDescent="0.25">
      <c r="A177" s="30">
        <v>21.623492570684135</v>
      </c>
      <c r="E177"/>
      <c r="AK177" s="27" t="s">
        <v>8</v>
      </c>
      <c r="AL177" s="27" t="s">
        <v>7</v>
      </c>
      <c r="AM177" s="27" t="s">
        <v>8</v>
      </c>
    </row>
    <row r="178" spans="1:85" x14ac:dyDescent="0.25">
      <c r="A178" s="30">
        <v>20.593802448270605</v>
      </c>
      <c r="C178" s="7"/>
      <c r="D178"/>
      <c r="E178"/>
      <c r="AK178" s="27" t="s">
        <v>8</v>
      </c>
      <c r="AL178" s="27" t="s">
        <v>7</v>
      </c>
      <c r="AM178" s="27" t="s">
        <v>8</v>
      </c>
      <c r="AN178" s="27" t="s">
        <v>7</v>
      </c>
    </row>
    <row r="179" spans="1:85" x14ac:dyDescent="0.25">
      <c r="A179" s="30">
        <v>19.613145188829147</v>
      </c>
      <c r="E179"/>
      <c r="AK179" s="27" t="s">
        <v>8</v>
      </c>
      <c r="AL179" s="27" t="s">
        <v>7</v>
      </c>
      <c r="AM179" s="27" t="s">
        <v>8</v>
      </c>
      <c r="AN179" s="27" t="s">
        <v>7</v>
      </c>
    </row>
    <row r="180" spans="1:85" x14ac:dyDescent="0.25">
      <c r="A180" s="30">
        <v>18.679185894122998</v>
      </c>
      <c r="E180"/>
      <c r="AK180" s="27" t="s">
        <v>8</v>
      </c>
      <c r="AL180" s="27" t="s">
        <v>7</v>
      </c>
      <c r="AM180" s="27" t="s">
        <v>8</v>
      </c>
      <c r="AN180" s="27" t="s">
        <v>7</v>
      </c>
    </row>
    <row r="181" spans="1:85" x14ac:dyDescent="0.25">
      <c r="A181" s="30">
        <v>17.78970085154571</v>
      </c>
      <c r="C181"/>
      <c r="D181"/>
      <c r="E181"/>
      <c r="AK181" s="27" t="s">
        <v>8</v>
      </c>
      <c r="AL181" s="27" t="s">
        <v>7</v>
      </c>
      <c r="AM181" s="27" t="s">
        <v>8</v>
      </c>
      <c r="AN181" s="27" t="s">
        <v>7</v>
      </c>
    </row>
    <row r="182" spans="1:85" x14ac:dyDescent="0.25">
      <c r="A182" s="30">
        <v>16.942572239567344</v>
      </c>
      <c r="E182"/>
      <c r="AE182" s="27" t="s">
        <v>8</v>
      </c>
      <c r="AK182" s="27" t="s">
        <v>8</v>
      </c>
      <c r="AL182" s="27" t="s">
        <v>7</v>
      </c>
      <c r="AM182" s="27" t="s">
        <v>8</v>
      </c>
      <c r="AN182" s="27" t="s">
        <v>7</v>
      </c>
    </row>
    <row r="183" spans="1:85" x14ac:dyDescent="0.25">
      <c r="A183" s="30">
        <v>16.135783085302233</v>
      </c>
      <c r="E183"/>
      <c r="AE183" s="27" t="s">
        <v>8</v>
      </c>
      <c r="AF183" s="27" t="s">
        <v>7</v>
      </c>
      <c r="AK183" s="27" t="s">
        <v>8</v>
      </c>
      <c r="AL183" s="27" t="s">
        <v>7</v>
      </c>
      <c r="AM183" s="27" t="s">
        <v>8</v>
      </c>
      <c r="AN183" s="27" t="s">
        <v>7</v>
      </c>
      <c r="AO183" s="27" t="s">
        <v>8</v>
      </c>
    </row>
    <row r="184" spans="1:85" x14ac:dyDescent="0.25">
      <c r="A184" s="30">
        <v>15.367412462192602</v>
      </c>
      <c r="E184"/>
      <c r="AE184" s="27" t="s">
        <v>8</v>
      </c>
      <c r="AF184" s="27" t="s">
        <v>7</v>
      </c>
      <c r="AK184" s="27" t="s">
        <v>8</v>
      </c>
      <c r="AL184" s="27" t="s">
        <v>7</v>
      </c>
      <c r="AN184" s="27" t="s">
        <v>7</v>
      </c>
      <c r="AO184" s="27" t="s">
        <v>8</v>
      </c>
      <c r="AP184" s="27" t="s">
        <v>7</v>
      </c>
    </row>
    <row r="185" spans="1:85" x14ac:dyDescent="0.25">
      <c r="A185" s="30">
        <v>14.635630916373906</v>
      </c>
      <c r="C185"/>
      <c r="E185"/>
      <c r="AE185" s="27" t="s">
        <v>8</v>
      </c>
      <c r="AF185" s="27" t="s">
        <v>7</v>
      </c>
      <c r="AK185" s="27" t="s">
        <v>8</v>
      </c>
      <c r="AN185" s="27" t="s">
        <v>7</v>
      </c>
      <c r="AO185" s="27" t="s">
        <v>8</v>
      </c>
      <c r="AP185" s="27" t="s">
        <v>7</v>
      </c>
    </row>
    <row r="186" spans="1:85" x14ac:dyDescent="0.25">
      <c r="A186" s="30">
        <v>13.938696110832291</v>
      </c>
      <c r="E186"/>
      <c r="AA186" s="27" t="s">
        <v>8</v>
      </c>
      <c r="AC186" s="27" t="s">
        <v>8</v>
      </c>
      <c r="AE186" s="27" t="s">
        <v>8</v>
      </c>
      <c r="AF186" s="27" t="s">
        <v>7</v>
      </c>
      <c r="AG186" s="27" t="s">
        <v>8</v>
      </c>
      <c r="AK186" s="27" t="s">
        <v>8</v>
      </c>
      <c r="AN186" s="27" t="s">
        <v>7</v>
      </c>
      <c r="AP186" s="27" t="s">
        <v>7</v>
      </c>
      <c r="AQ186" s="27" t="s">
        <v>8</v>
      </c>
    </row>
    <row r="187" spans="1:8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A187" s="27" t="s">
        <v>8</v>
      </c>
      <c r="AB187" s="27" t="s">
        <v>7</v>
      </c>
      <c r="AC187" s="27" t="s">
        <v>8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K187" s="27" t="s">
        <v>8</v>
      </c>
      <c r="AP187" s="27" t="s">
        <v>7</v>
      </c>
      <c r="AQ187" s="27" t="s">
        <v>8</v>
      </c>
      <c r="AR187" s="27" t="s">
        <v>7</v>
      </c>
    </row>
    <row r="188" spans="1:85" x14ac:dyDescent="0.25">
      <c r="A188" s="30">
        <v>12.64280826379346</v>
      </c>
      <c r="E188"/>
      <c r="AA188" s="27" t="s">
        <v>8</v>
      </c>
      <c r="AB188" s="27" t="s">
        <v>7</v>
      </c>
      <c r="AC188" s="27" t="s">
        <v>8</v>
      </c>
      <c r="AD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K188" s="27" t="s">
        <v>8</v>
      </c>
      <c r="AP188" s="27" t="s">
        <v>7</v>
      </c>
      <c r="AQ188" s="27" t="s">
        <v>8</v>
      </c>
      <c r="AR188" s="27" t="s">
        <v>7</v>
      </c>
    </row>
    <row r="189" spans="1:85" x14ac:dyDescent="0.25">
      <c r="A189" s="30">
        <v>12.04076977504139</v>
      </c>
      <c r="E189"/>
      <c r="AA189" s="27" t="s">
        <v>8</v>
      </c>
      <c r="AB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AH189" s="27" t="s">
        <v>7</v>
      </c>
      <c r="AK189" s="27" t="s">
        <v>8</v>
      </c>
      <c r="AP189" s="27" t="s">
        <v>7</v>
      </c>
      <c r="AQ189" s="27" t="s">
        <v>8</v>
      </c>
      <c r="AR189" s="27" t="s">
        <v>7</v>
      </c>
      <c r="CE189" s="27" t="s">
        <v>8</v>
      </c>
    </row>
    <row r="190" spans="1:85" x14ac:dyDescent="0.25">
      <c r="A190" s="30">
        <v>11.467399785753704</v>
      </c>
      <c r="E190"/>
      <c r="AA190" s="27" t="s">
        <v>8</v>
      </c>
      <c r="AB190" s="27" t="s">
        <v>7</v>
      </c>
      <c r="AC190" s="27" t="s">
        <v>8</v>
      </c>
      <c r="AD190" s="27" t="s">
        <v>7</v>
      </c>
      <c r="AH190" s="27" t="s">
        <v>7</v>
      </c>
      <c r="AK190" s="27" t="s">
        <v>8</v>
      </c>
      <c r="AP190" s="27" t="s">
        <v>7</v>
      </c>
      <c r="AR190" s="27" t="s">
        <v>7</v>
      </c>
      <c r="CE190" s="27" t="s">
        <v>8</v>
      </c>
      <c r="CF190" s="27" t="s">
        <v>7</v>
      </c>
    </row>
    <row r="191" spans="1:85" x14ac:dyDescent="0.25">
      <c r="A191" s="30">
        <v>10.921333129289241</v>
      </c>
      <c r="E191"/>
      <c r="AA191" s="27" t="s">
        <v>8</v>
      </c>
      <c r="AB191" s="27" t="s">
        <v>7</v>
      </c>
      <c r="AC191" s="27" t="s">
        <v>8</v>
      </c>
      <c r="AH191" s="27" t="s">
        <v>7</v>
      </c>
      <c r="AK191" s="27" t="s">
        <v>8</v>
      </c>
      <c r="AR191" s="27" t="s">
        <v>7</v>
      </c>
      <c r="CE191" s="27" t="s">
        <v>8</v>
      </c>
      <c r="CF191" s="27" t="s">
        <v>7</v>
      </c>
    </row>
    <row r="192" spans="1:85" x14ac:dyDescent="0.25">
      <c r="A192" s="30">
        <v>10.401269646942135</v>
      </c>
      <c r="E192"/>
      <c r="AA192" s="27" t="s">
        <v>8</v>
      </c>
      <c r="AB192" s="27" t="s">
        <v>7</v>
      </c>
      <c r="AC192" s="27" t="s">
        <v>8</v>
      </c>
      <c r="AH192" s="27" t="s">
        <v>7</v>
      </c>
      <c r="AK192" s="27" t="s">
        <v>8</v>
      </c>
      <c r="AR192" s="27" t="s">
        <v>7</v>
      </c>
      <c r="AS192" s="27" t="s">
        <v>8</v>
      </c>
      <c r="AY192" s="27" t="s">
        <v>8</v>
      </c>
      <c r="CE192" s="27" t="s">
        <v>8</v>
      </c>
      <c r="CF192" s="27" t="s">
        <v>7</v>
      </c>
      <c r="CG192" s="27" t="s">
        <v>8</v>
      </c>
    </row>
    <row r="193" spans="1:100" x14ac:dyDescent="0.25">
      <c r="A193" s="30">
        <v>9.9059710923258422</v>
      </c>
      <c r="E193"/>
      <c r="Y193" s="27" t="s">
        <v>8</v>
      </c>
      <c r="AA193" s="27" t="s">
        <v>8</v>
      </c>
      <c r="AB193" s="27" t="s">
        <v>7</v>
      </c>
      <c r="AH193" s="27" t="s">
        <v>7</v>
      </c>
      <c r="AI193" s="27" t="s">
        <v>8</v>
      </c>
      <c r="AK193" s="27" t="s">
        <v>8</v>
      </c>
      <c r="AR193" s="27" t="s">
        <v>7</v>
      </c>
      <c r="AS193" s="27" t="s">
        <v>8</v>
      </c>
      <c r="AT193" s="27" t="s">
        <v>7</v>
      </c>
      <c r="AY193" s="27" t="s">
        <v>8</v>
      </c>
      <c r="AZ193" s="27" t="s">
        <v>7</v>
      </c>
      <c r="CE193" s="27" t="s">
        <v>8</v>
      </c>
      <c r="CF193" s="27" t="s">
        <v>7</v>
      </c>
      <c r="CG193" s="27" t="s">
        <v>8</v>
      </c>
      <c r="CH193" s="27" t="s">
        <v>7</v>
      </c>
    </row>
    <row r="194" spans="1:100" x14ac:dyDescent="0.25">
      <c r="A194" s="30">
        <v>9.4342581831674686</v>
      </c>
      <c r="E194"/>
      <c r="W194" s="27" t="s">
        <v>8</v>
      </c>
      <c r="Y194" s="27" t="s">
        <v>8</v>
      </c>
      <c r="Z194" s="27" t="s">
        <v>7</v>
      </c>
      <c r="AA194" s="27" t="s">
        <v>8</v>
      </c>
      <c r="AH194" s="27" t="s">
        <v>7</v>
      </c>
      <c r="AI194" s="27" t="s">
        <v>8</v>
      </c>
      <c r="AJ194" s="27" t="s">
        <v>7</v>
      </c>
      <c r="AK194" s="27" t="s">
        <v>8</v>
      </c>
      <c r="AR194" s="27" t="s">
        <v>7</v>
      </c>
      <c r="AS194" s="27" t="s">
        <v>8</v>
      </c>
      <c r="AT194" s="27" t="s">
        <v>7</v>
      </c>
      <c r="AY194" s="27" t="s">
        <v>8</v>
      </c>
      <c r="AZ194" s="27" t="s">
        <v>7</v>
      </c>
      <c r="CE194" s="27" t="s">
        <v>8</v>
      </c>
      <c r="CF194" s="27" t="s">
        <v>7</v>
      </c>
      <c r="CG194" s="27" t="s">
        <v>8</v>
      </c>
      <c r="CH194" s="27" t="s">
        <v>7</v>
      </c>
      <c r="CI194" s="27" t="s">
        <v>8</v>
      </c>
    </row>
    <row r="195" spans="1:100" x14ac:dyDescent="0.25">
      <c r="A195" s="30">
        <v>8.9850077934928265</v>
      </c>
      <c r="E195"/>
      <c r="U195" s="27" t="s">
        <v>8</v>
      </c>
      <c r="W195" s="27" t="s">
        <v>8</v>
      </c>
      <c r="X195" s="27" t="s">
        <v>7</v>
      </c>
      <c r="Y195" s="27" t="s">
        <v>8</v>
      </c>
      <c r="Z195" s="27" t="s">
        <v>7</v>
      </c>
      <c r="AA195" s="27" t="s">
        <v>8</v>
      </c>
      <c r="AH195" s="27" t="s">
        <v>7</v>
      </c>
      <c r="AI195" s="27" t="s">
        <v>8</v>
      </c>
      <c r="AJ195" s="27" t="s">
        <v>7</v>
      </c>
      <c r="AK195" s="27" t="s">
        <v>8</v>
      </c>
      <c r="AR195" s="27" t="s">
        <v>7</v>
      </c>
      <c r="AS195" s="27" t="s">
        <v>8</v>
      </c>
      <c r="AT195" s="27" t="s">
        <v>7</v>
      </c>
      <c r="AY195" s="27" t="s">
        <v>8</v>
      </c>
      <c r="AZ195" s="27" t="s">
        <v>7</v>
      </c>
      <c r="BO195" s="27" t="s">
        <v>8</v>
      </c>
      <c r="BQ195" s="27" t="s">
        <v>8</v>
      </c>
      <c r="CE195" s="27" t="s">
        <v>8</v>
      </c>
      <c r="CF195" s="27" t="s">
        <v>7</v>
      </c>
      <c r="CG195" s="27" t="s">
        <v>8</v>
      </c>
      <c r="CH195" s="27" t="s">
        <v>7</v>
      </c>
      <c r="CI195" s="27" t="s">
        <v>8</v>
      </c>
      <c r="CJ195" s="27" t="s">
        <v>7</v>
      </c>
      <c r="CK195" s="27" t="s">
        <v>8</v>
      </c>
    </row>
    <row r="196" spans="1:100" x14ac:dyDescent="0.25">
      <c r="A196" s="30">
        <v>8.5571502795169767</v>
      </c>
      <c r="E196"/>
      <c r="U196" s="27" t="s">
        <v>8</v>
      </c>
      <c r="V196" s="27" t="s">
        <v>7</v>
      </c>
      <c r="W196" s="27" t="s">
        <v>8</v>
      </c>
      <c r="X196" s="27" t="s">
        <v>7</v>
      </c>
      <c r="Y196" s="27" t="s">
        <v>8</v>
      </c>
      <c r="Z196" s="27" t="s">
        <v>7</v>
      </c>
      <c r="AA196" s="27" t="s">
        <v>8</v>
      </c>
      <c r="AH196" s="27" t="s">
        <v>7</v>
      </c>
      <c r="AJ196" s="27" t="s">
        <v>7</v>
      </c>
      <c r="AR196" s="27" t="s">
        <v>7</v>
      </c>
      <c r="AS196" s="27" t="s">
        <v>8</v>
      </c>
      <c r="AT196" s="27" t="s">
        <v>7</v>
      </c>
      <c r="AU196" s="27" t="s">
        <v>8</v>
      </c>
      <c r="AY196" s="27" t="s">
        <v>8</v>
      </c>
      <c r="AZ196" s="27" t="s">
        <v>7</v>
      </c>
      <c r="BO196" s="27" t="s">
        <v>8</v>
      </c>
      <c r="BP196" s="27" t="s">
        <v>7</v>
      </c>
      <c r="BQ196" s="27" t="s">
        <v>8</v>
      </c>
      <c r="BR196" s="27" t="s">
        <v>7</v>
      </c>
      <c r="CA196" s="27" t="s">
        <v>8</v>
      </c>
      <c r="CC196" s="27" t="s">
        <v>8</v>
      </c>
      <c r="CE196" s="27" t="s">
        <v>8</v>
      </c>
      <c r="CF196" s="27" t="s">
        <v>7</v>
      </c>
      <c r="CG196" s="27" t="s">
        <v>8</v>
      </c>
      <c r="CH196" s="27" t="s">
        <v>7</v>
      </c>
      <c r="CI196" s="27" t="s">
        <v>8</v>
      </c>
      <c r="CJ196" s="27" t="s">
        <v>7</v>
      </c>
      <c r="CK196" s="27" t="s">
        <v>8</v>
      </c>
      <c r="CL196" s="27" t="s">
        <v>7</v>
      </c>
      <c r="CM196" s="27" t="s">
        <v>8</v>
      </c>
    </row>
    <row r="197" spans="1:100" x14ac:dyDescent="0.25">
      <c r="A197" s="30">
        <v>8.1496669328733109</v>
      </c>
      <c r="E197"/>
      <c r="I197" s="27" t="s">
        <v>8</v>
      </c>
      <c r="U197" s="27" t="s">
        <v>8</v>
      </c>
      <c r="V197" s="27" t="s">
        <v>7</v>
      </c>
      <c r="W197" s="27" t="s">
        <v>8</v>
      </c>
      <c r="X197" s="27" t="s">
        <v>7</v>
      </c>
      <c r="Y197" s="27" t="s">
        <v>8</v>
      </c>
      <c r="Z197" s="27" t="s">
        <v>7</v>
      </c>
      <c r="AR197" s="27" t="s">
        <v>7</v>
      </c>
      <c r="AS197" s="27" t="s">
        <v>8</v>
      </c>
      <c r="AT197" s="27" t="s">
        <v>7</v>
      </c>
      <c r="AU197" s="27" t="s">
        <v>8</v>
      </c>
      <c r="AV197" s="27" t="s">
        <v>7</v>
      </c>
      <c r="AY197" s="27" t="s">
        <v>8</v>
      </c>
      <c r="AZ197" s="27" t="s">
        <v>7</v>
      </c>
      <c r="BO197" s="27" t="s">
        <v>8</v>
      </c>
      <c r="BP197" s="27" t="s">
        <v>7</v>
      </c>
      <c r="BQ197" s="27" t="s">
        <v>8</v>
      </c>
      <c r="BR197" s="27" t="s">
        <v>7</v>
      </c>
      <c r="BS197" s="27" t="s">
        <v>8</v>
      </c>
      <c r="CA197" s="27" t="s">
        <v>8</v>
      </c>
      <c r="CB197" s="27" t="s">
        <v>7</v>
      </c>
      <c r="CC197" s="27" t="s">
        <v>8</v>
      </c>
      <c r="CD197" s="27" t="s">
        <v>7</v>
      </c>
      <c r="CE197" s="27" t="s">
        <v>8</v>
      </c>
      <c r="CF197" s="27" t="s">
        <v>7</v>
      </c>
      <c r="CH197" s="27" t="s">
        <v>7</v>
      </c>
      <c r="CJ197" s="27" t="s">
        <v>7</v>
      </c>
      <c r="CK197" s="27" t="s">
        <v>8</v>
      </c>
      <c r="CL197" s="27" t="s">
        <v>7</v>
      </c>
      <c r="CM197" s="27" t="s">
        <v>8</v>
      </c>
      <c r="CN197" s="27" t="s">
        <v>7</v>
      </c>
    </row>
    <row r="198" spans="1:100" x14ac:dyDescent="0.25">
      <c r="A198" s="30">
        <v>7.7615875551174378</v>
      </c>
      <c r="E198"/>
      <c r="I198" s="27" t="s">
        <v>8</v>
      </c>
      <c r="J198" s="27" t="s">
        <v>7</v>
      </c>
      <c r="U198" s="27" t="s">
        <v>8</v>
      </c>
      <c r="V198" s="27" t="s">
        <v>7</v>
      </c>
      <c r="W198" s="27" t="s">
        <v>8</v>
      </c>
      <c r="X198" s="27" t="s">
        <v>7</v>
      </c>
      <c r="Y198" s="27" t="s">
        <v>8</v>
      </c>
      <c r="AR198" s="27" t="s">
        <v>7</v>
      </c>
      <c r="AS198" s="27" t="s">
        <v>8</v>
      </c>
      <c r="AT198" s="27" t="s">
        <v>7</v>
      </c>
      <c r="AU198" s="27" t="s">
        <v>8</v>
      </c>
      <c r="AV198" s="27" t="s">
        <v>7</v>
      </c>
      <c r="AW198" s="27" t="s">
        <v>8</v>
      </c>
      <c r="AY198" s="27" t="s">
        <v>8</v>
      </c>
      <c r="AZ198" s="27" t="s">
        <v>7</v>
      </c>
      <c r="BA198" s="27" t="s">
        <v>8</v>
      </c>
      <c r="BM198" s="27" t="s">
        <v>8</v>
      </c>
      <c r="BO198" s="27" t="s">
        <v>8</v>
      </c>
      <c r="BP198" s="27" t="s">
        <v>7</v>
      </c>
      <c r="BQ198" s="27" t="s">
        <v>8</v>
      </c>
      <c r="BR198" s="27" t="s">
        <v>7</v>
      </c>
      <c r="BS198" s="27" t="s">
        <v>8</v>
      </c>
      <c r="BT198" s="27" t="s">
        <v>7</v>
      </c>
      <c r="BU198" s="27" t="s">
        <v>8</v>
      </c>
      <c r="BY198" s="27" t="s">
        <v>8</v>
      </c>
      <c r="CA198" s="27" t="s">
        <v>8</v>
      </c>
      <c r="CB198" s="27" t="s">
        <v>7</v>
      </c>
      <c r="CC198" s="27" t="s">
        <v>8</v>
      </c>
      <c r="CD198" s="27" t="s">
        <v>7</v>
      </c>
      <c r="CE198" s="27" t="s">
        <v>8</v>
      </c>
      <c r="CJ198" s="27" t="s">
        <v>7</v>
      </c>
      <c r="CK198" s="27" t="s">
        <v>8</v>
      </c>
      <c r="CL198" s="27" t="s">
        <v>7</v>
      </c>
      <c r="CM198" s="27" t="s">
        <v>8</v>
      </c>
      <c r="CN198" s="27" t="s">
        <v>7</v>
      </c>
    </row>
    <row r="199" spans="1:100" x14ac:dyDescent="0.25">
      <c r="A199" s="30">
        <v>7.3919881477308929</v>
      </c>
      <c r="E199"/>
      <c r="I199" s="27" t="s">
        <v>8</v>
      </c>
      <c r="J199" s="27" t="s">
        <v>7</v>
      </c>
      <c r="S199" s="27" t="s">
        <v>8</v>
      </c>
      <c r="U199" s="27" t="s">
        <v>8</v>
      </c>
      <c r="V199" s="27" t="s">
        <v>7</v>
      </c>
      <c r="X199" s="27" t="s">
        <v>7</v>
      </c>
      <c r="Y199" s="27" t="s">
        <v>8</v>
      </c>
      <c r="AR199" s="27" t="s">
        <v>7</v>
      </c>
      <c r="AS199" s="27" t="s">
        <v>8</v>
      </c>
      <c r="AT199" s="27" t="s">
        <v>7</v>
      </c>
      <c r="AU199" s="27" t="s">
        <v>8</v>
      </c>
      <c r="AV199" s="27" t="s">
        <v>7</v>
      </c>
      <c r="AW199" s="27" t="s">
        <v>8</v>
      </c>
      <c r="AX199" s="27" t="s">
        <v>7</v>
      </c>
      <c r="AY199" s="27" t="s">
        <v>8</v>
      </c>
      <c r="AZ199" s="27" t="s">
        <v>7</v>
      </c>
      <c r="BA199" s="27" t="s">
        <v>8</v>
      </c>
      <c r="BB199" s="27" t="s">
        <v>7</v>
      </c>
      <c r="BK199" s="27" t="s">
        <v>8</v>
      </c>
      <c r="BM199" s="27" t="s">
        <v>8</v>
      </c>
      <c r="BN199" s="27" t="s">
        <v>7</v>
      </c>
      <c r="BO199" s="27" t="s">
        <v>8</v>
      </c>
      <c r="BP199" s="27" t="s">
        <v>7</v>
      </c>
      <c r="BR199" s="27" t="s">
        <v>7</v>
      </c>
      <c r="BS199" s="27" t="s">
        <v>8</v>
      </c>
      <c r="BT199" s="27" t="s">
        <v>7</v>
      </c>
      <c r="BU199" s="27" t="s">
        <v>8</v>
      </c>
      <c r="BV199" s="27" t="s">
        <v>7</v>
      </c>
      <c r="BY199" s="27" t="s">
        <v>8</v>
      </c>
      <c r="BZ199" s="27" t="s">
        <v>7</v>
      </c>
      <c r="CA199" s="27" t="s">
        <v>8</v>
      </c>
      <c r="CB199" s="27" t="s">
        <v>7</v>
      </c>
      <c r="CC199" s="27" t="s">
        <v>8</v>
      </c>
      <c r="CD199" s="27" t="s">
        <v>7</v>
      </c>
      <c r="CE199" s="27" t="s">
        <v>8</v>
      </c>
      <c r="CJ199" s="27" t="s">
        <v>7</v>
      </c>
      <c r="CK199" s="27" t="s">
        <v>8</v>
      </c>
      <c r="CL199" s="27" t="s">
        <v>7</v>
      </c>
      <c r="CN199" s="27" t="s">
        <v>7</v>
      </c>
    </row>
    <row r="200" spans="1:100" x14ac:dyDescent="0.25">
      <c r="A200" s="30">
        <v>7.0399887121246598</v>
      </c>
      <c r="E200"/>
      <c r="I200" s="27" t="s">
        <v>8</v>
      </c>
      <c r="J200" s="27" t="s">
        <v>7</v>
      </c>
      <c r="K200" s="27" t="s">
        <v>8</v>
      </c>
      <c r="M200" s="27" t="s">
        <v>8</v>
      </c>
      <c r="S200" s="27" t="s">
        <v>8</v>
      </c>
      <c r="T200" s="27" t="s">
        <v>7</v>
      </c>
      <c r="U200" s="27" t="s">
        <v>8</v>
      </c>
      <c r="X200" s="27" t="s">
        <v>7</v>
      </c>
      <c r="Y200" s="27" t="s">
        <v>8</v>
      </c>
      <c r="AR200" s="27" t="s">
        <v>7</v>
      </c>
      <c r="AS200" s="27" t="s">
        <v>8</v>
      </c>
      <c r="AT200" s="27" t="s">
        <v>7</v>
      </c>
      <c r="AU200" s="27" t="s">
        <v>8</v>
      </c>
      <c r="AV200" s="27" t="s">
        <v>7</v>
      </c>
      <c r="AW200" s="27" t="s">
        <v>8</v>
      </c>
      <c r="AX200" s="27" t="s">
        <v>7</v>
      </c>
      <c r="AY200" s="27" t="s">
        <v>8</v>
      </c>
      <c r="AZ200" s="27" t="s">
        <v>7</v>
      </c>
      <c r="BA200" s="27" t="s">
        <v>8</v>
      </c>
      <c r="BB200" s="27" t="s">
        <v>7</v>
      </c>
      <c r="BK200" s="27" t="s">
        <v>8</v>
      </c>
      <c r="BL200" s="27" t="s">
        <v>7</v>
      </c>
      <c r="BM200" s="27" t="s">
        <v>8</v>
      </c>
      <c r="BN200" s="27" t="s">
        <v>7</v>
      </c>
      <c r="BO200" s="27" t="s">
        <v>8</v>
      </c>
      <c r="BR200" s="27" t="s">
        <v>7</v>
      </c>
      <c r="BS200" s="27" t="s">
        <v>8</v>
      </c>
      <c r="BT200" s="27" t="s">
        <v>7</v>
      </c>
      <c r="BU200" s="27" t="s">
        <v>8</v>
      </c>
      <c r="BV200" s="27" t="s">
        <v>7</v>
      </c>
      <c r="BY200" s="27" t="s">
        <v>8</v>
      </c>
      <c r="BZ200" s="27" t="s">
        <v>7</v>
      </c>
      <c r="CA200" s="27" t="s">
        <v>8</v>
      </c>
      <c r="CB200" s="27" t="s">
        <v>7</v>
      </c>
      <c r="CD200" s="27" t="s">
        <v>7</v>
      </c>
      <c r="CJ200" s="27" t="s">
        <v>7</v>
      </c>
      <c r="CK200" s="27" t="s">
        <v>8</v>
      </c>
      <c r="CN200" s="27" t="s">
        <v>7</v>
      </c>
      <c r="CQ200" s="27" t="s">
        <v>8</v>
      </c>
    </row>
    <row r="201" spans="1:100" x14ac:dyDescent="0.25">
      <c r="A201" s="30">
        <v>6.7047511544044376</v>
      </c>
      <c r="E201"/>
      <c r="I201" s="27" t="s">
        <v>8</v>
      </c>
      <c r="J201" s="27" t="s">
        <v>7</v>
      </c>
      <c r="K201" s="27" t="s">
        <v>8</v>
      </c>
      <c r="L201" s="27" t="s">
        <v>7</v>
      </c>
      <c r="M201" s="27" t="s">
        <v>8</v>
      </c>
      <c r="N201" s="27" t="s">
        <v>7</v>
      </c>
      <c r="S201" s="27" t="s">
        <v>8</v>
      </c>
      <c r="T201" s="27" t="s">
        <v>7</v>
      </c>
      <c r="U201" s="27" t="s">
        <v>8</v>
      </c>
      <c r="X201" s="27" t="s">
        <v>7</v>
      </c>
      <c r="AR201" s="27" t="s">
        <v>7</v>
      </c>
      <c r="AS201" s="27" t="s">
        <v>8</v>
      </c>
      <c r="AT201" s="27" t="s">
        <v>7</v>
      </c>
      <c r="AU201" s="27" t="s">
        <v>8</v>
      </c>
      <c r="AV201" s="27" t="s">
        <v>7</v>
      </c>
      <c r="AW201" s="27" t="s">
        <v>8</v>
      </c>
      <c r="AX201" s="27" t="s">
        <v>7</v>
      </c>
      <c r="AY201" s="27" t="s">
        <v>8</v>
      </c>
      <c r="AZ201" s="27" t="s">
        <v>7</v>
      </c>
      <c r="BA201" s="27" t="s">
        <v>8</v>
      </c>
      <c r="BB201" s="27" t="s">
        <v>7</v>
      </c>
      <c r="BI201" s="27" t="s">
        <v>8</v>
      </c>
      <c r="BK201" s="27" t="s">
        <v>8</v>
      </c>
      <c r="BL201" s="27" t="s">
        <v>7</v>
      </c>
      <c r="BM201" s="27" t="s">
        <v>8</v>
      </c>
      <c r="BN201" s="27" t="s">
        <v>7</v>
      </c>
      <c r="BO201" s="27" t="s">
        <v>8</v>
      </c>
      <c r="BR201" s="27" t="s">
        <v>7</v>
      </c>
      <c r="BT201" s="27" t="s">
        <v>7</v>
      </c>
      <c r="BV201" s="27" t="s">
        <v>7</v>
      </c>
      <c r="BW201" s="27" t="s">
        <v>8</v>
      </c>
      <c r="BY201" s="27" t="s">
        <v>8</v>
      </c>
      <c r="BZ201" s="27" t="s">
        <v>7</v>
      </c>
      <c r="CJ201" s="27" t="s">
        <v>7</v>
      </c>
      <c r="CN201" s="27" t="s">
        <v>7</v>
      </c>
      <c r="CQ201" s="27" t="s">
        <v>8</v>
      </c>
      <c r="CR201" s="27" t="s">
        <v>7</v>
      </c>
    </row>
    <row r="202" spans="1:100" x14ac:dyDescent="0.25">
      <c r="A202" s="30">
        <v>6.3854772899089882</v>
      </c>
      <c r="E202"/>
      <c r="I202" s="27" t="s">
        <v>8</v>
      </c>
      <c r="J202" s="27" t="s">
        <v>7</v>
      </c>
      <c r="K202" s="27" t="s">
        <v>8</v>
      </c>
      <c r="L202" s="27" t="s">
        <v>7</v>
      </c>
      <c r="M202" s="27" t="s">
        <v>8</v>
      </c>
      <c r="N202" s="27" t="s">
        <v>7</v>
      </c>
      <c r="S202" s="27" t="s">
        <v>8</v>
      </c>
      <c r="T202" s="27" t="s">
        <v>7</v>
      </c>
      <c r="U202" s="27" t="s">
        <v>8</v>
      </c>
      <c r="AR202" s="27" t="s">
        <v>7</v>
      </c>
      <c r="AS202" s="27" t="s">
        <v>8</v>
      </c>
      <c r="AT202" s="27" t="s">
        <v>7</v>
      </c>
      <c r="AU202" s="27" t="s">
        <v>8</v>
      </c>
      <c r="AV202" s="27" t="s">
        <v>7</v>
      </c>
      <c r="AX202" s="27" t="s">
        <v>7</v>
      </c>
      <c r="AZ202" s="27" t="s">
        <v>7</v>
      </c>
      <c r="BB202" s="27" t="s">
        <v>7</v>
      </c>
      <c r="BI202" s="27" t="s">
        <v>8</v>
      </c>
      <c r="BJ202" s="27" t="s">
        <v>7</v>
      </c>
      <c r="BK202" s="27" t="s">
        <v>8</v>
      </c>
      <c r="BL202" s="27" t="s">
        <v>7</v>
      </c>
      <c r="BN202" s="27" t="s">
        <v>7</v>
      </c>
      <c r="BV202" s="27" t="s">
        <v>7</v>
      </c>
      <c r="BW202" s="27" t="s">
        <v>8</v>
      </c>
      <c r="BX202" s="27" t="s">
        <v>7</v>
      </c>
      <c r="BY202" s="27" t="s">
        <v>8</v>
      </c>
      <c r="CN202" s="27" t="s">
        <v>7</v>
      </c>
      <c r="CQ202" s="27" t="s">
        <v>8</v>
      </c>
      <c r="CR202" s="27" t="s">
        <v>7</v>
      </c>
    </row>
    <row r="203" spans="1:100" x14ac:dyDescent="0.25">
      <c r="A203" s="30">
        <v>6.0814069427704647</v>
      </c>
      <c r="C203" s="7"/>
      <c r="D203"/>
      <c r="E203"/>
      <c r="I203" s="27" t="s">
        <v>8</v>
      </c>
      <c r="J203" s="27" t="s">
        <v>7</v>
      </c>
      <c r="K203" s="27" t="s">
        <v>8</v>
      </c>
      <c r="L203" s="27" t="s">
        <v>7</v>
      </c>
      <c r="N203" s="27" t="s">
        <v>7</v>
      </c>
      <c r="S203" s="27" t="s">
        <v>8</v>
      </c>
      <c r="T203" s="27" t="s">
        <v>7</v>
      </c>
      <c r="U203" s="27" t="s">
        <v>8</v>
      </c>
      <c r="AR203" s="27" t="s">
        <v>7</v>
      </c>
      <c r="AT203" s="27" t="s">
        <v>7</v>
      </c>
      <c r="AU203" s="27" t="s">
        <v>8</v>
      </c>
      <c r="BB203" s="27" t="s">
        <v>7</v>
      </c>
      <c r="BI203" s="27" t="s">
        <v>8</v>
      </c>
      <c r="BJ203" s="27" t="s">
        <v>7</v>
      </c>
      <c r="BK203" s="27" t="s">
        <v>8</v>
      </c>
      <c r="BV203" s="27" t="s">
        <v>7</v>
      </c>
      <c r="BW203" s="27" t="s">
        <v>8</v>
      </c>
      <c r="BX203" s="27" t="s">
        <v>7</v>
      </c>
      <c r="BY203" s="27" t="s">
        <v>8</v>
      </c>
      <c r="CN203" s="27" t="s">
        <v>7</v>
      </c>
      <c r="CO203" s="27" t="s">
        <v>8</v>
      </c>
      <c r="CQ203" s="27" t="s">
        <v>8</v>
      </c>
      <c r="CR203" s="27" t="s">
        <v>7</v>
      </c>
    </row>
    <row r="204" spans="1:100" x14ac:dyDescent="0.25">
      <c r="A204" s="30">
        <v>5.7918161359718709</v>
      </c>
      <c r="E204"/>
      <c r="I204" s="27" t="s">
        <v>8</v>
      </c>
      <c r="J204" s="27" t="s">
        <v>7</v>
      </c>
      <c r="K204" s="27" t="s">
        <v>8</v>
      </c>
      <c r="N204" s="27" t="s">
        <v>7</v>
      </c>
      <c r="O204" s="27" t="s">
        <v>8</v>
      </c>
      <c r="Q204" s="27" t="s">
        <v>8</v>
      </c>
      <c r="S204" s="27" t="s">
        <v>8</v>
      </c>
      <c r="T204" s="27" t="s">
        <v>7</v>
      </c>
      <c r="AT204" s="27" t="s">
        <v>7</v>
      </c>
      <c r="AU204" s="27" t="s">
        <v>8</v>
      </c>
      <c r="BB204" s="27" t="s">
        <v>7</v>
      </c>
      <c r="BI204" s="27" t="s">
        <v>8</v>
      </c>
      <c r="BJ204" s="27" t="s">
        <v>7</v>
      </c>
      <c r="BV204" s="27" t="s">
        <v>7</v>
      </c>
      <c r="BX204" s="27" t="s">
        <v>7</v>
      </c>
      <c r="BY204" s="27" t="s">
        <v>8</v>
      </c>
      <c r="CN204" s="27" t="s">
        <v>7</v>
      </c>
      <c r="CO204" s="27" t="s">
        <v>8</v>
      </c>
      <c r="CP204" s="27" t="s">
        <v>7</v>
      </c>
      <c r="CQ204" s="27" t="s">
        <v>8</v>
      </c>
      <c r="CR204" s="27" t="s">
        <v>7</v>
      </c>
    </row>
    <row r="205" spans="1:100" x14ac:dyDescent="0.25">
      <c r="A205" s="30">
        <v>5.5160153675922574</v>
      </c>
      <c r="E205"/>
      <c r="I205" s="27" t="s">
        <v>8</v>
      </c>
      <c r="J205" s="27" t="s">
        <v>7</v>
      </c>
      <c r="N205" s="27" t="s">
        <v>7</v>
      </c>
      <c r="O205" s="27" t="s">
        <v>8</v>
      </c>
      <c r="P205" s="27" t="s">
        <v>7</v>
      </c>
      <c r="Q205" s="27" t="s">
        <v>8</v>
      </c>
      <c r="R205" s="27" t="s">
        <v>7</v>
      </c>
      <c r="S205" s="27" t="s">
        <v>8</v>
      </c>
      <c r="AT205" s="27" t="s">
        <v>7</v>
      </c>
      <c r="AU205" s="27" t="s">
        <v>8</v>
      </c>
      <c r="BB205" s="27" t="s">
        <v>7</v>
      </c>
      <c r="BC205" s="27" t="s">
        <v>8</v>
      </c>
      <c r="BE205" s="27" t="s">
        <v>8</v>
      </c>
      <c r="BG205" s="27" t="s">
        <v>8</v>
      </c>
      <c r="BI205" s="27" t="s">
        <v>8</v>
      </c>
      <c r="BX205" s="27" t="s">
        <v>7</v>
      </c>
      <c r="BY205" s="27" t="s">
        <v>8</v>
      </c>
      <c r="CN205" s="27" t="s">
        <v>7</v>
      </c>
      <c r="CO205" s="27" t="s">
        <v>8</v>
      </c>
      <c r="CP205" s="27" t="s">
        <v>7</v>
      </c>
      <c r="CQ205" s="27" t="s">
        <v>8</v>
      </c>
      <c r="CR205" s="27" t="s">
        <v>7</v>
      </c>
    </row>
    <row r="206" spans="1:100" x14ac:dyDescent="0.25">
      <c r="A206" s="30">
        <v>5.2533479691354827</v>
      </c>
      <c r="C206"/>
      <c r="D206"/>
      <c r="E206"/>
      <c r="G206" s="27" t="s">
        <v>8</v>
      </c>
      <c r="I206" s="27" t="s">
        <v>8</v>
      </c>
      <c r="N206" s="27" t="s">
        <v>7</v>
      </c>
      <c r="O206" s="27" t="s">
        <v>8</v>
      </c>
      <c r="P206" s="27" t="s">
        <v>7</v>
      </c>
      <c r="Q206" s="27" t="s">
        <v>8</v>
      </c>
      <c r="R206" s="27" t="s">
        <v>7</v>
      </c>
      <c r="S206" s="27" t="s">
        <v>8</v>
      </c>
      <c r="AT206" s="27" t="s">
        <v>7</v>
      </c>
      <c r="BB206" s="27" t="s">
        <v>7</v>
      </c>
      <c r="BC206" s="27" t="s">
        <v>8</v>
      </c>
      <c r="BD206" s="27" t="s">
        <v>7</v>
      </c>
      <c r="BE206" s="27" t="s">
        <v>8</v>
      </c>
      <c r="BF206" s="27" t="s">
        <v>7</v>
      </c>
      <c r="BG206" s="27" t="s">
        <v>8</v>
      </c>
      <c r="BH206" s="27" t="s">
        <v>7</v>
      </c>
      <c r="BI206" s="27" t="s">
        <v>8</v>
      </c>
      <c r="BX206" s="27" t="s">
        <v>7</v>
      </c>
      <c r="BY206" s="27" t="s">
        <v>8</v>
      </c>
      <c r="CN206" s="27" t="s">
        <v>7</v>
      </c>
      <c r="CP206" s="27" t="s">
        <v>7</v>
      </c>
      <c r="CQ206" s="27" t="s">
        <v>8</v>
      </c>
      <c r="CR206" s="27" t="s">
        <v>7</v>
      </c>
      <c r="CU206" s="27" t="s">
        <v>8</v>
      </c>
    </row>
    <row r="207" spans="1:100" x14ac:dyDescent="0.25">
      <c r="A207" s="30">
        <v>5.0031885420337927</v>
      </c>
      <c r="E207"/>
      <c r="G207" s="27" t="s">
        <v>8</v>
      </c>
      <c r="H207" s="27" t="s">
        <v>7</v>
      </c>
      <c r="I207" s="27" t="s">
        <v>8</v>
      </c>
      <c r="N207" s="27" t="s">
        <v>7</v>
      </c>
      <c r="O207" s="27" t="s">
        <v>8</v>
      </c>
      <c r="P207" s="27" t="s">
        <v>7</v>
      </c>
      <c r="Q207" s="27" t="s">
        <v>8</v>
      </c>
      <c r="R207" s="27" t="s">
        <v>7</v>
      </c>
      <c r="BB207" s="27" t="s">
        <v>7</v>
      </c>
      <c r="BC207" s="27" t="s">
        <v>8</v>
      </c>
      <c r="BD207" s="27" t="s">
        <v>7</v>
      </c>
      <c r="BE207" s="27" t="s">
        <v>8</v>
      </c>
      <c r="BF207" s="27" t="s">
        <v>7</v>
      </c>
      <c r="BG207" s="27" t="s">
        <v>8</v>
      </c>
      <c r="BH207" s="27" t="s">
        <v>7</v>
      </c>
      <c r="BI207" s="27" t="s">
        <v>8</v>
      </c>
      <c r="BX207" s="27" t="s">
        <v>7</v>
      </c>
      <c r="CP207" s="27" t="s">
        <v>7</v>
      </c>
      <c r="CQ207" s="27" t="s">
        <v>8</v>
      </c>
      <c r="CR207" s="27" t="s">
        <v>7</v>
      </c>
      <c r="CS207" s="27" t="s">
        <v>8</v>
      </c>
      <c r="CU207" s="27" t="s">
        <v>8</v>
      </c>
      <c r="CV207" s="27" t="s">
        <v>7</v>
      </c>
    </row>
    <row r="208" spans="1:100" x14ac:dyDescent="0.25">
      <c r="A208" s="30">
        <v>4.7649414686036122</v>
      </c>
      <c r="E208"/>
      <c r="G208" s="27" t="s">
        <v>8</v>
      </c>
      <c r="H208" s="27" t="s">
        <v>7</v>
      </c>
      <c r="I208" s="27" t="s">
        <v>8</v>
      </c>
      <c r="N208" s="27" t="s">
        <v>7</v>
      </c>
      <c r="P208" s="27" t="s">
        <v>7</v>
      </c>
      <c r="BB208" s="27" t="s">
        <v>7</v>
      </c>
      <c r="BC208" s="27" t="s">
        <v>8</v>
      </c>
      <c r="BD208" s="27" t="s">
        <v>7</v>
      </c>
      <c r="BE208" s="27" t="s">
        <v>8</v>
      </c>
      <c r="BF208" s="27" t="s">
        <v>7</v>
      </c>
      <c r="BH208" s="27" t="s">
        <v>7</v>
      </c>
      <c r="BI208" s="27" t="s">
        <v>8</v>
      </c>
      <c r="CP208" s="27" t="s">
        <v>7</v>
      </c>
      <c r="CR208" s="27" t="s">
        <v>7</v>
      </c>
      <c r="CS208" s="27" t="s">
        <v>8</v>
      </c>
      <c r="CT208" s="27" t="s">
        <v>7</v>
      </c>
      <c r="CU208" s="27" t="s">
        <v>8</v>
      </c>
      <c r="CV208" s="27" t="s">
        <v>7</v>
      </c>
    </row>
    <row r="209" spans="1:101" x14ac:dyDescent="0.25">
      <c r="A209" s="30">
        <v>4.5380394939082018</v>
      </c>
      <c r="E209" t="s">
        <v>8</v>
      </c>
      <c r="G209" s="27" t="s">
        <v>8</v>
      </c>
      <c r="H209" s="27" t="s">
        <v>7</v>
      </c>
      <c r="BB209" s="27" t="s">
        <v>7</v>
      </c>
      <c r="BC209" s="27" t="s">
        <v>8</v>
      </c>
      <c r="BD209" s="27" t="s">
        <v>7</v>
      </c>
      <c r="BH209" s="27" t="s">
        <v>7</v>
      </c>
      <c r="BI209" s="27" t="s">
        <v>8</v>
      </c>
      <c r="CR209" s="27" t="s">
        <v>7</v>
      </c>
      <c r="CS209" s="27" t="s">
        <v>8</v>
      </c>
      <c r="CT209" s="27" t="s">
        <v>7</v>
      </c>
      <c r="CU209" s="27" t="s">
        <v>8</v>
      </c>
      <c r="CV209" s="27" t="s">
        <v>7</v>
      </c>
    </row>
    <row r="210" spans="1:101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BB210" s="27" t="s">
        <v>7</v>
      </c>
      <c r="BH210" s="18" t="s">
        <v>7</v>
      </c>
      <c r="BI210" s="27" t="s">
        <v>8</v>
      </c>
      <c r="CR210" s="27" t="s">
        <v>7</v>
      </c>
      <c r="CS210" s="27" t="s">
        <v>8</v>
      </c>
      <c r="CT210" s="27" t="s">
        <v>7</v>
      </c>
      <c r="CV210" s="27" t="s">
        <v>7</v>
      </c>
    </row>
    <row r="211" spans="1:101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BH211" s="27" t="s">
        <v>7</v>
      </c>
      <c r="CR211" s="27" t="s">
        <v>7</v>
      </c>
      <c r="CV211" s="27" t="s">
        <v>7</v>
      </c>
    </row>
    <row r="212" spans="1:101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CV212" s="27" t="s">
        <v>7</v>
      </c>
    </row>
    <row r="213" spans="1:101" x14ac:dyDescent="0.25">
      <c r="A213" s="30">
        <v>3.7334563223415764</v>
      </c>
      <c r="E213" t="s">
        <v>8</v>
      </c>
      <c r="F213" s="27" t="s">
        <v>7</v>
      </c>
      <c r="CV213" s="27" t="s">
        <v>7</v>
      </c>
      <c r="CW213" s="27" t="s">
        <v>8</v>
      </c>
    </row>
    <row r="214" spans="1:101" x14ac:dyDescent="0.25">
      <c r="A214" s="30">
        <v>3.5556726879443583</v>
      </c>
      <c r="E214" t="s">
        <v>8</v>
      </c>
      <c r="CV214" s="27" t="s">
        <v>7</v>
      </c>
      <c r="CW214" s="27" t="s">
        <v>8</v>
      </c>
    </row>
    <row r="215" spans="1:101" x14ac:dyDescent="0.25">
      <c r="A215" s="30">
        <v>3.3863549408993889</v>
      </c>
      <c r="E215" t="s">
        <v>8</v>
      </c>
      <c r="CV215" s="27" t="s">
        <v>7</v>
      </c>
      <c r="CW215" s="27" t="s">
        <v>8</v>
      </c>
    </row>
    <row r="216" spans="1:101" x14ac:dyDescent="0.25">
      <c r="A216" s="30">
        <v>3.2250999437137038</v>
      </c>
      <c r="E216" t="s">
        <v>8</v>
      </c>
      <c r="CV216" s="27" t="s">
        <v>7</v>
      </c>
      <c r="CW216" s="27" t="s">
        <v>8</v>
      </c>
    </row>
    <row r="217" spans="1:101" x14ac:dyDescent="0.25">
      <c r="A217" s="30">
        <v>3.0715237559178128</v>
      </c>
      <c r="E217" t="s">
        <v>8</v>
      </c>
      <c r="CV217" s="27" t="s">
        <v>7</v>
      </c>
    </row>
    <row r="218" spans="1:101" x14ac:dyDescent="0.25">
      <c r="A218" s="30">
        <v>2.9252607199217264</v>
      </c>
      <c r="E218" t="s">
        <v>8</v>
      </c>
    </row>
    <row r="219" spans="1:101" x14ac:dyDescent="0.25">
      <c r="A219" s="30">
        <v>2.7859625904016441</v>
      </c>
      <c r="E219" t="s">
        <v>8</v>
      </c>
    </row>
    <row r="220" spans="1:101" x14ac:dyDescent="0.25">
      <c r="A220" s="30">
        <v>2.6532977051444226</v>
      </c>
      <c r="E220" t="s">
        <v>8</v>
      </c>
    </row>
    <row r="221" spans="1:101" x14ac:dyDescent="0.25">
      <c r="A221" s="30">
        <v>2.5269501953756404</v>
      </c>
      <c r="E221" t="s">
        <v>8</v>
      </c>
    </row>
    <row r="222" spans="1:101" x14ac:dyDescent="0.25">
      <c r="A222" s="30">
        <v>2.4066192336910861</v>
      </c>
      <c r="E222" t="s">
        <v>8</v>
      </c>
    </row>
    <row r="223" spans="1:101" x14ac:dyDescent="0.25">
      <c r="A223" s="30">
        <v>2.2920183178010345</v>
      </c>
      <c r="E223" t="s">
        <v>8</v>
      </c>
    </row>
    <row r="224" spans="1:101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260" priority="784" operator="equal">
      <formula>$U$1</formula>
    </cfRule>
    <cfRule type="cellIs" dxfId="259" priority="785" operator="equal">
      <formula>$S$1</formula>
    </cfRule>
  </conditionalFormatting>
  <conditionalFormatting sqref="D136">
    <cfRule type="cellIs" dxfId="258" priority="782" operator="equal">
      <formula>$S$1</formula>
    </cfRule>
    <cfRule type="cellIs" dxfId="257" priority="783" operator="equal">
      <formula>$U$1</formula>
    </cfRule>
  </conditionalFormatting>
  <conditionalFormatting sqref="C162">
    <cfRule type="cellIs" dxfId="256" priority="780" operator="equal">
      <formula>$U$1</formula>
    </cfRule>
    <cfRule type="cellIs" dxfId="255" priority="781" operator="equal">
      <formula>$S$1</formula>
    </cfRule>
  </conditionalFormatting>
  <conditionalFormatting sqref="D162">
    <cfRule type="cellIs" dxfId="254" priority="778" operator="equal">
      <formula>$S$1</formula>
    </cfRule>
    <cfRule type="cellIs" dxfId="253" priority="779" operator="equal">
      <formula>$U$1</formula>
    </cfRule>
  </conditionalFormatting>
  <conditionalFormatting sqref="C187">
    <cfRule type="cellIs" dxfId="252" priority="776" operator="equal">
      <formula>$U$1</formula>
    </cfRule>
    <cfRule type="cellIs" dxfId="251" priority="777" operator="equal">
      <formula>$S$1</formula>
    </cfRule>
  </conditionalFormatting>
  <conditionalFormatting sqref="D187">
    <cfRule type="cellIs" dxfId="250" priority="774" operator="equal">
      <formula>$S$1</formula>
    </cfRule>
    <cfRule type="cellIs" dxfId="249" priority="775" operator="equal">
      <formula>$U$1</formula>
    </cfRule>
  </conditionalFormatting>
  <conditionalFormatting sqref="C212">
    <cfRule type="cellIs" dxfId="248" priority="772" operator="equal">
      <formula>$U$1</formula>
    </cfRule>
    <cfRule type="cellIs" dxfId="247" priority="773" operator="equal">
      <formula>$S$1</formula>
    </cfRule>
  </conditionalFormatting>
  <conditionalFormatting sqref="D212">
    <cfRule type="cellIs" dxfId="246" priority="770" operator="equal">
      <formula>$S$1</formula>
    </cfRule>
    <cfRule type="cellIs" dxfId="245" priority="771" operator="equal">
      <formula>$U$1</formula>
    </cfRule>
  </conditionalFormatting>
  <conditionalFormatting sqref="C237">
    <cfRule type="cellIs" dxfId="244" priority="768" operator="equal">
      <formula>$U$1</formula>
    </cfRule>
    <cfRule type="cellIs" dxfId="243" priority="769" operator="equal">
      <formula>$S$1</formula>
    </cfRule>
  </conditionalFormatting>
  <conditionalFormatting sqref="D237">
    <cfRule type="cellIs" dxfId="242" priority="766" operator="equal">
      <formula>$S$1</formula>
    </cfRule>
    <cfRule type="cellIs" dxfId="241" priority="767" operator="equal">
      <formula>$U$1</formula>
    </cfRule>
  </conditionalFormatting>
  <conditionalFormatting sqref="C106">
    <cfRule type="cellIs" dxfId="240" priority="764" operator="equal">
      <formula>$U$1</formula>
    </cfRule>
    <cfRule type="cellIs" dxfId="239" priority="765" operator="equal">
      <formula>$S$1</formula>
    </cfRule>
  </conditionalFormatting>
  <conditionalFormatting sqref="D106">
    <cfRule type="cellIs" dxfId="238" priority="762" operator="equal">
      <formula>$S$1</formula>
    </cfRule>
    <cfRule type="cellIs" dxfId="237" priority="763" operator="equal">
      <formula>$U$1</formula>
    </cfRule>
  </conditionalFormatting>
  <conditionalFormatting sqref="C81">
    <cfRule type="cellIs" dxfId="236" priority="760" operator="equal">
      <formula>$U$1</formula>
    </cfRule>
    <cfRule type="cellIs" dxfId="235" priority="761" operator="equal">
      <formula>$S$1</formula>
    </cfRule>
  </conditionalFormatting>
  <conditionalFormatting sqref="D81">
    <cfRule type="cellIs" dxfId="234" priority="758" operator="equal">
      <formula>$S$1</formula>
    </cfRule>
    <cfRule type="cellIs" dxfId="233" priority="759" operator="equal">
      <formula>$U$1</formula>
    </cfRule>
  </conditionalFormatting>
  <conditionalFormatting sqref="C56">
    <cfRule type="cellIs" dxfId="232" priority="756" operator="equal">
      <formula>$U$1</formula>
    </cfRule>
    <cfRule type="cellIs" dxfId="231" priority="757" operator="equal">
      <formula>$S$1</formula>
    </cfRule>
  </conditionalFormatting>
  <conditionalFormatting sqref="D56">
    <cfRule type="cellIs" dxfId="230" priority="754" operator="equal">
      <formula>$S$1</formula>
    </cfRule>
    <cfRule type="cellIs" dxfId="229" priority="755" operator="equal">
      <formula>$U$1</formula>
    </cfRule>
  </conditionalFormatting>
  <conditionalFormatting sqref="C31">
    <cfRule type="cellIs" dxfId="228" priority="752" operator="equal">
      <formula>$U$1</formula>
    </cfRule>
    <cfRule type="cellIs" dxfId="227" priority="753" operator="equal">
      <formula>$S$1</formula>
    </cfRule>
  </conditionalFormatting>
  <conditionalFormatting sqref="D31">
    <cfRule type="cellIs" dxfId="226" priority="750" operator="equal">
      <formula>$S$1</formula>
    </cfRule>
    <cfRule type="cellIs" dxfId="225" priority="75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D109" sqref="AD10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25" x14ac:dyDescent="0.25">
      <c r="A81" s="30">
        <v>45.259255568176073</v>
      </c>
      <c r="E81"/>
    </row>
    <row r="82" spans="1:25" x14ac:dyDescent="0.25">
      <c r="A82" s="30">
        <v>41.144777789250973</v>
      </c>
      <c r="E82"/>
    </row>
    <row r="83" spans="1:25" x14ac:dyDescent="0.25">
      <c r="A83" s="30">
        <v>37.404343444773609</v>
      </c>
      <c r="E83"/>
    </row>
    <row r="84" spans="1:25" x14ac:dyDescent="0.25">
      <c r="A84" s="30">
        <v>34.003948586157826</v>
      </c>
      <c r="E84"/>
    </row>
    <row r="85" spans="1:25" x14ac:dyDescent="0.25">
      <c r="A85" s="30">
        <v>30.912680532870748</v>
      </c>
      <c r="E85"/>
    </row>
    <row r="86" spans="1:25" x14ac:dyDescent="0.25">
      <c r="A86" s="30">
        <v>28.102436848064315</v>
      </c>
      <c r="E86"/>
    </row>
    <row r="87" spans="1:25" x14ac:dyDescent="0.25">
      <c r="A87" s="30">
        <v>25.547669861876649</v>
      </c>
      <c r="E87"/>
    </row>
    <row r="88" spans="1:25" x14ac:dyDescent="0.25">
      <c r="A88" s="30">
        <v>23.225154419887861</v>
      </c>
      <c r="E88"/>
      <c r="M88" s="27" t="s">
        <v>8</v>
      </c>
    </row>
    <row r="89" spans="1:25" x14ac:dyDescent="0.25">
      <c r="A89" s="30">
        <v>21.113776745352599</v>
      </c>
      <c r="E89"/>
      <c r="M89" s="27" t="s">
        <v>8</v>
      </c>
      <c r="N89" s="27" t="s">
        <v>7</v>
      </c>
      <c r="O89" s="27" t="s">
        <v>8</v>
      </c>
    </row>
    <row r="90" spans="1:25" x14ac:dyDescent="0.25">
      <c r="A90" s="30">
        <v>19.194342495775089</v>
      </c>
      <c r="E90"/>
      <c r="M90" s="27" t="s">
        <v>8</v>
      </c>
      <c r="N90" s="27" t="s">
        <v>7</v>
      </c>
      <c r="O90" s="27" t="s">
        <v>8</v>
      </c>
      <c r="P90" s="27" t="s">
        <v>7</v>
      </c>
    </row>
    <row r="91" spans="1:25" x14ac:dyDescent="0.25">
      <c r="A91" s="30">
        <v>17.449402268886445</v>
      </c>
      <c r="E91"/>
      <c r="M91" s="27" t="s">
        <v>8</v>
      </c>
      <c r="N91" s="27" t="s">
        <v>7</v>
      </c>
      <c r="O91" s="27" t="s">
        <v>8</v>
      </c>
      <c r="P91" s="27" t="s">
        <v>7</v>
      </c>
    </row>
    <row r="92" spans="1:25" x14ac:dyDescent="0.25">
      <c r="A92" s="30">
        <v>15.863092971714948</v>
      </c>
      <c r="C92" s="1" t="s">
        <v>15</v>
      </c>
      <c r="E92"/>
      <c r="K92" s="27" t="s">
        <v>8</v>
      </c>
      <c r="M92" s="27" t="s">
        <v>8</v>
      </c>
      <c r="N92" s="27" t="s">
        <v>7</v>
      </c>
      <c r="P92" s="27" t="s">
        <v>7</v>
      </c>
    </row>
    <row r="93" spans="1:25" x14ac:dyDescent="0.25">
      <c r="A93" s="30">
        <v>14.420993610649951</v>
      </c>
      <c r="C93" s="7">
        <v>0.11167815779424731</v>
      </c>
      <c r="D93"/>
      <c r="E93"/>
      <c r="K93" s="27" t="s">
        <v>8</v>
      </c>
      <c r="L93" s="27" t="s">
        <v>7</v>
      </c>
      <c r="M93" s="27" t="s">
        <v>8</v>
      </c>
      <c r="P93" s="27" t="s">
        <v>7</v>
      </c>
    </row>
    <row r="94" spans="1:25" x14ac:dyDescent="0.25">
      <c r="A94" s="30">
        <v>13.109994191499954</v>
      </c>
      <c r="E94"/>
      <c r="I94" s="27" t="s">
        <v>8</v>
      </c>
      <c r="K94" s="27" t="s">
        <v>8</v>
      </c>
      <c r="L94" s="27" t="s">
        <v>7</v>
      </c>
      <c r="M94" s="27" t="s">
        <v>8</v>
      </c>
      <c r="P94" s="27" t="s">
        <v>7</v>
      </c>
    </row>
    <row r="95" spans="1:25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J95" s="27" t="s">
        <v>7</v>
      </c>
      <c r="K95" s="27" t="s">
        <v>8</v>
      </c>
      <c r="L95" s="27" t="s">
        <v>7</v>
      </c>
      <c r="M95" s="27" t="s">
        <v>8</v>
      </c>
      <c r="P95" s="27" t="s">
        <v>7</v>
      </c>
      <c r="W95" s="27" t="s">
        <v>8</v>
      </c>
    </row>
    <row r="96" spans="1:25" x14ac:dyDescent="0.25">
      <c r="A96" s="30">
        <v>10.834705943388391</v>
      </c>
      <c r="C96"/>
      <c r="D96"/>
      <c r="E96"/>
      <c r="I96" s="27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P96" s="27" t="s">
        <v>7</v>
      </c>
      <c r="S96" s="27" t="s">
        <v>8</v>
      </c>
      <c r="W96" s="27" t="s">
        <v>8</v>
      </c>
      <c r="X96" s="27" t="s">
        <v>7</v>
      </c>
      <c r="Y96" s="27" t="s">
        <v>8</v>
      </c>
    </row>
    <row r="97" spans="1:30" x14ac:dyDescent="0.25">
      <c r="A97" s="30">
        <v>9.849732675807628</v>
      </c>
      <c r="E97"/>
      <c r="I97" s="27" t="s">
        <v>8</v>
      </c>
      <c r="J97" s="27" t="s">
        <v>7</v>
      </c>
      <c r="L97" s="27" t="s">
        <v>7</v>
      </c>
      <c r="M97" s="27" t="s">
        <v>8</v>
      </c>
      <c r="P97" s="27" t="s">
        <v>7</v>
      </c>
      <c r="Q97" s="27" t="s">
        <v>8</v>
      </c>
      <c r="S97" s="27" t="s">
        <v>8</v>
      </c>
      <c r="T97" s="27" t="s">
        <v>7</v>
      </c>
      <c r="W97" s="27" t="s">
        <v>8</v>
      </c>
      <c r="X97" s="27" t="s">
        <v>7</v>
      </c>
      <c r="Y97" s="27" t="s">
        <v>8</v>
      </c>
      <c r="Z97" s="27" t="s">
        <v>7</v>
      </c>
    </row>
    <row r="98" spans="1:30" x14ac:dyDescent="0.25">
      <c r="A98" s="30">
        <v>8.9543024325523888</v>
      </c>
      <c r="C98" s="1" t="s">
        <v>13</v>
      </c>
      <c r="E98"/>
      <c r="G98" s="27" t="s">
        <v>8</v>
      </c>
      <c r="I98" s="27" t="s">
        <v>8</v>
      </c>
      <c r="L98" s="27" t="s">
        <v>7</v>
      </c>
      <c r="P98" s="27" t="s">
        <v>7</v>
      </c>
      <c r="Q98" s="27" t="s">
        <v>8</v>
      </c>
      <c r="R98" s="27" t="s">
        <v>7</v>
      </c>
      <c r="S98" s="27" t="s">
        <v>8</v>
      </c>
      <c r="T98" s="27" t="s">
        <v>7</v>
      </c>
      <c r="U98" s="27" t="s">
        <v>8</v>
      </c>
      <c r="W98" s="27" t="s">
        <v>8</v>
      </c>
      <c r="X98" s="27" t="s">
        <v>7</v>
      </c>
      <c r="Y98" s="27" t="s">
        <v>8</v>
      </c>
      <c r="Z98" s="27" t="s">
        <v>7</v>
      </c>
      <c r="AA98" s="27" t="s">
        <v>8</v>
      </c>
    </row>
    <row r="99" spans="1:30" x14ac:dyDescent="0.25">
      <c r="A99" s="30">
        <v>8.140274938683989</v>
      </c>
      <c r="C99" s="1">
        <f>C88</f>
        <v>0</v>
      </c>
      <c r="E99" t="s">
        <v>8</v>
      </c>
      <c r="G99" s="27" t="s">
        <v>8</v>
      </c>
      <c r="H99" s="27" t="s">
        <v>7</v>
      </c>
      <c r="I99" s="27" t="s">
        <v>8</v>
      </c>
      <c r="P99" s="27" t="s">
        <v>7</v>
      </c>
      <c r="Q99" s="27" t="s">
        <v>8</v>
      </c>
      <c r="R99" s="27" t="s">
        <v>7</v>
      </c>
      <c r="S99" s="27" t="s">
        <v>8</v>
      </c>
      <c r="T99" s="27" t="s">
        <v>7</v>
      </c>
      <c r="U99" s="27" t="s">
        <v>8</v>
      </c>
      <c r="V99" s="27" t="s">
        <v>7</v>
      </c>
      <c r="W99" s="27" t="s">
        <v>8</v>
      </c>
      <c r="X99" s="27" t="s">
        <v>7</v>
      </c>
      <c r="Z99" s="27" t="s">
        <v>7</v>
      </c>
      <c r="AA99" s="27" t="s">
        <v>8</v>
      </c>
      <c r="AB99" s="27" t="s">
        <v>7</v>
      </c>
    </row>
    <row r="100" spans="1:30" x14ac:dyDescent="0.25">
      <c r="A100" s="30">
        <v>7.4002499442581717</v>
      </c>
      <c r="C100"/>
      <c r="D100"/>
      <c r="E100" t="s">
        <v>8</v>
      </c>
      <c r="F100" s="27" t="s">
        <v>7</v>
      </c>
      <c r="G100" s="27" t="s">
        <v>8</v>
      </c>
      <c r="H100" s="27" t="s">
        <v>7</v>
      </c>
      <c r="I100" s="27" t="s">
        <v>8</v>
      </c>
      <c r="P100" s="27" t="s">
        <v>7</v>
      </c>
      <c r="Q100" s="27" t="s">
        <v>8</v>
      </c>
      <c r="R100" s="27" t="s">
        <v>7</v>
      </c>
      <c r="S100" s="27" t="s">
        <v>8</v>
      </c>
      <c r="T100" s="27" t="s">
        <v>7</v>
      </c>
      <c r="U100" s="27" t="s">
        <v>8</v>
      </c>
      <c r="V100" s="27" t="s">
        <v>7</v>
      </c>
      <c r="W100" s="27" t="s">
        <v>8</v>
      </c>
      <c r="Z100" s="27" t="s">
        <v>7</v>
      </c>
      <c r="AA100" s="27" t="s">
        <v>8</v>
      </c>
      <c r="AB100" s="27" t="s">
        <v>7</v>
      </c>
    </row>
    <row r="101" spans="1:30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H101" s="27" t="s">
        <v>7</v>
      </c>
      <c r="P101" s="27" t="s">
        <v>7</v>
      </c>
      <c r="Q101" s="27" t="s">
        <v>8</v>
      </c>
      <c r="R101" s="27" t="s">
        <v>7</v>
      </c>
      <c r="S101" s="27" t="s">
        <v>8</v>
      </c>
      <c r="T101" s="27" t="s">
        <v>7</v>
      </c>
      <c r="U101" s="27" t="s">
        <v>8</v>
      </c>
      <c r="V101" s="27" t="s">
        <v>7</v>
      </c>
      <c r="W101" s="27" t="s">
        <v>8</v>
      </c>
      <c r="Z101" s="27" t="s">
        <v>7</v>
      </c>
      <c r="AB101" s="27" t="s">
        <v>7</v>
      </c>
      <c r="AC101" s="27" t="s">
        <v>8</v>
      </c>
    </row>
    <row r="102" spans="1:3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P102" s="27" t="s">
        <v>7</v>
      </c>
      <c r="R102" s="27" t="s">
        <v>7</v>
      </c>
      <c r="S102" s="27" t="s">
        <v>8</v>
      </c>
      <c r="T102" s="27" t="s">
        <v>7</v>
      </c>
      <c r="U102" s="27" t="s">
        <v>8</v>
      </c>
      <c r="V102" s="27" t="s">
        <v>7</v>
      </c>
      <c r="W102" s="27" t="s">
        <v>8</v>
      </c>
      <c r="AB102" s="27" t="s">
        <v>7</v>
      </c>
      <c r="AC102" s="27" t="s">
        <v>8</v>
      </c>
      <c r="AD102" s="27" t="s">
        <v>7</v>
      </c>
    </row>
    <row r="103" spans="1:30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R103" s="27" t="s">
        <v>7</v>
      </c>
      <c r="S103" s="27" t="s">
        <v>8</v>
      </c>
      <c r="T103" s="27" t="s">
        <v>7</v>
      </c>
      <c r="U103" s="27" t="s">
        <v>8</v>
      </c>
      <c r="V103" s="27" t="s">
        <v>7</v>
      </c>
      <c r="W103" s="27" t="s">
        <v>8</v>
      </c>
      <c r="AB103" s="27" t="s">
        <v>7</v>
      </c>
      <c r="AC103" s="27" t="s">
        <v>8</v>
      </c>
      <c r="AD103" s="27" t="s">
        <v>7</v>
      </c>
    </row>
    <row r="104" spans="1:30" x14ac:dyDescent="0.25">
      <c r="A104" s="30">
        <v>5.0544702849929442</v>
      </c>
      <c r="E104" t="s">
        <v>8</v>
      </c>
      <c r="F104" s="27" t="s">
        <v>7</v>
      </c>
      <c r="R104" s="27" t="s">
        <v>7</v>
      </c>
      <c r="T104" s="27" t="s">
        <v>7</v>
      </c>
      <c r="U104" s="27" t="s">
        <v>8</v>
      </c>
      <c r="V104" s="27" t="s">
        <v>7</v>
      </c>
      <c r="AB104" s="27" t="s">
        <v>7</v>
      </c>
      <c r="AD104" s="27" t="s">
        <v>7</v>
      </c>
    </row>
    <row r="105" spans="1:30" x14ac:dyDescent="0.25">
      <c r="A105" s="30">
        <v>4.594972986357222</v>
      </c>
      <c r="E105" t="s">
        <v>8</v>
      </c>
      <c r="T105" s="18" t="s">
        <v>7</v>
      </c>
      <c r="U105" s="27" t="s">
        <v>8</v>
      </c>
      <c r="AD105" s="27" t="s">
        <v>7</v>
      </c>
    </row>
    <row r="106" spans="1:30" x14ac:dyDescent="0.25">
      <c r="A106" s="30">
        <v>4.1772481694156562</v>
      </c>
      <c r="E106" t="s">
        <v>8</v>
      </c>
      <c r="T106" s="27" t="s">
        <v>7</v>
      </c>
      <c r="AD106" s="27" t="s">
        <v>7</v>
      </c>
    </row>
    <row r="107" spans="1:30" x14ac:dyDescent="0.25">
      <c r="A107" s="30">
        <v>3.7974983358324148</v>
      </c>
      <c r="E107" t="s">
        <v>8</v>
      </c>
      <c r="AD107" s="27" t="s">
        <v>7</v>
      </c>
    </row>
    <row r="108" spans="1:30" x14ac:dyDescent="0.25">
      <c r="A108" s="30">
        <v>3.4522712143931042</v>
      </c>
      <c r="E108" t="s">
        <v>8</v>
      </c>
      <c r="AD108" s="27" t="s">
        <v>7</v>
      </c>
    </row>
    <row r="109" spans="1:30" x14ac:dyDescent="0.25">
      <c r="A109" s="30">
        <v>3.1384283767210035</v>
      </c>
      <c r="E109" t="s">
        <v>8</v>
      </c>
      <c r="AD109" s="27" t="s">
        <v>7</v>
      </c>
    </row>
    <row r="110" spans="1:30" x14ac:dyDescent="0.25">
      <c r="A110" s="30">
        <v>2.8531167061100029</v>
      </c>
      <c r="E110" t="s">
        <v>8</v>
      </c>
    </row>
    <row r="111" spans="1:30" x14ac:dyDescent="0.25">
      <c r="A111" s="30">
        <v>2.5937424601000023</v>
      </c>
      <c r="C111" s="1" t="str">
        <f>ADDRESS(C121-1,1,1,1)</f>
        <v>$A$108</v>
      </c>
      <c r="D111" s="1" t="str">
        <f>ADDRESS(C121-1,D121,1,1)</f>
        <v>$AD$108</v>
      </c>
      <c r="E111" t="s">
        <v>8</v>
      </c>
    </row>
    <row r="112" spans="1:30" x14ac:dyDescent="0.25">
      <c r="A112" s="30">
        <v>2.3579476910000019</v>
      </c>
      <c r="C112" s="1" t="str">
        <f>ADDRESS(C121,1,1,1)</f>
        <v>$A$109</v>
      </c>
      <c r="D112" s="1" t="str">
        <f>ADDRESS(C121,D121-1,1,1)</f>
        <v>$AC$109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$A$110</v>
      </c>
      <c r="D113" s="1" t="str">
        <f>ADDRESS(C121-1,D121+1,1,1)</f>
        <v>$AE$108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$AD$109</v>
      </c>
      <c r="D114" s="1" t="str">
        <f>ADDRESS(C121+1,D121+1,1,1)</f>
        <v>$AE$110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$AD$110</v>
      </c>
      <c r="E115" s="1" t="s">
        <v>8</v>
      </c>
    </row>
    <row r="116" spans="1:5" x14ac:dyDescent="0.25">
      <c r="A116" s="30">
        <v>1.6105100000000008</v>
      </c>
      <c r="C116" s="1">
        <f>C117-1</f>
        <v>108</v>
      </c>
      <c r="E116" s="1" t="s">
        <v>8</v>
      </c>
    </row>
    <row r="117" spans="1:5" x14ac:dyDescent="0.25">
      <c r="A117" s="30">
        <v>1.4641000000000006</v>
      </c>
      <c r="C117" s="1">
        <f>C121</f>
        <v>109</v>
      </c>
      <c r="D117" s="1">
        <f>D121</f>
        <v>30</v>
      </c>
      <c r="E117" s="1" t="s">
        <v>8</v>
      </c>
    </row>
    <row r="118" spans="1:5" x14ac:dyDescent="0.25">
      <c r="A118" s="30">
        <v>1.3310000000000004</v>
      </c>
      <c r="C118" s="1">
        <f>C117+1</f>
        <v>110</v>
      </c>
      <c r="D118" s="1">
        <f>D117+1</f>
        <v>31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109</v>
      </c>
      <c r="D121" s="19">
        <v>30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R109</v>
      </c>
      <c r="D123" s="1" t="str">
        <f>"C"&amp;D121</f>
        <v>C30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3.1384283767210035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223" priority="768" operator="equal">
      <formula>$U$1</formula>
    </cfRule>
    <cfRule type="cellIs" dxfId="222" priority="769" operator="equal">
      <formula>$S$1</formula>
    </cfRule>
  </conditionalFormatting>
  <conditionalFormatting sqref="D136">
    <cfRule type="cellIs" dxfId="221" priority="766" operator="equal">
      <formula>$S$1</formula>
    </cfRule>
    <cfRule type="cellIs" dxfId="220" priority="767" operator="equal">
      <formula>$U$1</formula>
    </cfRule>
  </conditionalFormatting>
  <conditionalFormatting sqref="C102">
    <cfRule type="cellIs" dxfId="219" priority="764" operator="equal">
      <formula>$U$1</formula>
    </cfRule>
    <cfRule type="cellIs" dxfId="218" priority="765" operator="equal">
      <formula>$S$1</formula>
    </cfRule>
  </conditionalFormatting>
  <conditionalFormatting sqref="D102">
    <cfRule type="cellIs" dxfId="217" priority="762" operator="equal">
      <formula>$S$1</formula>
    </cfRule>
    <cfRule type="cellIs" dxfId="216" priority="763" operator="equal">
      <formula>$U$1</formula>
    </cfRule>
  </conditionalFormatting>
  <conditionalFormatting sqref="C77">
    <cfRule type="cellIs" dxfId="215" priority="760" operator="equal">
      <formula>$U$1</formula>
    </cfRule>
    <cfRule type="cellIs" dxfId="214" priority="761" operator="equal">
      <formula>$S$1</formula>
    </cfRule>
  </conditionalFormatting>
  <conditionalFormatting sqref="D77">
    <cfRule type="cellIs" dxfId="213" priority="758" operator="equal">
      <formula>$S$1</formula>
    </cfRule>
    <cfRule type="cellIs" dxfId="212" priority="759" operator="equal">
      <formula>$U$1</formula>
    </cfRule>
  </conditionalFormatting>
  <conditionalFormatting sqref="C52">
    <cfRule type="cellIs" dxfId="211" priority="756" operator="equal">
      <formula>$U$1</formula>
    </cfRule>
    <cfRule type="cellIs" dxfId="210" priority="757" operator="equal">
      <formula>$S$1</formula>
    </cfRule>
  </conditionalFormatting>
  <conditionalFormatting sqref="D52">
    <cfRule type="cellIs" dxfId="209" priority="754" operator="equal">
      <formula>$S$1</formula>
    </cfRule>
    <cfRule type="cellIs" dxfId="208" priority="755" operator="equal">
      <formula>$U$1</formula>
    </cfRule>
  </conditionalFormatting>
  <conditionalFormatting sqref="C26">
    <cfRule type="cellIs" dxfId="207" priority="752" operator="equal">
      <formula>$U$1</formula>
    </cfRule>
    <cfRule type="cellIs" dxfId="206" priority="753" operator="equal">
      <formula>$S$1</formula>
    </cfRule>
  </conditionalFormatting>
  <conditionalFormatting sqref="D26">
    <cfRule type="cellIs" dxfId="205" priority="750" operator="equal">
      <formula>$S$1</formula>
    </cfRule>
    <cfRule type="cellIs" dxfId="204" priority="75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202" priority="1" operator="lessThan">
      <formula>$A$2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25.3</v>
      </c>
      <c r="D2" s="4">
        <f>MIN(D3:D1912)</f>
        <v>3.06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3.4340000000000002</v>
      </c>
      <c r="C5">
        <v>3.4569999999999999</v>
      </c>
      <c r="D5">
        <v>3.3490000000000002</v>
      </c>
      <c r="E5">
        <v>3.3660000000000001</v>
      </c>
      <c r="F5">
        <v>10354.1</v>
      </c>
      <c r="G5">
        <v>3.3660000000000001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-0.6851851851851859</v>
      </c>
      <c r="Q5">
        <f t="shared" ref="Q5" si="1">F5*P5</f>
        <v>-7094.4759259259336</v>
      </c>
      <c r="R5">
        <f t="shared" ref="R5" si="2">R6+Q5</f>
        <v>-20126784.458280034</v>
      </c>
      <c r="S5">
        <f t="shared" ref="S5" si="3">R5/100000</f>
        <v>-201.26784458280034</v>
      </c>
      <c r="T5">
        <f t="shared" ref="T5" si="4">S5/1000</f>
        <v>-0.20126784458280034</v>
      </c>
    </row>
    <row r="6" spans="1:20" x14ac:dyDescent="0.25">
      <c r="A6" s="5">
        <v>44587</v>
      </c>
      <c r="B6">
        <v>3.5619999999999998</v>
      </c>
      <c r="C6">
        <v>3.8919999999999999</v>
      </c>
      <c r="D6">
        <v>3.375</v>
      </c>
      <c r="E6">
        <v>3.4340000000000002</v>
      </c>
      <c r="F6">
        <v>261155.1</v>
      </c>
      <c r="G6">
        <v>3.4340000000000002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-0.77176015473887749</v>
      </c>
      <c r="Q6">
        <f t="shared" ref="Q6" si="6">F6*P6</f>
        <v>-201549.10038684704</v>
      </c>
      <c r="R6">
        <f t="shared" ref="R6" si="7">R7+Q6</f>
        <v>-20119689.982354108</v>
      </c>
      <c r="S6">
        <f t="shared" ref="S6" si="8">R6/100000</f>
        <v>-201.19689982354109</v>
      </c>
      <c r="T6">
        <f t="shared" ref="T6" si="9">S6/1000</f>
        <v>-0.20119689982354108</v>
      </c>
    </row>
    <row r="7" spans="1:20" x14ac:dyDescent="0.25">
      <c r="A7" s="5">
        <v>44586</v>
      </c>
      <c r="B7">
        <v>3.4390000000000001</v>
      </c>
      <c r="C7">
        <v>3.5910000000000002</v>
      </c>
      <c r="D7">
        <v>3.38</v>
      </c>
      <c r="E7">
        <v>3.5670000000000002</v>
      </c>
      <c r="F7">
        <v>215216.9</v>
      </c>
      <c r="G7">
        <v>3.5670000000000002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0.77251184834123232</v>
      </c>
      <c r="Q7">
        <f t="shared" ref="Q7" si="11">F7*P7</f>
        <v>166257.60521327014</v>
      </c>
      <c r="R7">
        <f t="shared" ref="R7" si="12">R8+Q7</f>
        <v>-19918140.881967261</v>
      </c>
      <c r="S7">
        <f t="shared" ref="S7" si="13">R7/100000</f>
        <v>-199.18140881967261</v>
      </c>
      <c r="T7">
        <f t="shared" ref="T7" si="14">S7/1000</f>
        <v>-0.19918140881967261</v>
      </c>
    </row>
    <row r="8" spans="1:20" x14ac:dyDescent="0.25">
      <c r="A8" s="5">
        <v>44585</v>
      </c>
      <c r="B8">
        <v>3.496</v>
      </c>
      <c r="C8">
        <v>3.5190000000000001</v>
      </c>
      <c r="D8">
        <v>3.0819999999999999</v>
      </c>
      <c r="E8">
        <v>3.4390000000000001</v>
      </c>
      <c r="F8">
        <v>188938.6</v>
      </c>
      <c r="G8">
        <v>3.4390000000000001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0.63386727688787181</v>
      </c>
      <c r="Q8">
        <f t="shared" ref="Q8" si="16">F8*P8</f>
        <v>119761.99588100686</v>
      </c>
      <c r="R8">
        <f t="shared" ref="R8" si="17">R9+Q8</f>
        <v>-20084398.487180531</v>
      </c>
      <c r="S8">
        <f t="shared" ref="S8" si="18">R8/100000</f>
        <v>-200.8439848718053</v>
      </c>
      <c r="T8">
        <f t="shared" ref="T8" si="19">S8/1000</f>
        <v>-0.2008439848718053</v>
      </c>
    </row>
    <row r="9" spans="1:20" x14ac:dyDescent="0.25">
      <c r="A9" s="5">
        <v>44584</v>
      </c>
      <c r="B9">
        <v>3.2549999999999999</v>
      </c>
      <c r="C9">
        <v>3.661</v>
      </c>
      <c r="D9">
        <v>3.25</v>
      </c>
      <c r="E9">
        <v>3.4929999999999999</v>
      </c>
      <c r="F9">
        <v>250172.3</v>
      </c>
      <c r="G9">
        <v>3.4929999999999999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0.18248175182481685</v>
      </c>
      <c r="Q9">
        <f t="shared" ref="Q9" si="21">F9*P9</f>
        <v>45651.879562043629</v>
      </c>
      <c r="R9">
        <f t="shared" ref="R9" si="22">R10+Q9</f>
        <v>-20204160.483061537</v>
      </c>
      <c r="S9">
        <f t="shared" ref="S9" si="23">R9/100000</f>
        <v>-202.04160483061537</v>
      </c>
      <c r="T9">
        <f t="shared" ref="T9" si="24">S9/1000</f>
        <v>-0.20204160483061537</v>
      </c>
    </row>
    <row r="10" spans="1:20" x14ac:dyDescent="0.25">
      <c r="A10" s="5">
        <v>44583</v>
      </c>
      <c r="B10">
        <v>3.7250000000000001</v>
      </c>
      <c r="C10">
        <v>3.8439999999999999</v>
      </c>
      <c r="D10">
        <v>3.06</v>
      </c>
      <c r="E10">
        <v>3.2719999999999998</v>
      </c>
      <c r="F10">
        <v>448331.908</v>
      </c>
      <c r="G10">
        <v>3.2719999999999998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-0.45918367346938826</v>
      </c>
      <c r="Q10">
        <f t="shared" ref="Q10" si="26">F10*P10</f>
        <v>-205866.69244897983</v>
      </c>
      <c r="R10">
        <f t="shared" ref="R10" si="27">R11+Q10</f>
        <v>-20249812.36262358</v>
      </c>
      <c r="S10">
        <f t="shared" ref="S10" si="28">R10/100000</f>
        <v>-202.49812362623581</v>
      </c>
      <c r="T10">
        <f t="shared" ref="T10" si="29">S10/1000</f>
        <v>-0.20249812362623582</v>
      </c>
    </row>
    <row r="11" spans="1:20" x14ac:dyDescent="0.25">
      <c r="A11" s="5">
        <v>44582</v>
      </c>
      <c r="B11">
        <v>4.1500000000000004</v>
      </c>
      <c r="C11">
        <v>4.25</v>
      </c>
      <c r="D11">
        <v>3.6659999999999999</v>
      </c>
      <c r="E11">
        <v>3.7309999999999999</v>
      </c>
      <c r="F11">
        <v>351309.37699999998</v>
      </c>
      <c r="G11">
        <v>3.7309999999999999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-0.77739726027397282</v>
      </c>
      <c r="Q11">
        <f t="shared" ref="Q11" si="31">F11*P11</f>
        <v>-273106.94718835625</v>
      </c>
      <c r="R11">
        <f t="shared" ref="R11" si="32">R12+Q11</f>
        <v>-20043945.670174599</v>
      </c>
      <c r="S11">
        <f t="shared" ref="S11" si="33">R11/100000</f>
        <v>-200.439456701746</v>
      </c>
      <c r="T11">
        <f t="shared" ref="T11" si="34">S11/1000</f>
        <v>-0.20043945670174598</v>
      </c>
    </row>
    <row r="12" spans="1:20" x14ac:dyDescent="0.25">
      <c r="A12" s="5">
        <v>44581</v>
      </c>
      <c r="B12">
        <v>4.3710000000000004</v>
      </c>
      <c r="C12">
        <v>4.5449999999999999</v>
      </c>
      <c r="D12">
        <v>4.1150000000000002</v>
      </c>
      <c r="E12">
        <v>4.1379999999999999</v>
      </c>
      <c r="F12">
        <v>134267</v>
      </c>
      <c r="G12">
        <v>4.1379999999999999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-0.89302325581395492</v>
      </c>
      <c r="Q12">
        <f t="shared" ref="Q12" si="36">F12*P12</f>
        <v>-119903.55348837229</v>
      </c>
      <c r="R12">
        <f t="shared" ref="R12" si="37">R13+Q12</f>
        <v>-19770838.722986244</v>
      </c>
      <c r="S12">
        <f t="shared" ref="S12" si="38">R12/100000</f>
        <v>-197.70838722986244</v>
      </c>
      <c r="T12">
        <f t="shared" ref="T12" si="39">S12/1000</f>
        <v>-0.19770838722986245</v>
      </c>
    </row>
    <row r="13" spans="1:20" x14ac:dyDescent="0.25">
      <c r="A13" s="5">
        <v>44580</v>
      </c>
      <c r="B13">
        <v>4.47</v>
      </c>
      <c r="C13">
        <v>4.5069999999999997</v>
      </c>
      <c r="D13">
        <v>4.2679999999999998</v>
      </c>
      <c r="E13">
        <v>4.3650000000000002</v>
      </c>
      <c r="F13">
        <v>140228.70000000001</v>
      </c>
      <c r="G13">
        <v>4.3650000000000002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-0.18828451882844796</v>
      </c>
      <c r="Q13">
        <f t="shared" ref="Q13" si="41">F13*P13</f>
        <v>-26402.893305438782</v>
      </c>
      <c r="R13">
        <f t="shared" ref="R13" si="42">R14+Q13</f>
        <v>-19650935.16949787</v>
      </c>
      <c r="S13">
        <f t="shared" ref="S13" si="43">R13/100000</f>
        <v>-196.5093516949787</v>
      </c>
      <c r="T13">
        <f t="shared" ref="T13" si="44">S13/1000</f>
        <v>-0.19650935169497871</v>
      </c>
    </row>
    <row r="14" spans="1:20" x14ac:dyDescent="0.25">
      <c r="A14" s="5">
        <v>44579</v>
      </c>
      <c r="B14">
        <v>4.8499999999999996</v>
      </c>
      <c r="C14">
        <v>4.9800000000000004</v>
      </c>
      <c r="D14">
        <v>4.351</v>
      </c>
      <c r="E14">
        <v>4.4770000000000003</v>
      </c>
      <c r="F14">
        <v>287022.2</v>
      </c>
      <c r="G14">
        <v>4.4770000000000003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-0.59936406995230451</v>
      </c>
      <c r="Q14">
        <f t="shared" ref="Q14" si="46">F14*P14</f>
        <v>-172030.79395866435</v>
      </c>
      <c r="R14">
        <f t="shared" ref="R14" si="47">R15+Q14</f>
        <v>-19624532.27619243</v>
      </c>
      <c r="S14">
        <f t="shared" ref="S14" si="48">R14/100000</f>
        <v>-196.24532276192431</v>
      </c>
      <c r="T14">
        <f t="shared" ref="T14" si="49">S14/1000</f>
        <v>-0.1962453227619243</v>
      </c>
    </row>
    <row r="15" spans="1:20" x14ac:dyDescent="0.25">
      <c r="A15" s="5">
        <v>44578</v>
      </c>
      <c r="B15">
        <v>4.4989999999999997</v>
      </c>
      <c r="C15">
        <v>5.49</v>
      </c>
      <c r="D15">
        <v>4.4039999999999999</v>
      </c>
      <c r="E15">
        <v>4.8499999999999996</v>
      </c>
      <c r="F15">
        <v>1622957.2</v>
      </c>
      <c r="G15">
        <v>4.8499999999999996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-0.17863720073664896</v>
      </c>
      <c r="Q15">
        <f t="shared" ref="Q15" si="51">F15*P15</f>
        <v>-289920.53112338972</v>
      </c>
      <c r="R15">
        <f t="shared" ref="R15" si="52">R16+Q15</f>
        <v>-19452501.482233766</v>
      </c>
      <c r="S15">
        <f t="shared" ref="S15" si="53">R15/100000</f>
        <v>-194.52501482233765</v>
      </c>
      <c r="T15">
        <f t="shared" ref="T15" si="54">S15/1000</f>
        <v>-0.19452501482233767</v>
      </c>
    </row>
    <row r="16" spans="1:20" x14ac:dyDescent="0.25">
      <c r="A16" s="5">
        <v>44577</v>
      </c>
      <c r="B16">
        <v>4.5289999999999999</v>
      </c>
      <c r="C16">
        <v>4.585</v>
      </c>
      <c r="D16">
        <v>4.3360000000000003</v>
      </c>
      <c r="E16">
        <v>4.5069999999999997</v>
      </c>
      <c r="F16">
        <v>98385.7</v>
      </c>
      <c r="G16">
        <v>4.5069999999999997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0.37349397590361127</v>
      </c>
      <c r="Q16">
        <f t="shared" ref="Q16" si="56">F16*P16</f>
        <v>36746.466265059928</v>
      </c>
      <c r="R16">
        <f t="shared" ref="R16" si="57">R17+Q16</f>
        <v>-19162580.951110378</v>
      </c>
      <c r="S16">
        <f t="shared" ref="S16" si="58">R16/100000</f>
        <v>-191.62580951110377</v>
      </c>
      <c r="T16">
        <f t="shared" ref="T16" si="59">S16/1000</f>
        <v>-0.19162580951110378</v>
      </c>
    </row>
    <row r="17" spans="1:20" x14ac:dyDescent="0.25">
      <c r="A17" s="5">
        <v>44576</v>
      </c>
      <c r="B17">
        <v>4.4630000000000001</v>
      </c>
      <c r="C17">
        <v>4.625</v>
      </c>
      <c r="D17">
        <v>4.3970000000000002</v>
      </c>
      <c r="E17">
        <v>4.5350000000000001</v>
      </c>
      <c r="F17">
        <v>86448</v>
      </c>
      <c r="G17">
        <v>4.5350000000000001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0.21052631578947409</v>
      </c>
      <c r="Q17">
        <f t="shared" ref="Q17" si="61">F17*P17</f>
        <v>18199.578947368456</v>
      </c>
      <c r="R17">
        <f t="shared" ref="R17" si="62">R18+Q17</f>
        <v>-19199327.417375438</v>
      </c>
      <c r="S17">
        <f t="shared" ref="S17" si="63">R17/100000</f>
        <v>-191.99327417375437</v>
      </c>
      <c r="T17">
        <f t="shared" ref="T17" si="64">S17/1000</f>
        <v>-0.19199327417375436</v>
      </c>
    </row>
    <row r="18" spans="1:20" x14ac:dyDescent="0.25">
      <c r="A18" s="5">
        <v>44575</v>
      </c>
      <c r="B18">
        <v>4.4260000000000002</v>
      </c>
      <c r="C18">
        <v>4.63</v>
      </c>
      <c r="D18">
        <v>4.3070000000000004</v>
      </c>
      <c r="E18">
        <v>4.4710000000000001</v>
      </c>
      <c r="F18">
        <v>126812.5</v>
      </c>
      <c r="G18">
        <v>4.4710000000000001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1.5479876160990405E-2</v>
      </c>
      <c r="Q18">
        <f t="shared" ref="Q18" si="66">F18*P18</f>
        <v>1963.0417956655958</v>
      </c>
      <c r="R18">
        <f t="shared" ref="R18" si="67">R19+Q18</f>
        <v>-19217526.996322807</v>
      </c>
      <c r="S18">
        <f t="shared" ref="S18" si="68">R18/100000</f>
        <v>-192.17526996322806</v>
      </c>
      <c r="T18">
        <f t="shared" ref="T18" si="69">S18/1000</f>
        <v>-0.19217526996322806</v>
      </c>
    </row>
    <row r="19" spans="1:20" x14ac:dyDescent="0.25">
      <c r="A19" s="5">
        <v>44574</v>
      </c>
      <c r="B19">
        <v>4.7960000000000003</v>
      </c>
      <c r="C19">
        <v>4.83</v>
      </c>
      <c r="D19">
        <v>4.4000000000000004</v>
      </c>
      <c r="E19">
        <v>4.4260000000000002</v>
      </c>
      <c r="F19">
        <v>148659.4</v>
      </c>
      <c r="G19">
        <v>4.4260000000000002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-0.87906976744186127</v>
      </c>
      <c r="Q19">
        <f t="shared" ref="Q19" si="71">F19*P19</f>
        <v>-130681.98418604663</v>
      </c>
      <c r="R19">
        <f t="shared" ref="R19" si="72">R20+Q19</f>
        <v>-19219490.038118474</v>
      </c>
      <c r="S19">
        <f t="shared" ref="S19" si="73">R19/100000</f>
        <v>-192.19490038118474</v>
      </c>
      <c r="T19">
        <f t="shared" ref="T19" si="74">S19/1000</f>
        <v>-0.19219490038118472</v>
      </c>
    </row>
    <row r="20" spans="1:20" x14ac:dyDescent="0.25">
      <c r="A20" s="5">
        <v>44573</v>
      </c>
      <c r="B20">
        <v>4.3029999999999999</v>
      </c>
      <c r="C20">
        <v>5.0860000000000003</v>
      </c>
      <c r="D20">
        <v>4.2830000000000004</v>
      </c>
      <c r="E20">
        <v>4.7880000000000003</v>
      </c>
      <c r="F20">
        <v>431828.2</v>
      </c>
      <c r="G20">
        <v>4.7880000000000003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0.25778331257783293</v>
      </c>
      <c r="Q20">
        <f t="shared" ref="Q20" si="76">F20*P20</f>
        <v>111318.10386052296</v>
      </c>
      <c r="R20">
        <f t="shared" ref="R20" si="77">R21+Q20</f>
        <v>-19088808.053932428</v>
      </c>
      <c r="S20">
        <f t="shared" ref="S20" si="78">R20/100000</f>
        <v>-190.88808053932428</v>
      </c>
      <c r="T20">
        <f t="shared" ref="T20" si="79">S20/1000</f>
        <v>-0.19088808053932427</v>
      </c>
    </row>
    <row r="21" spans="1:20" x14ac:dyDescent="0.25">
      <c r="A21" s="5">
        <v>44572</v>
      </c>
      <c r="B21">
        <v>4.2240000000000002</v>
      </c>
      <c r="C21">
        <v>4.46</v>
      </c>
      <c r="D21">
        <v>4.1719999999999997</v>
      </c>
      <c r="E21">
        <v>4.3120000000000003</v>
      </c>
      <c r="F21">
        <v>150101.79999999999</v>
      </c>
      <c r="G21">
        <v>4.3120000000000003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-2.7777777777774695E-2</v>
      </c>
      <c r="Q21">
        <f t="shared" ref="Q21" si="81">F21*P21</f>
        <v>-4169.4944444439816</v>
      </c>
      <c r="R21">
        <f t="shared" ref="R21" si="82">R22+Q21</f>
        <v>-19200126.157792952</v>
      </c>
      <c r="S21">
        <f t="shared" ref="S21" si="83">R21/100000</f>
        <v>-192.00126157792951</v>
      </c>
      <c r="T21">
        <f t="shared" ref="T21" si="84">S21/1000</f>
        <v>-0.19200126157792952</v>
      </c>
    </row>
    <row r="22" spans="1:20" x14ac:dyDescent="0.25">
      <c r="A22" s="5">
        <v>44571</v>
      </c>
      <c r="B22">
        <v>4.4000000000000004</v>
      </c>
      <c r="C22">
        <v>4.46</v>
      </c>
      <c r="D22">
        <v>4.09</v>
      </c>
      <c r="E22">
        <v>4.2329999999999997</v>
      </c>
      <c r="F22">
        <v>152974.17600000001</v>
      </c>
      <c r="G22">
        <v>4.2329999999999997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-0.22702702702702837</v>
      </c>
      <c r="Q22">
        <f t="shared" ref="Q22" si="86">F22*P22</f>
        <v>-34729.272389189398</v>
      </c>
      <c r="R22">
        <f t="shared" ref="R22" si="87">R23+Q22</f>
        <v>-19195956.663348507</v>
      </c>
      <c r="S22">
        <f t="shared" ref="S22" si="88">R22/100000</f>
        <v>-191.95956663348508</v>
      </c>
      <c r="T22">
        <f t="shared" ref="T22" si="89">S22/1000</f>
        <v>-0.19195956663348507</v>
      </c>
    </row>
    <row r="23" spans="1:20" x14ac:dyDescent="0.25">
      <c r="A23" s="5">
        <v>44570</v>
      </c>
      <c r="B23">
        <v>4.431</v>
      </c>
      <c r="C23">
        <v>4.4779999999999998</v>
      </c>
      <c r="D23">
        <v>4.2850000000000001</v>
      </c>
      <c r="E23">
        <v>4.4000000000000004</v>
      </c>
      <c r="F23">
        <v>104681.3</v>
      </c>
      <c r="G23">
        <v>4.4000000000000004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0.19170984455959006</v>
      </c>
      <c r="Q23">
        <f t="shared" ref="Q23" si="91">F23*P23</f>
        <v>20068.435751295816</v>
      </c>
      <c r="R23">
        <f t="shared" ref="R23" si="92">R24+Q23</f>
        <v>-19161227.390959319</v>
      </c>
      <c r="S23">
        <f t="shared" ref="S23" si="93">R23/100000</f>
        <v>-191.6122739095932</v>
      </c>
      <c r="T23">
        <f t="shared" ref="T23" si="94">S23/1000</f>
        <v>-0.19161227390959321</v>
      </c>
    </row>
    <row r="24" spans="1:20" x14ac:dyDescent="0.25">
      <c r="A24" s="5">
        <v>44569</v>
      </c>
      <c r="B24">
        <v>4.6689999999999996</v>
      </c>
      <c r="C24">
        <v>4.7519999999999998</v>
      </c>
      <c r="D24">
        <v>4.3</v>
      </c>
      <c r="E24">
        <v>4.431</v>
      </c>
      <c r="F24">
        <v>168923.42800000001</v>
      </c>
      <c r="G24">
        <v>4.431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-0.42035398230088389</v>
      </c>
      <c r="Q24">
        <f t="shared" ref="Q24" si="96">F24*P24</f>
        <v>-71007.635663716646</v>
      </c>
      <c r="R24">
        <f t="shared" ref="R24" si="97">R25+Q24</f>
        <v>-19181295.826710615</v>
      </c>
      <c r="S24">
        <f t="shared" ref="S24" si="98">R24/100000</f>
        <v>-191.81295826710615</v>
      </c>
      <c r="T24">
        <f t="shared" ref="T24" si="99">S24/1000</f>
        <v>-0.19181295826710615</v>
      </c>
    </row>
    <row r="25" spans="1:20" x14ac:dyDescent="0.25">
      <c r="A25" s="5">
        <v>44568</v>
      </c>
      <c r="B25">
        <v>4.9080000000000004</v>
      </c>
      <c r="C25">
        <v>4.91</v>
      </c>
      <c r="D25">
        <v>4.5010000000000003</v>
      </c>
      <c r="E25">
        <v>4.6589999999999998</v>
      </c>
      <c r="F25">
        <v>160769.742</v>
      </c>
      <c r="G25">
        <v>4.6589999999999998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-0.22738386308068681</v>
      </c>
      <c r="Q25">
        <f t="shared" ref="Q25" si="101">F25*P25</f>
        <v>-36556.44500244534</v>
      </c>
      <c r="R25">
        <f t="shared" ref="R25" si="102">R26+Q25</f>
        <v>-19110288.191046897</v>
      </c>
      <c r="S25">
        <f t="shared" ref="S25" si="103">R25/100000</f>
        <v>-191.10288191046897</v>
      </c>
      <c r="T25">
        <f t="shared" ref="T25" si="104">S25/1000</f>
        <v>-0.19110288191046895</v>
      </c>
    </row>
    <row r="26" spans="1:20" x14ac:dyDescent="0.25">
      <c r="A26" s="5">
        <v>44567</v>
      </c>
      <c r="B26">
        <v>4.9950000000000001</v>
      </c>
      <c r="C26">
        <v>5.0410000000000004</v>
      </c>
      <c r="D26">
        <v>4.7569999999999997</v>
      </c>
      <c r="E26">
        <v>4.9080000000000004</v>
      </c>
      <c r="F26">
        <v>108061.3</v>
      </c>
      <c r="G26">
        <v>4.9080000000000004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6.3380281690143092E-2</v>
      </c>
      <c r="Q26">
        <f t="shared" ref="Q26" si="106">F26*P26</f>
        <v>6848.9556338030598</v>
      </c>
      <c r="R26">
        <f t="shared" ref="R26" si="107">R27+Q26</f>
        <v>-19073731.746044453</v>
      </c>
      <c r="S26">
        <f t="shared" ref="S26" si="108">R26/100000</f>
        <v>-190.73731746044453</v>
      </c>
      <c r="T26">
        <f t="shared" ref="T26" si="109">S26/1000</f>
        <v>-0.19073731746044453</v>
      </c>
    </row>
    <row r="27" spans="1:20" x14ac:dyDescent="0.25">
      <c r="A27" s="5">
        <v>44566</v>
      </c>
      <c r="B27">
        <v>5.1980000000000004</v>
      </c>
      <c r="C27">
        <v>5.4</v>
      </c>
      <c r="D27">
        <v>4.7789999999999999</v>
      </c>
      <c r="E27">
        <v>4.9980000000000002</v>
      </c>
      <c r="F27">
        <v>159680.4</v>
      </c>
      <c r="G27">
        <v>4.9980000000000002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-0.29468599033816378</v>
      </c>
      <c r="Q27">
        <f t="shared" ref="Q27" si="111">F27*P27</f>
        <v>-47055.576811594125</v>
      </c>
      <c r="R27">
        <f t="shared" ref="R27" si="112">R28+Q27</f>
        <v>-19080580.701678257</v>
      </c>
      <c r="S27">
        <f t="shared" ref="S27" si="113">R27/100000</f>
        <v>-190.80580701678258</v>
      </c>
      <c r="T27">
        <f t="shared" ref="T27" si="114">S27/1000</f>
        <v>-0.19080580701678257</v>
      </c>
    </row>
    <row r="28" spans="1:20" x14ac:dyDescent="0.25">
      <c r="A28" s="5">
        <v>44565</v>
      </c>
      <c r="B28">
        <v>5.2560000000000002</v>
      </c>
      <c r="C28">
        <v>5.4050000000000002</v>
      </c>
      <c r="D28">
        <v>5.149</v>
      </c>
      <c r="E28">
        <v>5.1980000000000004</v>
      </c>
      <c r="F28">
        <v>155417.1</v>
      </c>
      <c r="G28">
        <v>5.1980000000000004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-0.61718749999999745</v>
      </c>
      <c r="Q28">
        <f t="shared" ref="Q28" si="116">F28*P28</f>
        <v>-95921.49140624961</v>
      </c>
      <c r="R28">
        <f t="shared" ref="R28" si="117">R29+Q28</f>
        <v>-19033525.124866664</v>
      </c>
      <c r="S28">
        <f t="shared" ref="S28" si="118">R28/100000</f>
        <v>-190.33525124866665</v>
      </c>
      <c r="T28">
        <f t="shared" ref="T28" si="119">S28/1000</f>
        <v>-0.19033525124866665</v>
      </c>
    </row>
    <row r="29" spans="1:20" x14ac:dyDescent="0.25">
      <c r="A29" s="5">
        <v>44564</v>
      </c>
      <c r="B29">
        <v>5.3659999999999997</v>
      </c>
      <c r="C29">
        <v>5.4429999999999996</v>
      </c>
      <c r="D29">
        <v>5.1630000000000003</v>
      </c>
      <c r="E29">
        <v>5.266</v>
      </c>
      <c r="F29">
        <v>109060.6</v>
      </c>
      <c r="G29">
        <v>5.266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-0.26428571428571435</v>
      </c>
      <c r="Q29">
        <f t="shared" ref="Q29" si="121">F29*P29</f>
        <v>-28823.158571428579</v>
      </c>
      <c r="R29">
        <f t="shared" ref="R29" si="122">R30+Q29</f>
        <v>-18937603.633460414</v>
      </c>
      <c r="S29">
        <f t="shared" ref="S29" si="123">R29/100000</f>
        <v>-189.37603633460412</v>
      </c>
      <c r="T29">
        <f t="shared" ref="T29" si="124">S29/1000</f>
        <v>-0.18937603633460412</v>
      </c>
    </row>
    <row r="30" spans="1:20" x14ac:dyDescent="0.25">
      <c r="A30" s="5">
        <v>44563</v>
      </c>
      <c r="B30">
        <v>5.2839999999999998</v>
      </c>
      <c r="C30">
        <v>5.6529999999999996</v>
      </c>
      <c r="D30">
        <v>5.2030000000000003</v>
      </c>
      <c r="E30">
        <v>5.3659999999999997</v>
      </c>
      <c r="F30">
        <v>173667.7</v>
      </c>
      <c r="G30">
        <v>5.3659999999999997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-0.27555555555555722</v>
      </c>
      <c r="Q30">
        <f t="shared" ref="Q30" si="126">F30*P30</f>
        <v>-47855.099555555847</v>
      </c>
      <c r="R30">
        <f t="shared" ref="R30" si="127">R31+Q30</f>
        <v>-18908780.474888984</v>
      </c>
      <c r="S30">
        <f t="shared" ref="S30" si="128">R30/100000</f>
        <v>-189.08780474888985</v>
      </c>
      <c r="T30">
        <f t="shared" ref="T30" si="129">S30/1000</f>
        <v>-0.18908780474888987</v>
      </c>
    </row>
    <row r="31" spans="1:20" x14ac:dyDescent="0.25">
      <c r="A31" s="5">
        <v>44562</v>
      </c>
      <c r="B31">
        <v>5.2039999999999997</v>
      </c>
      <c r="C31">
        <v>5.3230000000000004</v>
      </c>
      <c r="D31">
        <v>5.1870000000000003</v>
      </c>
      <c r="E31">
        <v>5.2839999999999998</v>
      </c>
      <c r="F31">
        <v>64061.2</v>
      </c>
      <c r="G31">
        <v>5.2839999999999998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0.42647058823528594</v>
      </c>
      <c r="Q31">
        <f t="shared" ref="Q31" si="131">F31*P31</f>
        <v>27320.2176470583</v>
      </c>
      <c r="R31">
        <f t="shared" ref="R31" si="132">R32+Q31</f>
        <v>-18860925.375333428</v>
      </c>
      <c r="S31">
        <f t="shared" ref="S31" si="133">R31/100000</f>
        <v>-188.60925375333429</v>
      </c>
      <c r="T31">
        <f t="shared" ref="T31" si="134">S31/1000</f>
        <v>-0.18860925375333429</v>
      </c>
    </row>
    <row r="32" spans="1:20" x14ac:dyDescent="0.25">
      <c r="A32" s="5">
        <v>44561</v>
      </c>
      <c r="B32">
        <v>5.1909999999999998</v>
      </c>
      <c r="C32">
        <v>5.3929999999999998</v>
      </c>
      <c r="D32">
        <v>5.0720000000000001</v>
      </c>
      <c r="E32">
        <v>5.2030000000000003</v>
      </c>
      <c r="F32">
        <v>103730.7</v>
      </c>
      <c r="G32">
        <v>5.2030000000000003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-0.18380062305295738</v>
      </c>
      <c r="Q32">
        <f t="shared" ref="Q32" si="136">F32*P32</f>
        <v>-19065.767289719406</v>
      </c>
      <c r="R32">
        <f t="shared" ref="R32" si="137">R33+Q32</f>
        <v>-18888245.592980485</v>
      </c>
      <c r="S32">
        <f t="shared" ref="S32" si="138">R32/100000</f>
        <v>-188.88245592980485</v>
      </c>
      <c r="T32">
        <f t="shared" ref="T32" si="139">S32/1000</f>
        <v>-0.18888245592980485</v>
      </c>
    </row>
    <row r="33" spans="1:20" x14ac:dyDescent="0.25">
      <c r="A33" s="5">
        <v>44560</v>
      </c>
      <c r="B33">
        <v>5.3049999999999997</v>
      </c>
      <c r="C33">
        <v>5.4169999999999998</v>
      </c>
      <c r="D33">
        <v>5.1150000000000002</v>
      </c>
      <c r="E33">
        <v>5.1950000000000003</v>
      </c>
      <c r="F33">
        <v>165701.70000000001</v>
      </c>
      <c r="G33">
        <v>5.1950000000000003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-0.47019867549668759</v>
      </c>
      <c r="Q33">
        <f t="shared" ref="Q33" si="141">F33*P33</f>
        <v>-77912.719867549487</v>
      </c>
      <c r="R33">
        <f t="shared" ref="R33" si="142">R34+Q33</f>
        <v>-18869179.825690765</v>
      </c>
      <c r="S33">
        <f t="shared" ref="S33" si="143">R33/100000</f>
        <v>-188.69179825690765</v>
      </c>
      <c r="T33">
        <f t="shared" ref="T33" si="144">S33/1000</f>
        <v>-0.18869179825690766</v>
      </c>
    </row>
    <row r="34" spans="1:20" x14ac:dyDescent="0.25">
      <c r="A34" s="5">
        <v>44559</v>
      </c>
      <c r="B34">
        <v>5.306</v>
      </c>
      <c r="C34">
        <v>5.5629999999999997</v>
      </c>
      <c r="D34">
        <v>5.0519999999999996</v>
      </c>
      <c r="E34">
        <v>5.3</v>
      </c>
      <c r="F34">
        <v>245109.5</v>
      </c>
      <c r="G34">
        <v>5.3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-2.9354207436398584E-2</v>
      </c>
      <c r="Q34">
        <f t="shared" ref="Q34" si="146">F34*P34</f>
        <v>-7194.9951076319385</v>
      </c>
      <c r="R34">
        <f t="shared" ref="R34" si="147">R35+Q34</f>
        <v>-18791267.105823215</v>
      </c>
      <c r="S34">
        <f t="shared" ref="S34" si="148">R34/100000</f>
        <v>-187.91267105823215</v>
      </c>
      <c r="T34">
        <f t="shared" ref="T34" si="149">S34/1000</f>
        <v>-0.18791267105823214</v>
      </c>
    </row>
    <row r="35" spans="1:20" x14ac:dyDescent="0.25">
      <c r="A35" s="5">
        <v>44558</v>
      </c>
      <c r="B35">
        <v>5.7990000000000004</v>
      </c>
      <c r="C35">
        <v>5.84</v>
      </c>
      <c r="D35">
        <v>5.2720000000000002</v>
      </c>
      <c r="E35">
        <v>5.31</v>
      </c>
      <c r="F35">
        <v>233376.6</v>
      </c>
      <c r="G35">
        <v>5.31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-0.86619718309859373</v>
      </c>
      <c r="Q35">
        <f t="shared" ref="Q35" si="151">F35*P35</f>
        <v>-202150.15352112727</v>
      </c>
      <c r="R35">
        <f t="shared" ref="R35" si="152">R36+Q35</f>
        <v>-18784072.110715583</v>
      </c>
      <c r="S35">
        <f t="shared" ref="S35" si="153">R35/100000</f>
        <v>-187.84072110715584</v>
      </c>
      <c r="T35">
        <f t="shared" ref="T35" si="154">S35/1000</f>
        <v>-0.18784072110715586</v>
      </c>
    </row>
    <row r="36" spans="1:20" x14ac:dyDescent="0.25">
      <c r="A36" s="5">
        <v>44557</v>
      </c>
      <c r="B36">
        <v>6.117</v>
      </c>
      <c r="C36">
        <v>6.2</v>
      </c>
      <c r="D36">
        <v>5.79</v>
      </c>
      <c r="E36">
        <v>5.7919999999999998</v>
      </c>
      <c r="F36">
        <v>407868.4</v>
      </c>
      <c r="G36">
        <v>5.7919999999999998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-0.99024390243902549</v>
      </c>
      <c r="Q36">
        <f t="shared" ref="Q36" si="156">F36*P36</f>
        <v>-403889.19609756145</v>
      </c>
      <c r="R36">
        <f t="shared" ref="R36" si="157">R37+Q36</f>
        <v>-18581921.957194455</v>
      </c>
      <c r="S36">
        <f t="shared" ref="S36" si="158">R36/100000</f>
        <v>-185.81921957194456</v>
      </c>
      <c r="T36">
        <f t="shared" ref="T36" si="159">S36/1000</f>
        <v>-0.18581921957194455</v>
      </c>
    </row>
    <row r="37" spans="1:20" x14ac:dyDescent="0.25">
      <c r="A37" s="5">
        <v>44556</v>
      </c>
      <c r="B37">
        <v>5.5330000000000004</v>
      </c>
      <c r="C37">
        <v>7.226</v>
      </c>
      <c r="D37">
        <v>5.383</v>
      </c>
      <c r="E37">
        <v>6.117</v>
      </c>
      <c r="F37">
        <v>2946194.4</v>
      </c>
      <c r="G37">
        <v>6.117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-0.20347259902333154</v>
      </c>
      <c r="Q37">
        <f t="shared" ref="Q37" si="161">F37*P37</f>
        <v>-599469.83179598476</v>
      </c>
      <c r="R37">
        <f t="shared" ref="R37" si="162">R38+Q37</f>
        <v>-18178032.761096895</v>
      </c>
      <c r="S37">
        <f t="shared" ref="S37" si="163">R37/100000</f>
        <v>-181.78032761096895</v>
      </c>
      <c r="T37">
        <f t="shared" ref="T37" si="164">S37/1000</f>
        <v>-0.18178032761096896</v>
      </c>
    </row>
    <row r="38" spans="1:20" x14ac:dyDescent="0.25">
      <c r="A38" s="5">
        <v>44555</v>
      </c>
      <c r="B38">
        <v>5.4050000000000002</v>
      </c>
      <c r="C38">
        <v>5.59</v>
      </c>
      <c r="D38">
        <v>5.3739999999999997</v>
      </c>
      <c r="E38">
        <v>5.5369999999999999</v>
      </c>
      <c r="F38">
        <v>125538.1</v>
      </c>
      <c r="G38">
        <v>5.5369999999999999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0.5092592592592603</v>
      </c>
      <c r="Q38">
        <f t="shared" ref="Q38" si="166">F38*P38</f>
        <v>63931.439814814948</v>
      </c>
      <c r="R38">
        <f t="shared" ref="R38" si="167">R39+Q38</f>
        <v>-17578562.929300912</v>
      </c>
      <c r="S38">
        <f t="shared" ref="S38" si="168">R38/100000</f>
        <v>-175.78562929300912</v>
      </c>
      <c r="T38">
        <f t="shared" ref="T38" si="169">S38/1000</f>
        <v>-0.17578562929300912</v>
      </c>
    </row>
    <row r="39" spans="1:20" x14ac:dyDescent="0.25">
      <c r="A39" s="5">
        <v>44554</v>
      </c>
      <c r="B39">
        <v>5.6680000000000001</v>
      </c>
      <c r="C39">
        <v>5.85</v>
      </c>
      <c r="D39">
        <v>5.3760000000000003</v>
      </c>
      <c r="E39">
        <v>5.399</v>
      </c>
      <c r="F39">
        <v>261886.7</v>
      </c>
      <c r="G39">
        <v>5.399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-0.90295358649789148</v>
      </c>
      <c r="Q39">
        <f t="shared" ref="Q39" si="171">F39*P39</f>
        <v>-236471.53502109737</v>
      </c>
      <c r="R39">
        <f t="shared" ref="R39" si="172">R40+Q39</f>
        <v>-17642494.369115725</v>
      </c>
      <c r="S39">
        <f t="shared" ref="S39" si="173">R39/100000</f>
        <v>-176.42494369115724</v>
      </c>
      <c r="T39">
        <f t="shared" ref="T39" si="174">S39/1000</f>
        <v>-0.17642494369115724</v>
      </c>
    </row>
    <row r="40" spans="1:20" x14ac:dyDescent="0.25">
      <c r="A40" s="5">
        <v>44553</v>
      </c>
      <c r="B40">
        <v>5.2089999999999996</v>
      </c>
      <c r="C40">
        <v>6</v>
      </c>
      <c r="D40">
        <v>5.1100000000000003</v>
      </c>
      <c r="E40">
        <v>5.6719999999999997</v>
      </c>
      <c r="F40">
        <v>509166.9</v>
      </c>
      <c r="G40">
        <v>5.6719999999999997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0.26292134831460584</v>
      </c>
      <c r="Q40">
        <f t="shared" ref="Q40" si="176">F40*P40</f>
        <v>133870.84786516809</v>
      </c>
      <c r="R40">
        <f t="shared" ref="R40" si="177">R41+Q40</f>
        <v>-17406022.834094629</v>
      </c>
      <c r="S40">
        <f t="shared" ref="S40" si="178">R40/100000</f>
        <v>-174.06022834094628</v>
      </c>
      <c r="T40">
        <f t="shared" ref="T40" si="179">S40/1000</f>
        <v>-0.17406022834094628</v>
      </c>
    </row>
    <row r="41" spans="1:20" x14ac:dyDescent="0.25">
      <c r="A41" s="5">
        <v>44552</v>
      </c>
      <c r="B41">
        <v>5.4509999999999996</v>
      </c>
      <c r="C41">
        <v>5.484</v>
      </c>
      <c r="D41">
        <v>5.1100000000000003</v>
      </c>
      <c r="E41">
        <v>5.2089999999999996</v>
      </c>
      <c r="F41">
        <v>132843.5</v>
      </c>
      <c r="G41">
        <v>5.2089999999999996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-0.47058823529412086</v>
      </c>
      <c r="Q41">
        <f t="shared" ref="Q41" si="181">F41*P41</f>
        <v>-62514.588235294541</v>
      </c>
      <c r="R41">
        <f t="shared" ref="R41" si="182">R42+Q41</f>
        <v>-17539893.681959797</v>
      </c>
      <c r="S41">
        <f t="shared" ref="S41" si="183">R41/100000</f>
        <v>-175.39893681959796</v>
      </c>
      <c r="T41">
        <f t="shared" ref="T41" si="184">S41/1000</f>
        <v>-0.17539893681959795</v>
      </c>
    </row>
    <row r="42" spans="1:20" x14ac:dyDescent="0.25">
      <c r="A42" s="5">
        <v>44551</v>
      </c>
      <c r="B42">
        <v>5.0620000000000003</v>
      </c>
      <c r="C42">
        <v>5.49</v>
      </c>
      <c r="D42">
        <v>5.0199999999999996</v>
      </c>
      <c r="E42">
        <v>5.4509999999999996</v>
      </c>
      <c r="F42">
        <v>105684.7</v>
      </c>
      <c r="G42">
        <v>5.4509999999999996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0.83404255319148712</v>
      </c>
      <c r="Q42">
        <f t="shared" ref="Q42" si="186">F42*P42</f>
        <v>88145.537021276352</v>
      </c>
      <c r="R42">
        <f t="shared" ref="R42" si="187">R43+Q42</f>
        <v>-17477379.0937245</v>
      </c>
      <c r="S42">
        <f t="shared" ref="S42" si="188">R42/100000</f>
        <v>-174.773790937245</v>
      </c>
      <c r="T42">
        <f t="shared" ref="T42" si="189">S42/1000</f>
        <v>-0.17477379093724499</v>
      </c>
    </row>
    <row r="43" spans="1:20" x14ac:dyDescent="0.25">
      <c r="A43" s="5">
        <v>44550</v>
      </c>
      <c r="B43">
        <v>5.14</v>
      </c>
      <c r="C43">
        <v>5.2130000000000001</v>
      </c>
      <c r="D43">
        <v>4.9329999999999998</v>
      </c>
      <c r="E43">
        <v>5.0620000000000003</v>
      </c>
      <c r="F43">
        <v>80400.100000000006</v>
      </c>
      <c r="G43">
        <v>5.0620000000000003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-7.8571428571426197E-2</v>
      </c>
      <c r="Q43">
        <f t="shared" ref="Q43" si="191">F43*P43</f>
        <v>-6317.1507142855235</v>
      </c>
      <c r="R43">
        <f t="shared" ref="R43" si="192">R44+Q43</f>
        <v>-17565524.630745776</v>
      </c>
      <c r="S43">
        <f t="shared" ref="S43" si="193">R43/100000</f>
        <v>-175.65524630745776</v>
      </c>
      <c r="T43">
        <f t="shared" ref="T43" si="194">S43/1000</f>
        <v>-0.17565524630745777</v>
      </c>
    </row>
    <row r="44" spans="1:20" x14ac:dyDescent="0.25">
      <c r="A44" s="5">
        <v>44549</v>
      </c>
      <c r="B44">
        <v>5.33</v>
      </c>
      <c r="C44">
        <v>5.4050000000000002</v>
      </c>
      <c r="D44">
        <v>5.1100000000000003</v>
      </c>
      <c r="E44">
        <v>5.14</v>
      </c>
      <c r="F44">
        <v>70561.5</v>
      </c>
      <c r="G44">
        <v>5.14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-0.79661016949152974</v>
      </c>
      <c r="Q44">
        <f t="shared" ref="Q44" si="196">F44*P44</f>
        <v>-56210.008474576578</v>
      </c>
      <c r="R44">
        <f t="shared" ref="R44" si="197">R45+Q44</f>
        <v>-17559207.48003149</v>
      </c>
      <c r="S44">
        <f t="shared" ref="S44" si="198">R44/100000</f>
        <v>-175.59207480031489</v>
      </c>
      <c r="T44">
        <f t="shared" ref="T44" si="199">S44/1000</f>
        <v>-0.17559207480031488</v>
      </c>
    </row>
    <row r="45" spans="1:20" x14ac:dyDescent="0.25">
      <c r="A45" s="5">
        <v>44548</v>
      </c>
      <c r="B45">
        <v>5.165</v>
      </c>
      <c r="C45">
        <v>5.508</v>
      </c>
      <c r="D45">
        <v>5.0880000000000001</v>
      </c>
      <c r="E45">
        <v>5.3310000000000004</v>
      </c>
      <c r="F45">
        <v>83800.7</v>
      </c>
      <c r="G45">
        <v>5.3310000000000004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0.15714285714285889</v>
      </c>
      <c r="Q45">
        <f t="shared" ref="Q45" si="201">F45*P45</f>
        <v>13168.681428571574</v>
      </c>
      <c r="R45">
        <f t="shared" ref="R45" si="202">R46+Q45</f>
        <v>-17502997.471556913</v>
      </c>
      <c r="S45">
        <f t="shared" ref="S45" si="203">R45/100000</f>
        <v>-175.02997471556913</v>
      </c>
      <c r="T45">
        <f t="shared" ref="T45" si="204">S45/1000</f>
        <v>-0.17502997471556914</v>
      </c>
    </row>
    <row r="46" spans="1:20" x14ac:dyDescent="0.25">
      <c r="A46" s="5">
        <v>44547</v>
      </c>
      <c r="B46">
        <v>5.29</v>
      </c>
      <c r="C46">
        <v>5.423</v>
      </c>
      <c r="D46">
        <v>4.952</v>
      </c>
      <c r="E46">
        <v>5.165</v>
      </c>
      <c r="F46">
        <v>138394.70000000001</v>
      </c>
      <c r="G46">
        <v>5.165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-9.5541401273885176E-2</v>
      </c>
      <c r="Q46">
        <f t="shared" ref="Q46" si="206">F46*P46</f>
        <v>-13222.423566878959</v>
      </c>
      <c r="R46">
        <f t="shared" ref="R46" si="207">R47+Q46</f>
        <v>-17516166.152985483</v>
      </c>
      <c r="S46">
        <f t="shared" ref="S46" si="208">R46/100000</f>
        <v>-175.16166152985483</v>
      </c>
      <c r="T46">
        <f t="shared" ref="T46" si="209">S46/1000</f>
        <v>-0.17516166152985482</v>
      </c>
    </row>
    <row r="47" spans="1:20" x14ac:dyDescent="0.25">
      <c r="A47" s="5">
        <v>44546</v>
      </c>
      <c r="B47">
        <v>5.1509999999999998</v>
      </c>
      <c r="C47">
        <v>5.54</v>
      </c>
      <c r="D47">
        <v>5.048</v>
      </c>
      <c r="E47">
        <v>5.29</v>
      </c>
      <c r="F47">
        <v>165443.9</v>
      </c>
      <c r="G47">
        <v>5.29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-1.6260162601626032E-2</v>
      </c>
      <c r="Q47">
        <f t="shared" ref="Q47" si="211">F47*P47</f>
        <v>-2690.1447154471571</v>
      </c>
      <c r="R47">
        <f t="shared" ref="R47" si="212">R48+Q47</f>
        <v>-17502943.729418606</v>
      </c>
      <c r="S47">
        <f t="shared" ref="S47" si="213">R47/100000</f>
        <v>-175.02943729418607</v>
      </c>
      <c r="T47">
        <f t="shared" ref="T47" si="214">S47/1000</f>
        <v>-0.17502943729418607</v>
      </c>
    </row>
    <row r="48" spans="1:20" x14ac:dyDescent="0.25">
      <c r="A48" s="5">
        <v>44545</v>
      </c>
      <c r="B48">
        <v>5.3280000000000003</v>
      </c>
      <c r="C48">
        <v>5.3479999999999999</v>
      </c>
      <c r="D48">
        <v>4.7640000000000002</v>
      </c>
      <c r="E48">
        <v>5.1520000000000001</v>
      </c>
      <c r="F48">
        <v>198718.1</v>
      </c>
      <c r="G48">
        <v>5.1520000000000001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0.32876712328767171</v>
      </c>
      <c r="Q48">
        <f t="shared" ref="Q48" si="216">F48*P48</f>
        <v>65331.978082191876</v>
      </c>
      <c r="R48">
        <f t="shared" ref="R48" si="217">R49+Q48</f>
        <v>-17500253.584703159</v>
      </c>
      <c r="S48">
        <f t="shared" ref="S48" si="218">R48/100000</f>
        <v>-175.0025358470316</v>
      </c>
      <c r="T48">
        <f t="shared" ref="T48" si="219">S48/1000</f>
        <v>-0.1750025358470316</v>
      </c>
    </row>
    <row r="49" spans="1:20" x14ac:dyDescent="0.25">
      <c r="A49" s="5">
        <v>44544</v>
      </c>
      <c r="B49">
        <v>5.149</v>
      </c>
      <c r="C49">
        <v>5.3719999999999999</v>
      </c>
      <c r="D49">
        <v>4.8630000000000004</v>
      </c>
      <c r="E49">
        <v>5.3330000000000002</v>
      </c>
      <c r="F49">
        <v>134778.79999999999</v>
      </c>
      <c r="G49">
        <v>5.3330000000000002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0.8467583497053055</v>
      </c>
      <c r="Q49">
        <f t="shared" ref="Q49" si="221">F49*P49</f>
        <v>114125.07426326141</v>
      </c>
      <c r="R49">
        <f t="shared" ref="R49" si="222">R50+Q49</f>
        <v>-17565585.56278535</v>
      </c>
      <c r="S49">
        <f t="shared" ref="S49" si="223">R49/100000</f>
        <v>-175.6558556278535</v>
      </c>
      <c r="T49">
        <f t="shared" ref="T49" si="224">S49/1000</f>
        <v>-0.17565585562785349</v>
      </c>
    </row>
    <row r="50" spans="1:20" x14ac:dyDescent="0.25">
      <c r="A50" s="5">
        <v>44543</v>
      </c>
      <c r="B50">
        <v>5.7080000000000002</v>
      </c>
      <c r="C50">
        <v>5.75</v>
      </c>
      <c r="D50">
        <v>4.944</v>
      </c>
      <c r="E50">
        <v>5.149</v>
      </c>
      <c r="F50">
        <v>160026.4</v>
      </c>
      <c r="G50">
        <v>5.149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-0.49131513647642666</v>
      </c>
      <c r="Q50">
        <f t="shared" ref="Q50" si="226">F50*P50</f>
        <v>-78623.392555831248</v>
      </c>
      <c r="R50">
        <f t="shared" ref="R50" si="227">R51+Q50</f>
        <v>-17679710.63704861</v>
      </c>
      <c r="S50">
        <f t="shared" ref="S50" si="228">R50/100000</f>
        <v>-176.79710637048609</v>
      </c>
      <c r="T50">
        <f t="shared" ref="T50" si="229">S50/1000</f>
        <v>-0.1767971063704861</v>
      </c>
    </row>
    <row r="51" spans="1:20" x14ac:dyDescent="0.25">
      <c r="A51" s="5">
        <v>44542</v>
      </c>
      <c r="B51">
        <v>5.6719999999999997</v>
      </c>
      <c r="C51">
        <v>6.2359999999999998</v>
      </c>
      <c r="D51">
        <v>5.47</v>
      </c>
      <c r="E51">
        <v>5.7119999999999997</v>
      </c>
      <c r="F51">
        <v>412410.4</v>
      </c>
      <c r="G51">
        <v>5.7119999999999997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-0.36814621409921672</v>
      </c>
      <c r="Q51">
        <f t="shared" ref="Q51" si="231">F51*P51</f>
        <v>-151827.32741514361</v>
      </c>
      <c r="R51">
        <f t="shared" ref="R51" si="232">R52+Q51</f>
        <v>-17601087.244492777</v>
      </c>
      <c r="S51">
        <f t="shared" ref="S51" si="233">R51/100000</f>
        <v>-176.01087244492777</v>
      </c>
      <c r="T51">
        <f t="shared" ref="T51" si="234">S51/1000</f>
        <v>-0.17601087244492777</v>
      </c>
    </row>
    <row r="52" spans="1:20" x14ac:dyDescent="0.25">
      <c r="A52" s="5">
        <v>44541</v>
      </c>
      <c r="B52">
        <v>5.2889999999999997</v>
      </c>
      <c r="C52">
        <v>5.3869999999999996</v>
      </c>
      <c r="D52">
        <v>5.2030000000000003</v>
      </c>
      <c r="E52">
        <v>5.38</v>
      </c>
      <c r="F52">
        <v>8262.7000000000007</v>
      </c>
      <c r="G52">
        <v>5.38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0.92391304347826408</v>
      </c>
      <c r="Q52">
        <f t="shared" ref="Q52" si="236">F52*P52</f>
        <v>7634.0163043478533</v>
      </c>
      <c r="R52">
        <f t="shared" ref="R52" si="237">R53+Q52</f>
        <v>-17449259.917077634</v>
      </c>
      <c r="S52">
        <f t="shared" ref="S52" si="238">R52/100000</f>
        <v>-174.49259917077634</v>
      </c>
      <c r="T52">
        <f t="shared" ref="T52" si="239">S52/1000</f>
        <v>-0.17449259917077634</v>
      </c>
    </row>
    <row r="53" spans="1:20" x14ac:dyDescent="0.25">
      <c r="A53" s="5">
        <v>44540</v>
      </c>
      <c r="B53">
        <v>5.61</v>
      </c>
      <c r="C53">
        <v>5.9749999999999996</v>
      </c>
      <c r="D53">
        <v>5.1980000000000004</v>
      </c>
      <c r="E53">
        <v>5.28</v>
      </c>
      <c r="F53">
        <v>162187.9</v>
      </c>
      <c r="G53">
        <v>5.28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-0.78893178893178906</v>
      </c>
      <c r="Q53">
        <f t="shared" ref="Q53" si="241">F53*P53</f>
        <v>-127955.19009009011</v>
      </c>
      <c r="R53">
        <f t="shared" ref="R53" si="242">R54+Q53</f>
        <v>-17456893.933381982</v>
      </c>
      <c r="S53">
        <f t="shared" ref="S53" si="243">R53/100000</f>
        <v>-174.56893933381983</v>
      </c>
      <c r="T53">
        <f t="shared" ref="T53" si="244">S53/1000</f>
        <v>-0.17456893933381984</v>
      </c>
    </row>
    <row r="54" spans="1:20" x14ac:dyDescent="0.25">
      <c r="A54" s="5">
        <v>44539</v>
      </c>
      <c r="B54">
        <v>6.0179999999999998</v>
      </c>
      <c r="C54">
        <v>6.1989999999999998</v>
      </c>
      <c r="D54">
        <v>5.4489999999999998</v>
      </c>
      <c r="E54">
        <v>5.6059999999999999</v>
      </c>
      <c r="F54">
        <v>363439.6</v>
      </c>
      <c r="G54">
        <v>5.6059999999999999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-0.58133333333333326</v>
      </c>
      <c r="Q54">
        <f t="shared" ref="Q54" si="246">F54*P54</f>
        <v>-211279.55413333329</v>
      </c>
      <c r="R54">
        <f t="shared" ref="R54" si="247">R55+Q54</f>
        <v>-17328938.743291892</v>
      </c>
      <c r="S54">
        <f t="shared" ref="S54" si="248">R54/100000</f>
        <v>-173.28938743291891</v>
      </c>
      <c r="T54">
        <f t="shared" ref="T54" si="249">S54/1000</f>
        <v>-0.17328938743291891</v>
      </c>
    </row>
    <row r="55" spans="1:20" x14ac:dyDescent="0.25">
      <c r="A55" s="5">
        <v>44538</v>
      </c>
      <c r="B55">
        <v>5.8170000000000002</v>
      </c>
      <c r="C55">
        <v>6.226</v>
      </c>
      <c r="D55">
        <v>5.5460000000000003</v>
      </c>
      <c r="E55">
        <v>6.0110000000000001</v>
      </c>
      <c r="F55">
        <v>395794.2</v>
      </c>
      <c r="G55">
        <v>6.0110000000000001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0.36764705882352955</v>
      </c>
      <c r="Q55">
        <f t="shared" ref="Q55" si="251">F55*P55</f>
        <v>145512.57352941183</v>
      </c>
      <c r="R55">
        <f t="shared" ref="R55" si="252">R56+Q55</f>
        <v>-17117659.189158559</v>
      </c>
      <c r="S55">
        <f t="shared" ref="S55" si="253">R55/100000</f>
        <v>-171.17659189158559</v>
      </c>
      <c r="T55">
        <f t="shared" ref="T55" si="254">S55/1000</f>
        <v>-0.1711765918915856</v>
      </c>
    </row>
    <row r="56" spans="1:20" x14ac:dyDescent="0.25">
      <c r="A56" s="5">
        <v>44537</v>
      </c>
      <c r="B56">
        <v>6.0730000000000004</v>
      </c>
      <c r="C56">
        <v>6.3310000000000004</v>
      </c>
      <c r="D56">
        <v>5.75</v>
      </c>
      <c r="E56">
        <v>5.8170000000000002</v>
      </c>
      <c r="F56">
        <v>226613</v>
      </c>
      <c r="G56">
        <v>5.8170000000000002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-0.76936316695352802</v>
      </c>
      <c r="Q56">
        <f t="shared" ref="Q56" si="256">F56*P56</f>
        <v>-174347.69535283986</v>
      </c>
      <c r="R56">
        <f t="shared" ref="R56" si="257">R57+Q56</f>
        <v>-17263171.76268797</v>
      </c>
      <c r="S56">
        <f t="shared" ref="S56" si="258">R56/100000</f>
        <v>-172.63171762687969</v>
      </c>
      <c r="T56">
        <f t="shared" ref="T56" si="259">S56/1000</f>
        <v>-0.1726317176268797</v>
      </c>
    </row>
    <row r="57" spans="1:20" x14ac:dyDescent="0.25">
      <c r="A57" s="5">
        <v>44536</v>
      </c>
      <c r="B57">
        <v>6.12</v>
      </c>
      <c r="C57">
        <v>6.14</v>
      </c>
      <c r="D57">
        <v>5.4210000000000003</v>
      </c>
      <c r="E57">
        <v>6.0620000000000003</v>
      </c>
      <c r="F57">
        <v>222904.3</v>
      </c>
      <c r="G57">
        <v>6.0620000000000003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0.78303198887343683</v>
      </c>
      <c r="Q57">
        <f t="shared" ref="Q57" si="261">F57*P57</f>
        <v>174541.19735744121</v>
      </c>
      <c r="R57">
        <f t="shared" ref="R57" si="262">R58+Q57</f>
        <v>-17088824.067335129</v>
      </c>
      <c r="S57">
        <f t="shared" ref="S57" si="263">R57/100000</f>
        <v>-170.88824067335128</v>
      </c>
      <c r="T57">
        <f t="shared" ref="T57" si="264">S57/1000</f>
        <v>-0.17088824067335129</v>
      </c>
    </row>
    <row r="58" spans="1:20" x14ac:dyDescent="0.25">
      <c r="A58" s="5">
        <v>44535</v>
      </c>
      <c r="B58">
        <v>6.3769999999999998</v>
      </c>
      <c r="C58">
        <v>6.6040000000000001</v>
      </c>
      <c r="D58">
        <v>5.8579999999999997</v>
      </c>
      <c r="E58">
        <v>6.1260000000000003</v>
      </c>
      <c r="F58">
        <v>258930.6</v>
      </c>
      <c r="G58">
        <v>6.1260000000000003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-0.2815013404825723</v>
      </c>
      <c r="Q58">
        <f t="shared" ref="Q58" si="266">F58*P58</f>
        <v>-72889.310991956736</v>
      </c>
      <c r="R58">
        <f t="shared" ref="R58" si="267">R59+Q58</f>
        <v>-17263365.264692571</v>
      </c>
      <c r="S58">
        <f t="shared" ref="S58" si="268">R58/100000</f>
        <v>-172.6336526469257</v>
      </c>
      <c r="T58">
        <f t="shared" ref="T58" si="269">S58/1000</f>
        <v>-0.17263365264692571</v>
      </c>
    </row>
    <row r="59" spans="1:20" x14ac:dyDescent="0.25">
      <c r="A59" s="5">
        <v>44534</v>
      </c>
      <c r="B59">
        <v>7.8079999999999998</v>
      </c>
      <c r="C59">
        <v>7.8440000000000003</v>
      </c>
      <c r="D59">
        <v>5.5549999999999997</v>
      </c>
      <c r="E59">
        <v>6.3940000000000001</v>
      </c>
      <c r="F59">
        <v>386511.3</v>
      </c>
      <c r="G59">
        <v>6.3940000000000001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-0.26692878986456953</v>
      </c>
      <c r="Q59">
        <f t="shared" ref="Q59" si="271">F59*P59</f>
        <v>-103170.99357798159</v>
      </c>
      <c r="R59">
        <f t="shared" ref="R59" si="272">R60+Q59</f>
        <v>-17190475.953700613</v>
      </c>
      <c r="S59">
        <f t="shared" ref="S59" si="273">R59/100000</f>
        <v>-171.90475953700613</v>
      </c>
      <c r="T59">
        <f t="shared" ref="T59" si="274">S59/1000</f>
        <v>-0.17190475953700612</v>
      </c>
    </row>
    <row r="60" spans="1:20" x14ac:dyDescent="0.25">
      <c r="A60" s="5">
        <v>44533</v>
      </c>
      <c r="B60">
        <v>7.9989999999999997</v>
      </c>
      <c r="C60">
        <v>8.8550000000000004</v>
      </c>
      <c r="D60">
        <v>7.56</v>
      </c>
      <c r="E60">
        <v>7.806</v>
      </c>
      <c r="F60">
        <v>481732.2</v>
      </c>
      <c r="G60">
        <v>7.806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-0.62007722007721966</v>
      </c>
      <c r="Q60">
        <f t="shared" ref="Q60" si="276">F60*P60</f>
        <v>-298711.16339768318</v>
      </c>
      <c r="R60">
        <f t="shared" ref="R60" si="277">R61+Q60</f>
        <v>-17087304.96012263</v>
      </c>
      <c r="S60">
        <f t="shared" ref="S60" si="278">R60/100000</f>
        <v>-170.87304960122631</v>
      </c>
      <c r="T60">
        <f t="shared" ref="T60" si="279">S60/1000</f>
        <v>-0.17087304960122632</v>
      </c>
    </row>
    <row r="61" spans="1:20" x14ac:dyDescent="0.25">
      <c r="A61" s="5">
        <v>44532</v>
      </c>
      <c r="B61">
        <v>7.7119999999999997</v>
      </c>
      <c r="C61">
        <v>8</v>
      </c>
      <c r="D61">
        <v>7.5</v>
      </c>
      <c r="E61">
        <v>7.9859999999999998</v>
      </c>
      <c r="F61">
        <v>212885.7</v>
      </c>
      <c r="G61">
        <v>7.9859999999999998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0.94399999999999906</v>
      </c>
      <c r="Q61">
        <f t="shared" ref="Q61" si="281">F61*P61</f>
        <v>200964.10079999981</v>
      </c>
      <c r="R61">
        <f t="shared" ref="R61" si="282">R62+Q61</f>
        <v>-16788593.796724945</v>
      </c>
      <c r="S61">
        <f t="shared" ref="S61" si="283">R61/100000</f>
        <v>-167.88593796724945</v>
      </c>
      <c r="T61">
        <f t="shared" ref="T61" si="284">S61/1000</f>
        <v>-0.16788593796724946</v>
      </c>
    </row>
    <row r="62" spans="1:20" x14ac:dyDescent="0.25">
      <c r="A62" s="5">
        <v>44531</v>
      </c>
      <c r="B62">
        <v>7.6929999999999996</v>
      </c>
      <c r="C62">
        <v>7.9550000000000001</v>
      </c>
      <c r="D62">
        <v>7.6230000000000002</v>
      </c>
      <c r="E62">
        <v>7.7119999999999997</v>
      </c>
      <c r="F62">
        <v>134519.70000000001</v>
      </c>
      <c r="G62">
        <v>7.7119999999999997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-0.46385542168674959</v>
      </c>
      <c r="Q62">
        <f t="shared" ref="Q62" si="286">F62*P62</f>
        <v>-62397.692168675057</v>
      </c>
      <c r="R62">
        <f t="shared" ref="R62" si="287">R63+Q62</f>
        <v>-16989557.897524945</v>
      </c>
      <c r="S62">
        <f t="shared" ref="S62" si="288">R62/100000</f>
        <v>-169.89557897524946</v>
      </c>
      <c r="T62">
        <f t="shared" ref="T62" si="289">S62/1000</f>
        <v>-0.16989557897524946</v>
      </c>
    </row>
    <row r="63" spans="1:20" x14ac:dyDescent="0.25">
      <c r="A63" s="5">
        <v>44530</v>
      </c>
      <c r="B63">
        <v>7.9</v>
      </c>
      <c r="C63">
        <v>7.9729999999999999</v>
      </c>
      <c r="D63">
        <v>7.5910000000000002</v>
      </c>
      <c r="E63">
        <v>7.6840000000000002</v>
      </c>
      <c r="F63">
        <v>144732.20000000001</v>
      </c>
      <c r="G63">
        <v>7.6840000000000002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-0.51308900523560186</v>
      </c>
      <c r="Q63">
        <f t="shared" ref="Q63" si="291">F63*P63</f>
        <v>-74260.500523560186</v>
      </c>
      <c r="R63">
        <f t="shared" ref="R63" si="292">R64+Q63</f>
        <v>-16927160.20535627</v>
      </c>
      <c r="S63">
        <f t="shared" ref="S63" si="293">R63/100000</f>
        <v>-169.2716020535627</v>
      </c>
      <c r="T63">
        <f t="shared" ref="T63" si="294">S63/1000</f>
        <v>-0.1692716020535627</v>
      </c>
    </row>
    <row r="64" spans="1:20" x14ac:dyDescent="0.25">
      <c r="A64" s="5">
        <v>44529</v>
      </c>
      <c r="B64">
        <v>7.7389999999999999</v>
      </c>
      <c r="C64">
        <v>8.1999999999999993</v>
      </c>
      <c r="D64">
        <v>7.6230000000000002</v>
      </c>
      <c r="E64">
        <v>7.9009999999999998</v>
      </c>
      <c r="F64">
        <v>160523.9</v>
      </c>
      <c r="G64">
        <v>7.9009999999999998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-3.6395147313691409E-2</v>
      </c>
      <c r="Q64">
        <f t="shared" ref="Q64" si="296">F64*P64</f>
        <v>-5842.2909878682685</v>
      </c>
      <c r="R64">
        <f t="shared" ref="R64" si="297">R65+Q64</f>
        <v>-16852899.70483271</v>
      </c>
      <c r="S64">
        <f t="shared" ref="S64" si="298">R64/100000</f>
        <v>-168.52899704832711</v>
      </c>
      <c r="T64">
        <f t="shared" ref="T64" si="299">S64/1000</f>
        <v>-0.16852899704832711</v>
      </c>
    </row>
    <row r="65" spans="1:20" x14ac:dyDescent="0.25">
      <c r="A65" s="5">
        <v>44528</v>
      </c>
      <c r="B65">
        <v>7.4009999999999998</v>
      </c>
      <c r="C65">
        <v>7.7679999999999998</v>
      </c>
      <c r="D65">
        <v>7.101</v>
      </c>
      <c r="E65">
        <v>7.7190000000000003</v>
      </c>
      <c r="F65">
        <v>266171.90000000002</v>
      </c>
      <c r="G65">
        <v>7.7190000000000003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0.8530734632683673</v>
      </c>
      <c r="Q65">
        <f t="shared" ref="Q65" si="301">F65*P65</f>
        <v>227064.18455772154</v>
      </c>
      <c r="R65">
        <f t="shared" ref="R65" si="302">R66+Q65</f>
        <v>-16847057.413844842</v>
      </c>
      <c r="S65">
        <f t="shared" ref="S65" si="303">R65/100000</f>
        <v>-168.47057413844843</v>
      </c>
      <c r="T65">
        <f t="shared" ref="T65" si="304">S65/1000</f>
        <v>-0.16847057413844843</v>
      </c>
    </row>
    <row r="66" spans="1:20" x14ac:dyDescent="0.25">
      <c r="A66" s="5">
        <v>44527</v>
      </c>
      <c r="B66">
        <v>7.2480000000000002</v>
      </c>
      <c r="C66">
        <v>7.5220000000000002</v>
      </c>
      <c r="D66">
        <v>7.2140000000000004</v>
      </c>
      <c r="E66">
        <v>7.3860000000000001</v>
      </c>
      <c r="F66">
        <v>119575.1</v>
      </c>
      <c r="G66">
        <v>7.3860000000000001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0.1168831168831156</v>
      </c>
      <c r="Q66">
        <f t="shared" ref="Q66" si="306">F66*P66</f>
        <v>13976.310389610237</v>
      </c>
      <c r="R66">
        <f t="shared" ref="R66" si="307">R67+Q66</f>
        <v>-17074121.598402563</v>
      </c>
      <c r="S66">
        <f t="shared" ref="S66" si="308">R66/100000</f>
        <v>-170.74121598402564</v>
      </c>
      <c r="T66">
        <f t="shared" ref="T66" si="309">S66/1000</f>
        <v>-0.17074121598402564</v>
      </c>
    </row>
    <row r="67" spans="1:20" x14ac:dyDescent="0.25">
      <c r="A67" s="5">
        <v>44526</v>
      </c>
      <c r="B67">
        <v>8.14</v>
      </c>
      <c r="C67">
        <v>8.1649999999999991</v>
      </c>
      <c r="D67">
        <v>7.1829999999999998</v>
      </c>
      <c r="E67">
        <v>7.2380000000000004</v>
      </c>
      <c r="F67">
        <v>232383.3</v>
      </c>
      <c r="G67">
        <v>7.2380000000000004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-0.88798370672097626</v>
      </c>
      <c r="Q67">
        <f t="shared" ref="Q67" si="311">F67*P67</f>
        <v>-206352.58411405265</v>
      </c>
      <c r="R67">
        <f t="shared" ref="R67" si="312">R68+Q67</f>
        <v>-17088097.908792175</v>
      </c>
      <c r="S67">
        <f t="shared" ref="S67" si="313">R67/100000</f>
        <v>-170.88097908792176</v>
      </c>
      <c r="T67">
        <f t="shared" ref="T67" si="314">S67/1000</f>
        <v>-0.17088097908792177</v>
      </c>
    </row>
    <row r="68" spans="1:20" x14ac:dyDescent="0.25">
      <c r="A68" s="5">
        <v>44525</v>
      </c>
      <c r="B68">
        <v>8.0640000000000001</v>
      </c>
      <c r="C68">
        <v>8.3870000000000005</v>
      </c>
      <c r="D68">
        <v>7.7380000000000004</v>
      </c>
      <c r="E68">
        <v>8.1379999999999999</v>
      </c>
      <c r="F68">
        <v>288834</v>
      </c>
      <c r="G68">
        <v>8.1379999999999999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0.23266563944529878</v>
      </c>
      <c r="Q68">
        <f t="shared" ref="Q68" si="316">F68*P68</f>
        <v>67201.747303543423</v>
      </c>
      <c r="R68">
        <f t="shared" ref="R68" si="317">R69+Q68</f>
        <v>-16881745.324678123</v>
      </c>
      <c r="S68">
        <f t="shared" ref="S68" si="318">R68/100000</f>
        <v>-168.81745324678124</v>
      </c>
      <c r="T68">
        <f t="shared" ref="T68" si="319">S68/1000</f>
        <v>-0.16881745324678124</v>
      </c>
    </row>
    <row r="69" spans="1:20" x14ac:dyDescent="0.25">
      <c r="A69" s="5">
        <v>44524</v>
      </c>
      <c r="B69">
        <v>7.4089999999999998</v>
      </c>
      <c r="C69">
        <v>7.4349999999999996</v>
      </c>
      <c r="D69">
        <v>7.1390000000000002</v>
      </c>
      <c r="E69">
        <v>7.2489999999999997</v>
      </c>
      <c r="F69">
        <v>67032.3</v>
      </c>
      <c r="G69">
        <v>7.2489999999999997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-0.25675675675675902</v>
      </c>
      <c r="Q69">
        <f t="shared" ref="Q69" si="321">F69*P69</f>
        <v>-17210.995945946099</v>
      </c>
      <c r="R69">
        <f t="shared" ref="R69" si="322">R70+Q69</f>
        <v>-16948947.071981665</v>
      </c>
      <c r="S69">
        <f t="shared" ref="S69" si="323">R69/100000</f>
        <v>-169.48947071981664</v>
      </c>
      <c r="T69">
        <f t="shared" ref="T69" si="324">S69/1000</f>
        <v>-0.16948947071981663</v>
      </c>
    </row>
    <row r="70" spans="1:20" x14ac:dyDescent="0.25">
      <c r="A70" s="5">
        <v>44523</v>
      </c>
      <c r="B70">
        <v>7.1970000000000001</v>
      </c>
      <c r="C70">
        <v>7.87</v>
      </c>
      <c r="D70">
        <v>7.0960000000000001</v>
      </c>
      <c r="E70">
        <v>7.4080000000000004</v>
      </c>
      <c r="F70">
        <v>346909.3</v>
      </c>
      <c r="G70">
        <v>7.4080000000000004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-0.19379844961240242</v>
      </c>
      <c r="Q70">
        <f t="shared" ref="Q70" si="326">F70*P70</f>
        <v>-67230.484496123798</v>
      </c>
      <c r="R70">
        <f t="shared" ref="R70" si="327">R71+Q70</f>
        <v>-16931736.076035719</v>
      </c>
      <c r="S70">
        <f t="shared" ref="S70" si="328">R70/100000</f>
        <v>-169.31736076035719</v>
      </c>
      <c r="T70">
        <f t="shared" ref="T70" si="329">S70/1000</f>
        <v>-0.16931736076035719</v>
      </c>
    </row>
    <row r="71" spans="1:20" x14ac:dyDescent="0.25">
      <c r="A71" s="5">
        <v>44522</v>
      </c>
      <c r="B71">
        <v>7.54</v>
      </c>
      <c r="C71">
        <v>7.6079999999999997</v>
      </c>
      <c r="D71">
        <v>7.0620000000000003</v>
      </c>
      <c r="E71">
        <v>7.1680000000000001</v>
      </c>
      <c r="F71">
        <v>459432.3</v>
      </c>
      <c r="G71">
        <v>7.1680000000000001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-0.61172161172161177</v>
      </c>
      <c r="Q71">
        <f t="shared" ref="Q71" si="331">F71*P71</f>
        <v>-281044.66703296703</v>
      </c>
      <c r="R71">
        <f t="shared" ref="R71" si="332">R72+Q71</f>
        <v>-16864505.591539595</v>
      </c>
      <c r="S71">
        <f t="shared" ref="S71" si="333">R71/100000</f>
        <v>-168.64505591539594</v>
      </c>
      <c r="T71">
        <f t="shared" ref="T71" si="334">S71/1000</f>
        <v>-0.16864505591539594</v>
      </c>
    </row>
    <row r="72" spans="1:20" x14ac:dyDescent="0.25">
      <c r="A72" s="5">
        <v>44521</v>
      </c>
      <c r="B72">
        <v>7.8890000000000002</v>
      </c>
      <c r="C72">
        <v>7.8890000000000002</v>
      </c>
      <c r="D72">
        <v>7.51</v>
      </c>
      <c r="E72">
        <v>7.54</v>
      </c>
      <c r="F72">
        <v>338950.3</v>
      </c>
      <c r="G72">
        <v>7.54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-0.84168865435356088</v>
      </c>
      <c r="Q72">
        <f t="shared" ref="Q72" si="336">F72*P72</f>
        <v>-285290.62189973576</v>
      </c>
      <c r="R72">
        <f t="shared" ref="R72" si="337">R73+Q72</f>
        <v>-16583460.924506629</v>
      </c>
      <c r="S72">
        <f t="shared" ref="S72" si="338">R72/100000</f>
        <v>-165.83460924506628</v>
      </c>
      <c r="T72">
        <f t="shared" ref="T72" si="339">S72/1000</f>
        <v>-0.16583460924506627</v>
      </c>
    </row>
    <row r="73" spans="1:20" x14ac:dyDescent="0.25">
      <c r="A73" s="5">
        <v>44520</v>
      </c>
      <c r="B73">
        <v>7.1459999999999999</v>
      </c>
      <c r="C73">
        <v>9.3439999999999994</v>
      </c>
      <c r="D73">
        <v>6.9720000000000004</v>
      </c>
      <c r="E73">
        <v>7.8819999999999997</v>
      </c>
      <c r="F73">
        <v>1038864</v>
      </c>
      <c r="G73">
        <v>7.8819999999999997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-0.23271500843170351</v>
      </c>
      <c r="Q73">
        <f t="shared" ref="Q73" si="341">F73*P73</f>
        <v>-241759.24451939322</v>
      </c>
      <c r="R73">
        <f t="shared" ref="R73" si="342">R74+Q73</f>
        <v>-16298170.302606894</v>
      </c>
      <c r="S73">
        <f t="shared" ref="S73" si="343">R73/100000</f>
        <v>-162.98170302606894</v>
      </c>
      <c r="T73">
        <f t="shared" ref="T73" si="344">S73/1000</f>
        <v>-0.16298170302606893</v>
      </c>
    </row>
    <row r="74" spans="1:20" x14ac:dyDescent="0.25">
      <c r="A74" s="5">
        <v>44519</v>
      </c>
      <c r="B74">
        <v>6.7140000000000004</v>
      </c>
      <c r="C74">
        <v>7.2679999999999998</v>
      </c>
      <c r="D74">
        <v>6.6760000000000002</v>
      </c>
      <c r="E74">
        <v>7.141</v>
      </c>
      <c r="F74">
        <v>154039.9</v>
      </c>
      <c r="G74">
        <v>7.141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0.57094594594594639</v>
      </c>
      <c r="Q74">
        <f t="shared" ref="Q74" si="346">F74*P74</f>
        <v>87948.456418918984</v>
      </c>
      <c r="R74">
        <f t="shared" ref="R74" si="347">R75+Q74</f>
        <v>-16056411.0580875</v>
      </c>
      <c r="S74">
        <f t="shared" ref="S74" si="348">R74/100000</f>
        <v>-160.564110580875</v>
      </c>
      <c r="T74">
        <f t="shared" ref="T74" si="349">S74/1000</f>
        <v>-0.160564110580875</v>
      </c>
    </row>
    <row r="75" spans="1:20" x14ac:dyDescent="0.25">
      <c r="A75" s="5">
        <v>44518</v>
      </c>
      <c r="B75">
        <v>7.4820000000000002</v>
      </c>
      <c r="C75">
        <v>7.54</v>
      </c>
      <c r="D75">
        <v>6.6660000000000004</v>
      </c>
      <c r="E75">
        <v>6.726</v>
      </c>
      <c r="F75">
        <v>249476.2</v>
      </c>
      <c r="G75">
        <v>6.726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-0.86270022883295283</v>
      </c>
      <c r="Q75">
        <f t="shared" ref="Q75" si="351">F75*P75</f>
        <v>-215223.17482837552</v>
      </c>
      <c r="R75">
        <f t="shared" ref="R75" si="352">R76+Q75</f>
        <v>-16144359.514506418</v>
      </c>
      <c r="S75">
        <f t="shared" ref="S75" si="353">R75/100000</f>
        <v>-161.44359514506419</v>
      </c>
      <c r="T75">
        <f t="shared" ref="T75" si="354">S75/1000</f>
        <v>-0.16144359514506421</v>
      </c>
    </row>
    <row r="76" spans="1:20" x14ac:dyDescent="0.25">
      <c r="A76" s="5">
        <v>44517</v>
      </c>
      <c r="B76">
        <v>7.6130000000000004</v>
      </c>
      <c r="C76">
        <v>7.6870000000000003</v>
      </c>
      <c r="D76">
        <v>7.25</v>
      </c>
      <c r="E76">
        <v>7.4740000000000002</v>
      </c>
      <c r="F76">
        <v>187316.8</v>
      </c>
      <c r="G76">
        <v>7.4740000000000002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2.5171624713959069E-2</v>
      </c>
      <c r="Q76">
        <f t="shared" ref="Q76" si="356">F76*P76</f>
        <v>4715.0681922197282</v>
      </c>
      <c r="R76">
        <f t="shared" ref="R76" si="357">R77+Q76</f>
        <v>-15929136.339678043</v>
      </c>
      <c r="S76">
        <f t="shared" ref="S76" si="358">R76/100000</f>
        <v>-159.29136339678044</v>
      </c>
      <c r="T76">
        <f t="shared" ref="T76" si="359">S76/1000</f>
        <v>-0.15929136339678043</v>
      </c>
    </row>
    <row r="77" spans="1:20" x14ac:dyDescent="0.25">
      <c r="A77" s="5">
        <v>44516</v>
      </c>
      <c r="B77">
        <v>8.266</v>
      </c>
      <c r="C77">
        <v>8.3620000000000001</v>
      </c>
      <c r="D77">
        <v>7.4180000000000001</v>
      </c>
      <c r="E77">
        <v>7.6239999999999997</v>
      </c>
      <c r="F77">
        <v>275275.2</v>
      </c>
      <c r="G77">
        <v>7.6239999999999997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-0.56355932203389936</v>
      </c>
      <c r="Q77">
        <f t="shared" ref="Q77" si="361">F77*P77</f>
        <v>-155133.90508474605</v>
      </c>
      <c r="R77">
        <f t="shared" ref="R77" si="362">R78+Q77</f>
        <v>-15933851.407870263</v>
      </c>
      <c r="S77">
        <f t="shared" ref="S77" si="363">R77/100000</f>
        <v>-159.33851407870262</v>
      </c>
      <c r="T77">
        <f t="shared" ref="T77" si="364">S77/1000</f>
        <v>-0.15933851407870261</v>
      </c>
    </row>
    <row r="78" spans="1:20" x14ac:dyDescent="0.25">
      <c r="A78" s="5">
        <v>44515</v>
      </c>
      <c r="B78">
        <v>8.4179999999999993</v>
      </c>
      <c r="C78">
        <v>8.5890000000000004</v>
      </c>
      <c r="D78">
        <v>8.1509999999999998</v>
      </c>
      <c r="E78">
        <v>8.266</v>
      </c>
      <c r="F78">
        <v>152797.5</v>
      </c>
      <c r="G78">
        <v>8.266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-0.4748858447488582</v>
      </c>
      <c r="Q78">
        <f t="shared" ref="Q78" si="366">F78*P78</f>
        <v>-72561.369863013664</v>
      </c>
      <c r="R78">
        <f t="shared" ref="R78" si="367">R79+Q78</f>
        <v>-15778717.502785517</v>
      </c>
      <c r="S78">
        <f t="shared" ref="S78" si="368">R78/100000</f>
        <v>-157.78717502785517</v>
      </c>
      <c r="T78">
        <f t="shared" ref="T78" si="369">S78/1000</f>
        <v>-0.15778717502785516</v>
      </c>
    </row>
    <row r="79" spans="1:20" x14ac:dyDescent="0.25">
      <c r="A79" s="5">
        <v>44514</v>
      </c>
      <c r="B79">
        <v>8.7200000000000006</v>
      </c>
      <c r="C79">
        <v>8.9619999999999997</v>
      </c>
      <c r="D79">
        <v>8.2579999999999991</v>
      </c>
      <c r="E79">
        <v>8.4149999999999991</v>
      </c>
      <c r="F79">
        <v>252132.5</v>
      </c>
      <c r="G79">
        <v>8.4149999999999991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-0.55397727272727304</v>
      </c>
      <c r="Q79">
        <f t="shared" ref="Q79" si="371">F79*P79</f>
        <v>-139675.67471590918</v>
      </c>
      <c r="R79">
        <f t="shared" ref="R79" si="372">R80+Q79</f>
        <v>-15706156.132922504</v>
      </c>
      <c r="S79">
        <f t="shared" ref="S79" si="373">R79/100000</f>
        <v>-157.06156132922504</v>
      </c>
      <c r="T79">
        <f t="shared" ref="T79" si="374">S79/1000</f>
        <v>-0.15706156132922505</v>
      </c>
    </row>
    <row r="80" spans="1:20" x14ac:dyDescent="0.25">
      <c r="A80" s="5">
        <v>44513</v>
      </c>
      <c r="B80">
        <v>8.57</v>
      </c>
      <c r="C80">
        <v>8.7460000000000004</v>
      </c>
      <c r="D80">
        <v>8.4779999999999998</v>
      </c>
      <c r="E80">
        <v>8.7200000000000006</v>
      </c>
      <c r="F80">
        <v>139903.9</v>
      </c>
      <c r="G80">
        <v>8.7200000000000006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0.80597014925373334</v>
      </c>
      <c r="Q80">
        <f t="shared" ref="Q80" si="376">F80*P80</f>
        <v>112758.36716417938</v>
      </c>
      <c r="R80">
        <f t="shared" ref="R80" si="377">R81+Q80</f>
        <v>-15566480.458206596</v>
      </c>
      <c r="S80">
        <f t="shared" ref="S80" si="378">R80/100000</f>
        <v>-155.66480458206595</v>
      </c>
      <c r="T80">
        <f t="shared" ref="T80" si="379">S80/1000</f>
        <v>-0.15566480458206594</v>
      </c>
    </row>
    <row r="81" spans="1:20" x14ac:dyDescent="0.25">
      <c r="A81" s="5">
        <v>44512</v>
      </c>
      <c r="B81">
        <v>8.4410000000000007</v>
      </c>
      <c r="C81">
        <v>9</v>
      </c>
      <c r="D81">
        <v>8.16</v>
      </c>
      <c r="E81">
        <v>8.5530000000000008</v>
      </c>
      <c r="F81">
        <v>408384.8</v>
      </c>
      <c r="G81">
        <v>8.5530000000000008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-6.4285714285712503E-2</v>
      </c>
      <c r="Q81">
        <f t="shared" ref="Q81" si="381">F81*P81</f>
        <v>-26253.308571427842</v>
      </c>
      <c r="R81">
        <f t="shared" ref="R81" si="382">R82+Q81</f>
        <v>-15679238.825370776</v>
      </c>
      <c r="S81">
        <f t="shared" ref="S81" si="383">R81/100000</f>
        <v>-156.79238825370774</v>
      </c>
      <c r="T81">
        <f t="shared" ref="T81" si="384">S81/1000</f>
        <v>-0.15679238825370775</v>
      </c>
    </row>
    <row r="82" spans="1:20" x14ac:dyDescent="0.25">
      <c r="A82" s="5">
        <v>44511</v>
      </c>
      <c r="B82">
        <v>8.4019999999999992</v>
      </c>
      <c r="C82">
        <v>8.7200000000000006</v>
      </c>
      <c r="D82">
        <v>8.2989999999999995</v>
      </c>
      <c r="E82">
        <v>8.44</v>
      </c>
      <c r="F82">
        <v>162840.29999999999</v>
      </c>
      <c r="G82">
        <v>8.44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-0.33016627078384975</v>
      </c>
      <c r="Q82">
        <f t="shared" ref="Q82" si="386">F82*P82</f>
        <v>-53764.374584323326</v>
      </c>
      <c r="R82">
        <f t="shared" ref="R82" si="387">R83+Q82</f>
        <v>-15652985.516799347</v>
      </c>
      <c r="S82">
        <f t="shared" ref="S82" si="388">R82/100000</f>
        <v>-156.52985516799347</v>
      </c>
      <c r="T82">
        <f t="shared" ref="T82" si="389">S82/1000</f>
        <v>-0.15652985516799348</v>
      </c>
    </row>
    <row r="83" spans="1:20" x14ac:dyDescent="0.25">
      <c r="A83" s="5">
        <v>44510</v>
      </c>
      <c r="B83">
        <v>8.6170000000000009</v>
      </c>
      <c r="C83">
        <v>9.6</v>
      </c>
      <c r="D83">
        <v>8.0150000000000006</v>
      </c>
      <c r="E83">
        <v>8.4049999999999994</v>
      </c>
      <c r="F83">
        <v>476329.7</v>
      </c>
      <c r="G83">
        <v>8.4049999999999994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-0.50788643533123157</v>
      </c>
      <c r="Q83">
        <f t="shared" ref="Q83" si="391">F83*P83</f>
        <v>-241921.39337539495</v>
      </c>
      <c r="R83">
        <f t="shared" ref="R83" si="392">R84+Q83</f>
        <v>-15599221.142215025</v>
      </c>
      <c r="S83">
        <f t="shared" ref="S83" si="393">R83/100000</f>
        <v>-155.99221142215023</v>
      </c>
      <c r="T83">
        <f t="shared" ref="T83" si="394">S83/1000</f>
        <v>-0.15599221142215022</v>
      </c>
    </row>
    <row r="84" spans="1:20" x14ac:dyDescent="0.25">
      <c r="A84" s="5">
        <v>44509</v>
      </c>
      <c r="B84">
        <v>8.6760000000000002</v>
      </c>
      <c r="C84">
        <v>8.9</v>
      </c>
      <c r="D84">
        <v>8.4290000000000003</v>
      </c>
      <c r="E84">
        <v>8.6129999999999995</v>
      </c>
      <c r="F84">
        <v>249677.3</v>
      </c>
      <c r="G84">
        <v>8.6129999999999995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-0.21868365180467414</v>
      </c>
      <c r="Q84">
        <f t="shared" ref="Q84" si="396">F84*P84</f>
        <v>-54600.343736731164</v>
      </c>
      <c r="R84">
        <f t="shared" ref="R84" si="397">R85+Q84</f>
        <v>-15357299.74883963</v>
      </c>
      <c r="S84">
        <f t="shared" ref="S84" si="398">R84/100000</f>
        <v>-153.57299748839631</v>
      </c>
      <c r="T84">
        <f t="shared" ref="T84" si="399">S84/1000</f>
        <v>-0.15357299748839631</v>
      </c>
    </row>
    <row r="85" spans="1:20" x14ac:dyDescent="0.25">
      <c r="A85" s="5">
        <v>44508</v>
      </c>
      <c r="B85">
        <v>8.57</v>
      </c>
      <c r="C85">
        <v>8.9090000000000007</v>
      </c>
      <c r="D85">
        <v>8.4600000000000009</v>
      </c>
      <c r="E85">
        <v>8.6760000000000002</v>
      </c>
      <c r="F85">
        <v>242997.1</v>
      </c>
      <c r="G85">
        <v>8.6760000000000002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-3.7861915367486065E-2</v>
      </c>
      <c r="Q85">
        <f t="shared" ref="Q85" si="401">F85*P85</f>
        <v>-9200.3356347445479</v>
      </c>
      <c r="R85">
        <f t="shared" ref="R85" si="402">R86+Q85</f>
        <v>-15302699.405102899</v>
      </c>
      <c r="S85">
        <f t="shared" ref="S85" si="403">R85/100000</f>
        <v>-153.02699405102899</v>
      </c>
      <c r="T85">
        <f t="shared" ref="T85" si="404">S85/1000</f>
        <v>-0.15302699405102899</v>
      </c>
    </row>
    <row r="86" spans="1:20" x14ac:dyDescent="0.25">
      <c r="A86" s="5">
        <v>44507</v>
      </c>
      <c r="B86">
        <v>8.4410000000000007</v>
      </c>
      <c r="C86">
        <v>8.6709999999999994</v>
      </c>
      <c r="D86">
        <v>8.3209999999999997</v>
      </c>
      <c r="E86">
        <v>8.5609999999999999</v>
      </c>
      <c r="F86">
        <v>146977.60000000001</v>
      </c>
      <c r="G86">
        <v>8.5609999999999999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0.37142857142857405</v>
      </c>
      <c r="Q86">
        <f t="shared" ref="Q86" si="406">F86*P86</f>
        <v>54591.680000000386</v>
      </c>
      <c r="R86">
        <f t="shared" ref="R86" si="407">R87+Q86</f>
        <v>-15293499.069468156</v>
      </c>
      <c r="S86">
        <f t="shared" ref="S86" si="408">R86/100000</f>
        <v>-152.93499069468155</v>
      </c>
      <c r="T86">
        <f t="shared" ref="T86" si="409">S86/1000</f>
        <v>-0.15293499069468156</v>
      </c>
    </row>
    <row r="87" spans="1:20" x14ac:dyDescent="0.25">
      <c r="A87" s="5">
        <v>44506</v>
      </c>
      <c r="B87">
        <v>8.5350000000000001</v>
      </c>
      <c r="C87">
        <v>8.7110000000000003</v>
      </c>
      <c r="D87">
        <v>8.2210000000000001</v>
      </c>
      <c r="E87">
        <v>8.4380000000000006</v>
      </c>
      <c r="F87">
        <v>151178</v>
      </c>
      <c r="G87">
        <v>8.4380000000000006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-0.11428571428571252</v>
      </c>
      <c r="Q87">
        <f t="shared" ref="Q87" si="411">F87*P87</f>
        <v>-17277.485714285449</v>
      </c>
      <c r="R87">
        <f t="shared" ref="R87" si="412">R88+Q87</f>
        <v>-15348090.749468155</v>
      </c>
      <c r="S87">
        <f t="shared" ref="S87" si="413">R87/100000</f>
        <v>-153.48090749468156</v>
      </c>
      <c r="T87">
        <f t="shared" ref="T87" si="414">S87/1000</f>
        <v>-0.15348090749468157</v>
      </c>
    </row>
    <row r="88" spans="1:20" x14ac:dyDescent="0.25">
      <c r="A88" s="5">
        <v>44505</v>
      </c>
      <c r="B88">
        <v>8.8000000000000007</v>
      </c>
      <c r="C88">
        <v>8.8170000000000002</v>
      </c>
      <c r="D88">
        <v>8.4949999999999992</v>
      </c>
      <c r="E88">
        <v>8.5449999999999999</v>
      </c>
      <c r="F88">
        <v>208745.60000000001</v>
      </c>
      <c r="G88">
        <v>8.5449999999999999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-0.6894409937888164</v>
      </c>
      <c r="Q88">
        <f t="shared" ref="Q88" si="416">F88*P88</f>
        <v>-143917.77391304277</v>
      </c>
      <c r="R88">
        <f t="shared" ref="R88" si="417">R89+Q88</f>
        <v>-15330813.263753871</v>
      </c>
      <c r="S88">
        <f t="shared" ref="S88" si="418">R88/100000</f>
        <v>-153.30813263753871</v>
      </c>
      <c r="T88">
        <f t="shared" ref="T88" si="419">S88/1000</f>
        <v>-0.1533081326375387</v>
      </c>
    </row>
    <row r="89" spans="1:20" x14ac:dyDescent="0.25">
      <c r="A89" s="5">
        <v>44504</v>
      </c>
      <c r="B89">
        <v>8.9250000000000007</v>
      </c>
      <c r="C89">
        <v>9.7690000000000001</v>
      </c>
      <c r="D89">
        <v>8.66</v>
      </c>
      <c r="E89">
        <v>8.8000000000000007</v>
      </c>
      <c r="F89">
        <v>627610.9</v>
      </c>
      <c r="G89">
        <v>8.8000000000000007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-0.7475202885482406</v>
      </c>
      <c r="Q89">
        <f t="shared" ref="Q89" si="421">F89*P89</f>
        <v>-469151.88106402097</v>
      </c>
      <c r="R89">
        <f t="shared" ref="R89" si="422">R90+Q89</f>
        <v>-15186895.489840828</v>
      </c>
      <c r="S89">
        <f t="shared" ref="S89" si="423">R89/100000</f>
        <v>-151.86895489840828</v>
      </c>
      <c r="T89">
        <f t="shared" ref="T89" si="424">S89/1000</f>
        <v>-0.15186895489840826</v>
      </c>
    </row>
    <row r="90" spans="1:20" x14ac:dyDescent="0.25">
      <c r="A90" s="5">
        <v>44503</v>
      </c>
      <c r="B90">
        <v>8.4480000000000004</v>
      </c>
      <c r="C90">
        <v>9.8719999999999999</v>
      </c>
      <c r="D90">
        <v>8.1999999999999993</v>
      </c>
      <c r="E90">
        <v>8.9250000000000007</v>
      </c>
      <c r="F90">
        <v>809146.1</v>
      </c>
      <c r="G90">
        <v>8.9250000000000007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-0.13277511961722349</v>
      </c>
      <c r="Q90">
        <f t="shared" ref="Q90" si="426">F90*P90</f>
        <v>-107434.47021530988</v>
      </c>
      <c r="R90">
        <f t="shared" ref="R90" si="427">R91+Q90</f>
        <v>-14717743.608776808</v>
      </c>
      <c r="S90">
        <f t="shared" ref="S90" si="428">R90/100000</f>
        <v>-147.17743608776809</v>
      </c>
      <c r="T90">
        <f t="shared" ref="T90" si="429">S90/1000</f>
        <v>-0.14717743608776809</v>
      </c>
    </row>
    <row r="91" spans="1:20" x14ac:dyDescent="0.25">
      <c r="A91" s="5">
        <v>44502</v>
      </c>
      <c r="B91">
        <v>8.4469999999999992</v>
      </c>
      <c r="C91">
        <v>8.5299999999999994</v>
      </c>
      <c r="D91">
        <v>8.2870000000000008</v>
      </c>
      <c r="E91">
        <v>8.4489999999999998</v>
      </c>
      <c r="F91">
        <v>201587.7</v>
      </c>
      <c r="G91">
        <v>8.4489999999999998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0.33333333333333331</v>
      </c>
      <c r="Q91">
        <f t="shared" ref="Q91" si="431">F91*P91</f>
        <v>67195.899999999994</v>
      </c>
      <c r="R91">
        <f t="shared" ref="R91" si="432">R92+Q91</f>
        <v>-14610309.138561498</v>
      </c>
      <c r="S91">
        <f t="shared" ref="S91" si="433">R91/100000</f>
        <v>-146.10309138561499</v>
      </c>
      <c r="T91">
        <f t="shared" ref="T91" si="434">S91/1000</f>
        <v>-0.14610309138561497</v>
      </c>
    </row>
    <row r="92" spans="1:20" x14ac:dyDescent="0.25">
      <c r="A92" s="5">
        <v>44501</v>
      </c>
      <c r="B92">
        <v>8.48</v>
      </c>
      <c r="C92">
        <v>8.5389999999999997</v>
      </c>
      <c r="D92">
        <v>8.18</v>
      </c>
      <c r="E92">
        <v>8.4469999999999992</v>
      </c>
      <c r="F92">
        <v>293614.09999999998</v>
      </c>
      <c r="G92">
        <v>8.4469999999999992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0.48746518105849285</v>
      </c>
      <c r="Q92">
        <f t="shared" ref="Q92" si="436">F92*P92</f>
        <v>143126.6504178264</v>
      </c>
      <c r="R92">
        <f t="shared" ref="R92" si="437">R93+Q92</f>
        <v>-14677505.038561499</v>
      </c>
      <c r="S92">
        <f t="shared" ref="S92" si="438">R92/100000</f>
        <v>-146.77505038561497</v>
      </c>
      <c r="T92">
        <f t="shared" ref="T92" si="439">S92/1000</f>
        <v>-0.14677505038561497</v>
      </c>
    </row>
    <row r="93" spans="1:20" x14ac:dyDescent="0.25">
      <c r="A93" s="5">
        <v>44500</v>
      </c>
      <c r="B93">
        <v>8.1120000000000001</v>
      </c>
      <c r="C93">
        <v>8.6989999999999998</v>
      </c>
      <c r="D93">
        <v>8.0530000000000008</v>
      </c>
      <c r="E93">
        <v>8.49</v>
      </c>
      <c r="F93">
        <v>365856.1</v>
      </c>
      <c r="G93">
        <v>8.49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0.35294117647058842</v>
      </c>
      <c r="Q93">
        <f t="shared" ref="Q93" si="441">F93*P93</f>
        <v>129125.68235294124</v>
      </c>
      <c r="R93">
        <f t="shared" ref="R93" si="442">R94+Q93</f>
        <v>-14820631.688979326</v>
      </c>
      <c r="S93">
        <f t="shared" ref="S93" si="443">R93/100000</f>
        <v>-148.20631688979327</v>
      </c>
      <c r="T93">
        <f t="shared" ref="T93" si="444">S93/1000</f>
        <v>-0.14820631688979327</v>
      </c>
    </row>
    <row r="94" spans="1:20" x14ac:dyDescent="0.25">
      <c r="A94" s="5">
        <v>44499</v>
      </c>
      <c r="B94">
        <v>8.5220000000000002</v>
      </c>
      <c r="C94">
        <v>8.5609999999999999</v>
      </c>
      <c r="D94">
        <v>8.01</v>
      </c>
      <c r="E94">
        <v>8.1150000000000002</v>
      </c>
      <c r="F94">
        <v>216188.5</v>
      </c>
      <c r="G94">
        <v>8.1150000000000002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-0.61887477313974448</v>
      </c>
      <c r="Q94">
        <f t="shared" ref="Q94" si="446">F94*P94</f>
        <v>-133793.60889292165</v>
      </c>
      <c r="R94">
        <f t="shared" ref="R94" si="447">R95+Q94</f>
        <v>-14949757.371332267</v>
      </c>
      <c r="S94">
        <f t="shared" ref="S94" si="448">R94/100000</f>
        <v>-149.49757371332268</v>
      </c>
      <c r="T94">
        <f t="shared" ref="T94" si="449">S94/1000</f>
        <v>-0.14949757371332267</v>
      </c>
    </row>
    <row r="95" spans="1:20" x14ac:dyDescent="0.25">
      <c r="A95" s="5">
        <v>44498</v>
      </c>
      <c r="B95">
        <v>8.3290000000000006</v>
      </c>
      <c r="C95">
        <v>8.75</v>
      </c>
      <c r="D95">
        <v>8.2799999999999994</v>
      </c>
      <c r="E95">
        <v>8.5180000000000007</v>
      </c>
      <c r="F95">
        <v>246940.1</v>
      </c>
      <c r="G95">
        <v>8.5180000000000007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1.2765957446812757E-2</v>
      </c>
      <c r="Q95">
        <f t="shared" ref="Q95" si="451">F95*P95</f>
        <v>3152.4268085116869</v>
      </c>
      <c r="R95">
        <f t="shared" ref="R95" si="452">R96+Q95</f>
        <v>-14815963.762439346</v>
      </c>
      <c r="S95">
        <f t="shared" ref="S95" si="453">R95/100000</f>
        <v>-148.15963762439347</v>
      </c>
      <c r="T95">
        <f t="shared" ref="T95" si="454">S95/1000</f>
        <v>-0.14815963762439346</v>
      </c>
    </row>
    <row r="96" spans="1:20" x14ac:dyDescent="0.25">
      <c r="A96" s="5">
        <v>44497</v>
      </c>
      <c r="B96">
        <v>8.5559999999999992</v>
      </c>
      <c r="C96">
        <v>8.8989999999999991</v>
      </c>
      <c r="D96">
        <v>8.1170000000000009</v>
      </c>
      <c r="E96">
        <v>8.3290000000000006</v>
      </c>
      <c r="F96">
        <v>417343.4</v>
      </c>
      <c r="G96">
        <v>8.3290000000000006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-0.45780051150895085</v>
      </c>
      <c r="Q96">
        <f t="shared" ref="Q96" si="456">F96*P96</f>
        <v>-191060.02199488468</v>
      </c>
      <c r="R96">
        <f t="shared" ref="R96" si="457">R97+Q96</f>
        <v>-14819116.189247858</v>
      </c>
      <c r="S96">
        <f t="shared" ref="S96" si="458">R96/100000</f>
        <v>-148.19116189247859</v>
      </c>
      <c r="T96">
        <f t="shared" ref="T96" si="459">S96/1000</f>
        <v>-0.14819116189247858</v>
      </c>
    </row>
    <row r="97" spans="1:20" x14ac:dyDescent="0.25">
      <c r="A97" s="5">
        <v>44496</v>
      </c>
      <c r="B97">
        <v>9.1620000000000008</v>
      </c>
      <c r="C97">
        <v>9.2929999999999993</v>
      </c>
      <c r="D97">
        <v>8.0109999999999992</v>
      </c>
      <c r="E97">
        <v>8.5530000000000008</v>
      </c>
      <c r="F97">
        <v>431854.1</v>
      </c>
      <c r="G97">
        <v>8.5530000000000008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-0.15444617784711143</v>
      </c>
      <c r="Q97">
        <f t="shared" ref="Q97" si="461">F97*P97</f>
        <v>-66698.215132604237</v>
      </c>
      <c r="R97">
        <f t="shared" ref="R97" si="462">R98+Q97</f>
        <v>-14628056.167252973</v>
      </c>
      <c r="S97">
        <f t="shared" ref="S97" si="463">R97/100000</f>
        <v>-146.28056167252973</v>
      </c>
      <c r="T97">
        <f t="shared" ref="T97" si="464">S97/1000</f>
        <v>-0.14628056167252973</v>
      </c>
    </row>
    <row r="98" spans="1:20" x14ac:dyDescent="0.25">
      <c r="A98" s="5">
        <v>44495</v>
      </c>
      <c r="B98">
        <v>9.67</v>
      </c>
      <c r="C98">
        <v>9.7040000000000006</v>
      </c>
      <c r="D98">
        <v>9.0690000000000008</v>
      </c>
      <c r="E98">
        <v>9.1560000000000006</v>
      </c>
      <c r="F98">
        <v>460366.5</v>
      </c>
      <c r="G98">
        <v>9.1560000000000006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-0.72598425196850469</v>
      </c>
      <c r="Q98">
        <f t="shared" ref="Q98" si="466">F98*P98</f>
        <v>-334218.82913385861</v>
      </c>
      <c r="R98">
        <f t="shared" ref="R98" si="467">R99+Q98</f>
        <v>-14561357.952120369</v>
      </c>
      <c r="S98">
        <f t="shared" ref="S98" si="468">R98/100000</f>
        <v>-145.61357952120369</v>
      </c>
      <c r="T98">
        <f t="shared" ref="T98" si="469">S98/1000</f>
        <v>-0.14561357952120368</v>
      </c>
    </row>
    <row r="99" spans="1:20" x14ac:dyDescent="0.25">
      <c r="A99" s="5">
        <v>44494</v>
      </c>
      <c r="B99">
        <v>8.9730000000000008</v>
      </c>
      <c r="C99">
        <v>10.268000000000001</v>
      </c>
      <c r="D99">
        <v>8.9359999999999999</v>
      </c>
      <c r="E99">
        <v>9.67</v>
      </c>
      <c r="F99">
        <v>893725</v>
      </c>
      <c r="G99">
        <v>9.67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0.10210210210210147</v>
      </c>
      <c r="Q99">
        <f t="shared" ref="Q99" si="471">F99*P99</f>
        <v>91251.201201200631</v>
      </c>
      <c r="R99">
        <f t="shared" ref="R99" si="472">R100+Q99</f>
        <v>-14227139.12298651</v>
      </c>
      <c r="S99">
        <f t="shared" ref="S99" si="473">R99/100000</f>
        <v>-142.27139122986512</v>
      </c>
      <c r="T99">
        <f t="shared" ref="T99" si="474">S99/1000</f>
        <v>-0.14227139122986512</v>
      </c>
    </row>
    <row r="100" spans="1:20" x14ac:dyDescent="0.25">
      <c r="A100" s="5">
        <v>44493</v>
      </c>
      <c r="B100">
        <v>9.5060000000000002</v>
      </c>
      <c r="C100">
        <v>9.59</v>
      </c>
      <c r="D100">
        <v>8.8209999999999997</v>
      </c>
      <c r="E100">
        <v>8.9730000000000008</v>
      </c>
      <c r="F100">
        <v>836126.2</v>
      </c>
      <c r="G100">
        <v>8.9730000000000008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-0.60468140442132379</v>
      </c>
      <c r="Q100">
        <f t="shared" ref="Q100" si="476">F100*P100</f>
        <v>-505589.96488946461</v>
      </c>
      <c r="R100">
        <f t="shared" ref="R100" si="477">R101+Q100</f>
        <v>-14318390.324187711</v>
      </c>
      <c r="S100">
        <f t="shared" ref="S100" si="478">R100/100000</f>
        <v>-143.18390324187712</v>
      </c>
      <c r="T100">
        <f t="shared" ref="T100" si="479">S100/1000</f>
        <v>-0.14318390324187713</v>
      </c>
    </row>
    <row r="101" spans="1:20" x14ac:dyDescent="0.25">
      <c r="A101" s="5">
        <v>44492</v>
      </c>
      <c r="B101">
        <v>8.2159999999999993</v>
      </c>
      <c r="C101">
        <v>10.914999999999999</v>
      </c>
      <c r="D101">
        <v>8.16</v>
      </c>
      <c r="E101">
        <v>9.5050000000000008</v>
      </c>
      <c r="F101">
        <v>2717770.4</v>
      </c>
      <c r="G101">
        <v>9.5050000000000008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-2.3593466424681579E-2</v>
      </c>
      <c r="Q101">
        <f t="shared" ref="Q101" si="481">F101*P101</f>
        <v>-64121.62468239342</v>
      </c>
      <c r="R101">
        <f t="shared" ref="R101" si="482">R102+Q101</f>
        <v>-13812800.359298246</v>
      </c>
      <c r="S101">
        <f t="shared" ref="S101" si="483">R101/100000</f>
        <v>-138.12800359298245</v>
      </c>
      <c r="T101">
        <f t="shared" ref="T101" si="484">S101/1000</f>
        <v>-0.13812800359298244</v>
      </c>
    </row>
    <row r="102" spans="1:20" x14ac:dyDescent="0.25">
      <c r="A102" s="5">
        <v>44491</v>
      </c>
      <c r="B102">
        <v>9.2070000000000007</v>
      </c>
      <c r="C102">
        <v>9.2270000000000003</v>
      </c>
      <c r="D102">
        <v>8.0839999999999996</v>
      </c>
      <c r="E102">
        <v>8.2010000000000005</v>
      </c>
      <c r="F102">
        <v>1071686.7</v>
      </c>
      <c r="G102">
        <v>8.2010000000000005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-0.79527559055117969</v>
      </c>
      <c r="Q102">
        <f t="shared" ref="Q102" si="486">F102*P102</f>
        <v>-852286.27322834486</v>
      </c>
      <c r="R102">
        <f t="shared" ref="R102" si="487">R103+Q102</f>
        <v>-13748678.734615853</v>
      </c>
      <c r="S102">
        <f t="shared" ref="S102" si="488">R102/100000</f>
        <v>-137.48678734615854</v>
      </c>
      <c r="T102">
        <f t="shared" ref="T102" si="489">S102/1000</f>
        <v>-0.13748678734615855</v>
      </c>
    </row>
    <row r="103" spans="1:20" x14ac:dyDescent="0.25">
      <c r="A103" s="5">
        <v>44490</v>
      </c>
      <c r="B103">
        <v>7.7549999999999999</v>
      </c>
      <c r="C103">
        <v>12.295999999999999</v>
      </c>
      <c r="D103">
        <v>7.5259999999999998</v>
      </c>
      <c r="E103">
        <v>9.1980000000000004</v>
      </c>
      <c r="F103">
        <v>7553766.5240000002</v>
      </c>
      <c r="G103">
        <v>9.1980000000000004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-0.29895178197064959</v>
      </c>
      <c r="Q103">
        <f t="shared" ref="Q103" si="491">F103*P103</f>
        <v>-2258211.9629400396</v>
      </c>
      <c r="R103">
        <f t="shared" ref="R103" si="492">R104+Q103</f>
        <v>-12896392.461387508</v>
      </c>
      <c r="S103">
        <f t="shared" ref="S103" si="493">R103/100000</f>
        <v>-128.96392461387507</v>
      </c>
      <c r="T103">
        <f t="shared" ref="T103" si="494">S103/1000</f>
        <v>-0.12896392461387507</v>
      </c>
    </row>
    <row r="104" spans="1:20" x14ac:dyDescent="0.25">
      <c r="A104" s="5">
        <v>44489</v>
      </c>
      <c r="B104">
        <v>7.0529999999999999</v>
      </c>
      <c r="C104">
        <v>8</v>
      </c>
      <c r="D104">
        <v>6.8330000000000002</v>
      </c>
      <c r="E104">
        <v>7.7569999999999997</v>
      </c>
      <c r="F104">
        <v>342111.6</v>
      </c>
      <c r="G104">
        <v>7.7569999999999997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0.58354755784061629</v>
      </c>
      <c r="Q104">
        <f t="shared" ref="Q104" si="496">F104*P104</f>
        <v>199638.38868894576</v>
      </c>
      <c r="R104">
        <f t="shared" ref="R104" si="497">R105+Q104</f>
        <v>-10638180.498447469</v>
      </c>
      <c r="S104">
        <f t="shared" ref="S104" si="498">R104/100000</f>
        <v>-106.38180498447468</v>
      </c>
      <c r="T104">
        <f t="shared" ref="T104" si="499">S104/1000</f>
        <v>-0.10638180498447468</v>
      </c>
    </row>
    <row r="105" spans="1:20" x14ac:dyDescent="0.25">
      <c r="A105" s="5">
        <v>44488</v>
      </c>
      <c r="B105">
        <v>7.2370000000000001</v>
      </c>
      <c r="C105">
        <v>7.3040000000000003</v>
      </c>
      <c r="D105">
        <v>6.8</v>
      </c>
      <c r="E105">
        <v>7.0469999999999997</v>
      </c>
      <c r="F105">
        <v>152118</v>
      </c>
      <c r="G105">
        <v>7.0469999999999997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-1.9841269841271162E-2</v>
      </c>
      <c r="Q105">
        <f t="shared" ref="Q105" si="501">F105*P105</f>
        <v>-3018.2142857144868</v>
      </c>
      <c r="R105">
        <f t="shared" ref="R105" si="502">R106+Q105</f>
        <v>-10837818.887136415</v>
      </c>
      <c r="S105">
        <f t="shared" ref="S105" si="503">R105/100000</f>
        <v>-108.37818887136415</v>
      </c>
      <c r="T105">
        <f t="shared" ref="T105" si="504">S105/1000</f>
        <v>-0.10837818887136415</v>
      </c>
    </row>
    <row r="106" spans="1:20" x14ac:dyDescent="0.25">
      <c r="A106" s="5">
        <v>44487</v>
      </c>
      <c r="B106">
        <v>7.3380000000000001</v>
      </c>
      <c r="C106">
        <v>7.74</v>
      </c>
      <c r="D106">
        <v>7.1109999999999998</v>
      </c>
      <c r="E106">
        <v>7.2380000000000004</v>
      </c>
      <c r="F106">
        <v>543192</v>
      </c>
      <c r="G106">
        <v>7.2380000000000004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-0.59618441971382963</v>
      </c>
      <c r="Q106">
        <f t="shared" ref="Q106" si="506">F106*P106</f>
        <v>-323842.60731319454</v>
      </c>
      <c r="R106">
        <f t="shared" ref="R106" si="507">R107+Q106</f>
        <v>-10834800.6728507</v>
      </c>
      <c r="S106">
        <f t="shared" ref="S106" si="508">R106/100000</f>
        <v>-108.348006728507</v>
      </c>
      <c r="T106">
        <f t="shared" ref="T106" si="509">S106/1000</f>
        <v>-0.108348006728507</v>
      </c>
    </row>
    <row r="107" spans="1:20" x14ac:dyDescent="0.25">
      <c r="A107" s="5">
        <v>44486</v>
      </c>
      <c r="B107">
        <v>7.399</v>
      </c>
      <c r="C107">
        <v>7.657</v>
      </c>
      <c r="D107">
        <v>7.0250000000000004</v>
      </c>
      <c r="E107">
        <v>7.3150000000000004</v>
      </c>
      <c r="F107">
        <v>477988.1</v>
      </c>
      <c r="G107">
        <v>7.3150000000000004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-8.2278481012657639E-2</v>
      </c>
      <c r="Q107">
        <f t="shared" ref="Q107" si="511">F107*P107</f>
        <v>-39328.134810126299</v>
      </c>
      <c r="R107">
        <f t="shared" ref="R107" si="512">R108+Q107</f>
        <v>-10510958.065537505</v>
      </c>
      <c r="S107">
        <f t="shared" ref="S107" si="513">R107/100000</f>
        <v>-105.10958065537505</v>
      </c>
      <c r="T107">
        <f t="shared" ref="T107" si="514">S107/1000</f>
        <v>-0.10510958065537505</v>
      </c>
    </row>
    <row r="108" spans="1:20" x14ac:dyDescent="0.25">
      <c r="A108" s="5">
        <v>44485</v>
      </c>
      <c r="B108">
        <v>7.4390000000000001</v>
      </c>
      <c r="C108">
        <v>7.577</v>
      </c>
      <c r="D108">
        <v>7.2</v>
      </c>
      <c r="E108">
        <v>7.4009999999999998</v>
      </c>
      <c r="F108">
        <v>151663.6</v>
      </c>
      <c r="G108">
        <v>7.4009999999999998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6.6312997347478725E-2</v>
      </c>
      <c r="Q108">
        <f t="shared" ref="Q108" si="516">F108*P108</f>
        <v>10057.267904509075</v>
      </c>
      <c r="R108">
        <f t="shared" ref="R108" si="517">R109+Q108</f>
        <v>-10471629.930727379</v>
      </c>
      <c r="S108">
        <f t="shared" ref="S108" si="518">R108/100000</f>
        <v>-104.7162993072738</v>
      </c>
      <c r="T108">
        <f t="shared" ref="T108" si="519">S108/1000</f>
        <v>-0.1047162993072738</v>
      </c>
    </row>
    <row r="109" spans="1:20" x14ac:dyDescent="0.25">
      <c r="A109" s="5">
        <v>44484</v>
      </c>
      <c r="B109">
        <v>7.141</v>
      </c>
      <c r="C109">
        <v>8.7639999999999993</v>
      </c>
      <c r="D109">
        <v>7.0250000000000004</v>
      </c>
      <c r="E109">
        <v>7.44</v>
      </c>
      <c r="F109">
        <v>546132.4</v>
      </c>
      <c r="G109">
        <v>7.44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-0.5227142035652671</v>
      </c>
      <c r="Q109">
        <f t="shared" ref="Q109" si="521">F109*P109</f>
        <v>-285471.16250718787</v>
      </c>
      <c r="R109">
        <f t="shared" ref="R109" si="522">R110+Q109</f>
        <v>-10481687.198631888</v>
      </c>
      <c r="S109">
        <f t="shared" ref="S109" si="523">R109/100000</f>
        <v>-104.81687198631889</v>
      </c>
      <c r="T109">
        <f t="shared" ref="T109" si="524">S109/1000</f>
        <v>-0.10481687198631889</v>
      </c>
    </row>
    <row r="110" spans="1:20" x14ac:dyDescent="0.25">
      <c r="A110" s="5">
        <v>44483</v>
      </c>
      <c r="B110">
        <v>7.125</v>
      </c>
      <c r="C110">
        <v>7.431</v>
      </c>
      <c r="D110">
        <v>7.0970000000000004</v>
      </c>
      <c r="E110">
        <v>7.1349999999999998</v>
      </c>
      <c r="F110">
        <v>167982.7</v>
      </c>
      <c r="G110">
        <v>7.1349999999999998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-0.77245508982036282</v>
      </c>
      <c r="Q110">
        <f t="shared" ref="Q110" si="526">F110*P110</f>
        <v>-129759.09161676707</v>
      </c>
      <c r="R110">
        <f t="shared" ref="R110" si="527">R111+Q110</f>
        <v>-10196216.036124701</v>
      </c>
      <c r="S110">
        <f t="shared" ref="S110" si="528">R110/100000</f>
        <v>-101.962160361247</v>
      </c>
      <c r="T110">
        <f t="shared" ref="T110" si="529">S110/1000</f>
        <v>-0.101962160361247</v>
      </c>
    </row>
    <row r="111" spans="1:20" x14ac:dyDescent="0.25">
      <c r="A111" s="5">
        <v>44482</v>
      </c>
      <c r="B111">
        <v>7.2809999999999997</v>
      </c>
      <c r="C111">
        <v>7.3609999999999998</v>
      </c>
      <c r="D111">
        <v>6.9569999999999999</v>
      </c>
      <c r="E111">
        <v>7.1120000000000001</v>
      </c>
      <c r="F111">
        <v>222772.9</v>
      </c>
      <c r="G111">
        <v>7.1120000000000001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-0.23267326732673127</v>
      </c>
      <c r="Q111">
        <f t="shared" ref="Q111" si="531">F111*P111</f>
        <v>-51833.298514851173</v>
      </c>
      <c r="R111">
        <f t="shared" ref="R111" si="532">R112+Q111</f>
        <v>-10066456.944507934</v>
      </c>
      <c r="S111">
        <f t="shared" ref="S111" si="533">R111/100000</f>
        <v>-100.66456944507934</v>
      </c>
      <c r="T111">
        <f t="shared" ref="T111" si="534">S111/1000</f>
        <v>-0.10066456944507934</v>
      </c>
    </row>
    <row r="112" spans="1:20" x14ac:dyDescent="0.25">
      <c r="A112" s="5">
        <v>44481</v>
      </c>
      <c r="B112">
        <v>7.4340000000000002</v>
      </c>
      <c r="C112">
        <v>7.5869999999999997</v>
      </c>
      <c r="D112">
        <v>6.97</v>
      </c>
      <c r="E112">
        <v>7.2809999999999997</v>
      </c>
      <c r="F112">
        <v>215107.7</v>
      </c>
      <c r="G112">
        <v>7.2809999999999997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8.1037277147486125E-3</v>
      </c>
      <c r="Q112">
        <f t="shared" ref="Q112" si="536">F112*P112</f>
        <v>1743.1742301458303</v>
      </c>
      <c r="R112">
        <f t="shared" ref="R112" si="537">R113+Q112</f>
        <v>-10014623.645993084</v>
      </c>
      <c r="S112">
        <f t="shared" ref="S112" si="538">R112/100000</f>
        <v>-100.14623645993083</v>
      </c>
      <c r="T112">
        <f t="shared" ref="T112" si="539">S112/1000</f>
        <v>-0.10014623645993083</v>
      </c>
    </row>
    <row r="113" spans="1:20" x14ac:dyDescent="0.25">
      <c r="A113" s="5">
        <v>44480</v>
      </c>
      <c r="B113">
        <v>7.9320000000000004</v>
      </c>
      <c r="C113">
        <v>8.2520000000000007</v>
      </c>
      <c r="D113">
        <v>7.3209999999999997</v>
      </c>
      <c r="E113">
        <v>7.4530000000000003</v>
      </c>
      <c r="F113">
        <v>249299.1</v>
      </c>
      <c r="G113">
        <v>7.4530000000000003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-0.71643394199785082</v>
      </c>
      <c r="Q113">
        <f t="shared" ref="Q113" si="541">F113*P113</f>
        <v>-178606.33694951641</v>
      </c>
      <c r="R113">
        <f t="shared" ref="R113" si="542">R114+Q113</f>
        <v>-10016366.820223229</v>
      </c>
      <c r="S113">
        <f t="shared" ref="S113" si="543">R113/100000</f>
        <v>-100.16366820223229</v>
      </c>
      <c r="T113">
        <f t="shared" ref="T113" si="544">S113/1000</f>
        <v>-0.10016366820223228</v>
      </c>
    </row>
    <row r="114" spans="1:20" x14ac:dyDescent="0.25">
      <c r="A114" s="5">
        <v>44479</v>
      </c>
      <c r="B114">
        <v>7.7110000000000003</v>
      </c>
      <c r="C114">
        <v>8.6199999999999992</v>
      </c>
      <c r="D114">
        <v>7.5</v>
      </c>
      <c r="E114">
        <v>7.9349999999999996</v>
      </c>
      <c r="F114">
        <v>492423.2</v>
      </c>
      <c r="G114">
        <v>7.9349999999999996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-0.22321428571428586</v>
      </c>
      <c r="Q114">
        <f t="shared" ref="Q114" si="546">F114*P114</f>
        <v>-109915.89285714293</v>
      </c>
      <c r="R114">
        <f t="shared" ref="R114" si="547">R115+Q114</f>
        <v>-9837760.4832737129</v>
      </c>
      <c r="S114">
        <f t="shared" ref="S114" si="548">R114/100000</f>
        <v>-98.377604832737134</v>
      </c>
      <c r="T114">
        <f t="shared" ref="T114" si="549">S114/1000</f>
        <v>-9.8377604832737137E-2</v>
      </c>
    </row>
    <row r="115" spans="1:20" x14ac:dyDescent="0.25">
      <c r="A115" s="5">
        <v>44478</v>
      </c>
      <c r="B115">
        <v>7.4729999999999999</v>
      </c>
      <c r="C115">
        <v>7.99</v>
      </c>
      <c r="D115">
        <v>7.4279999999999999</v>
      </c>
      <c r="E115">
        <v>7.7110000000000003</v>
      </c>
      <c r="F115">
        <v>273298.59999999998</v>
      </c>
      <c r="G115">
        <v>7.7110000000000003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7.1174377224207221E-3</v>
      </c>
      <c r="Q115">
        <f t="shared" ref="Q115" si="551">F115*P115</f>
        <v>1945.1857651247717</v>
      </c>
      <c r="R115">
        <f t="shared" ref="R115" si="552">R116+Q115</f>
        <v>-9727844.5904165693</v>
      </c>
      <c r="S115">
        <f t="shared" ref="S115" si="553">R115/100000</f>
        <v>-97.278445904165693</v>
      </c>
      <c r="T115">
        <f t="shared" ref="T115" si="554">S115/1000</f>
        <v>-9.7278445904165692E-2</v>
      </c>
    </row>
    <row r="116" spans="1:20" x14ac:dyDescent="0.25">
      <c r="A116" s="5">
        <v>44477</v>
      </c>
      <c r="B116">
        <v>7.4619999999999997</v>
      </c>
      <c r="C116">
        <v>7.7770000000000001</v>
      </c>
      <c r="D116">
        <v>7.306</v>
      </c>
      <c r="E116">
        <v>7.4690000000000003</v>
      </c>
      <c r="F116">
        <v>205783.3</v>
      </c>
      <c r="G116">
        <v>7.4690000000000003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-0.30785562632696295</v>
      </c>
      <c r="Q116">
        <f t="shared" ref="Q116" si="556">F116*P116</f>
        <v>-63351.54670912931</v>
      </c>
      <c r="R116">
        <f t="shared" ref="R116" si="557">R117+Q116</f>
        <v>-9729789.7761816941</v>
      </c>
      <c r="S116">
        <f t="shared" ref="S116" si="558">R116/100000</f>
        <v>-97.297897761816941</v>
      </c>
      <c r="T116">
        <f t="shared" ref="T116" si="559">S116/1000</f>
        <v>-9.7297897761816937E-2</v>
      </c>
    </row>
    <row r="117" spans="1:20" x14ac:dyDescent="0.25">
      <c r="A117" s="5">
        <v>44476</v>
      </c>
      <c r="B117">
        <v>7.593</v>
      </c>
      <c r="C117">
        <v>7.7610000000000001</v>
      </c>
      <c r="D117">
        <v>7.3419999999999996</v>
      </c>
      <c r="E117">
        <v>7.4539999999999997</v>
      </c>
      <c r="F117">
        <v>245821.3</v>
      </c>
      <c r="G117">
        <v>7.4539999999999997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-0.46539379474940346</v>
      </c>
      <c r="Q117">
        <f t="shared" ref="Q117" si="561">F117*P117</f>
        <v>-114403.70763723152</v>
      </c>
      <c r="R117">
        <f t="shared" ref="R117" si="562">R118+Q117</f>
        <v>-9666438.2294725645</v>
      </c>
      <c r="S117">
        <f t="shared" ref="S117" si="563">R117/100000</f>
        <v>-96.664382294725641</v>
      </c>
      <c r="T117">
        <f t="shared" ref="T117" si="564">S117/1000</f>
        <v>-9.666438229472564E-2</v>
      </c>
    </row>
    <row r="118" spans="1:20" x14ac:dyDescent="0.25">
      <c r="A118" s="5">
        <v>44475</v>
      </c>
      <c r="B118">
        <v>7.4539999999999997</v>
      </c>
      <c r="C118">
        <v>7.7919999999999998</v>
      </c>
      <c r="D118">
        <v>7.101</v>
      </c>
      <c r="E118">
        <v>7.58</v>
      </c>
      <c r="F118">
        <v>356222.1</v>
      </c>
      <c r="G118">
        <v>7.58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0.38639652677279362</v>
      </c>
      <c r="Q118">
        <f t="shared" ref="Q118" si="566">F118*P118</f>
        <v>137642.98219971076</v>
      </c>
      <c r="R118">
        <f t="shared" ref="R118" si="567">R119+Q118</f>
        <v>-9552034.5218353327</v>
      </c>
      <c r="S118">
        <f t="shared" ref="S118" si="568">R118/100000</f>
        <v>-95.520345218353327</v>
      </c>
      <c r="T118">
        <f t="shared" ref="T118" si="569">S118/1000</f>
        <v>-9.5520345218353328E-2</v>
      </c>
    </row>
    <row r="119" spans="1:20" x14ac:dyDescent="0.25">
      <c r="A119" s="5">
        <v>44474</v>
      </c>
      <c r="B119">
        <v>7.2119999999999997</v>
      </c>
      <c r="C119">
        <v>7.5119999999999996</v>
      </c>
      <c r="D119">
        <v>7</v>
      </c>
      <c r="E119">
        <v>7.4370000000000003</v>
      </c>
      <c r="F119">
        <v>215571.20000000001</v>
      </c>
      <c r="G119">
        <v>7.4370000000000003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0.70703125000000255</v>
      </c>
      <c r="Q119">
        <f t="shared" ref="Q119" si="571">F119*P119</f>
        <v>152415.57500000056</v>
      </c>
      <c r="R119">
        <f t="shared" ref="R119" si="572">R120+Q119</f>
        <v>-9689677.5040350426</v>
      </c>
      <c r="S119">
        <f t="shared" ref="S119" si="573">R119/100000</f>
        <v>-96.89677504035042</v>
      </c>
      <c r="T119">
        <f t="shared" ref="T119" si="574">S119/1000</f>
        <v>-9.6896775040350422E-2</v>
      </c>
    </row>
    <row r="120" spans="1:20" x14ac:dyDescent="0.25">
      <c r="A120" s="5">
        <v>44473</v>
      </c>
      <c r="B120">
        <v>7.1349999999999998</v>
      </c>
      <c r="C120">
        <v>7.4</v>
      </c>
      <c r="D120">
        <v>6.8840000000000003</v>
      </c>
      <c r="E120">
        <v>7.16</v>
      </c>
      <c r="F120">
        <v>303459.7</v>
      </c>
      <c r="G120">
        <v>7.16</v>
      </c>
      <c r="L120" t="s">
        <v>8</v>
      </c>
      <c r="M120" t="s">
        <v>7</v>
      </c>
      <c r="N120" t="s">
        <v>8</v>
      </c>
      <c r="P120">
        <f t="shared" ref="P120" si="575">IF(C120=D120,0,((E120-D120)-(C120-E120))/(C120-D120))</f>
        <v>6.976744186046431E-2</v>
      </c>
      <c r="Q120">
        <f t="shared" ref="Q120" si="576">F120*P120</f>
        <v>21171.606976743944</v>
      </c>
      <c r="R120">
        <f t="shared" ref="R120" si="577">R121+Q120</f>
        <v>-9842093.0790350437</v>
      </c>
      <c r="S120">
        <f t="shared" ref="S120" si="578">R120/100000</f>
        <v>-98.42093079035044</v>
      </c>
      <c r="T120">
        <f t="shared" ref="T120" si="579">S120/1000</f>
        <v>-9.8420930790350442E-2</v>
      </c>
    </row>
    <row r="121" spans="1:20" x14ac:dyDescent="0.25">
      <c r="A121" s="5">
        <v>44472</v>
      </c>
      <c r="B121">
        <v>6.8879999999999999</v>
      </c>
      <c r="C121">
        <v>7.7220000000000004</v>
      </c>
      <c r="D121">
        <v>6.5949999999999998</v>
      </c>
      <c r="E121">
        <v>7.109</v>
      </c>
      <c r="F121">
        <v>612966.19999999995</v>
      </c>
      <c r="G121">
        <v>7.109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-8.7843833185448222E-2</v>
      </c>
      <c r="Q121">
        <f t="shared" ref="Q121" si="581">F121*P121</f>
        <v>-53845.300621118091</v>
      </c>
      <c r="R121">
        <f t="shared" ref="R121" si="582">R122+Q121</f>
        <v>-9863264.6860117875</v>
      </c>
      <c r="S121">
        <f t="shared" ref="S121" si="583">R121/100000</f>
        <v>-98.632646860117873</v>
      </c>
      <c r="T121">
        <f t="shared" ref="T121" si="584">S121/1000</f>
        <v>-9.863264686011787E-2</v>
      </c>
    </row>
    <row r="122" spans="1:20" x14ac:dyDescent="0.25">
      <c r="A122" s="5">
        <v>44471</v>
      </c>
      <c r="B122">
        <v>6.5190000000000001</v>
      </c>
      <c r="C122">
        <v>7.7880000000000003</v>
      </c>
      <c r="D122">
        <v>6.2809999999999997</v>
      </c>
      <c r="E122">
        <v>6.8819999999999997</v>
      </c>
      <c r="F122">
        <v>1015981.9</v>
      </c>
      <c r="G122">
        <v>6.8819999999999997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-0.20238885202388884</v>
      </c>
      <c r="Q122">
        <f t="shared" ref="Q122" si="586">F122*P122</f>
        <v>-205623.41041804943</v>
      </c>
      <c r="R122">
        <f t="shared" ref="R122" si="587">R123+Q122</f>
        <v>-9809419.3853906691</v>
      </c>
      <c r="S122">
        <f t="shared" ref="S122" si="588">R122/100000</f>
        <v>-98.094193853906688</v>
      </c>
      <c r="T122">
        <f t="shared" ref="T122" si="589">S122/1000</f>
        <v>-9.8094193853906692E-2</v>
      </c>
    </row>
    <row r="123" spans="1:20" x14ac:dyDescent="0.25">
      <c r="A123" s="5">
        <v>44470</v>
      </c>
      <c r="B123">
        <v>5.3460000000000001</v>
      </c>
      <c r="C123">
        <v>6.7</v>
      </c>
      <c r="D123">
        <v>5.258</v>
      </c>
      <c r="E123">
        <v>6.5190000000000001</v>
      </c>
      <c r="F123">
        <v>540780.30000000005</v>
      </c>
      <c r="G123">
        <v>6.5190000000000001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0.74895977808599168</v>
      </c>
      <c r="Q123">
        <f t="shared" ref="Q123" si="591">F123*P123</f>
        <v>405022.69348127604</v>
      </c>
      <c r="R123">
        <f t="shared" ref="R123" si="592">R124+Q123</f>
        <v>-9603795.9749726206</v>
      </c>
      <c r="S123">
        <f t="shared" ref="S123" si="593">R123/100000</f>
        <v>-96.037959749726213</v>
      </c>
      <c r="T123">
        <f t="shared" ref="T123" si="594">S123/1000</f>
        <v>-9.6037959749726218E-2</v>
      </c>
    </row>
    <row r="124" spans="1:20" x14ac:dyDescent="0.25">
      <c r="A124" s="5">
        <v>44469</v>
      </c>
      <c r="B124">
        <v>5.1139999999999999</v>
      </c>
      <c r="C124">
        <v>5.3890000000000002</v>
      </c>
      <c r="D124">
        <v>5.0819999999999999</v>
      </c>
      <c r="E124">
        <v>5.3440000000000003</v>
      </c>
      <c r="F124">
        <v>351130.1</v>
      </c>
      <c r="G124">
        <v>5.3440000000000003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0.7068403908794797</v>
      </c>
      <c r="Q124">
        <f t="shared" ref="Q124" si="596">F124*P124</f>
        <v>248192.93713355079</v>
      </c>
      <c r="R124">
        <f t="shared" ref="R124" si="597">R125+Q124</f>
        <v>-10008818.668453896</v>
      </c>
      <c r="S124">
        <f t="shared" ref="S124" si="598">R124/100000</f>
        <v>-100.08818668453897</v>
      </c>
      <c r="T124">
        <f t="shared" ref="T124" si="599">S124/1000</f>
        <v>-0.10008818668453896</v>
      </c>
    </row>
    <row r="125" spans="1:20" x14ac:dyDescent="0.25">
      <c r="A125" s="5">
        <v>44468</v>
      </c>
      <c r="B125">
        <v>5.0289999999999999</v>
      </c>
      <c r="C125">
        <v>5.3920000000000003</v>
      </c>
      <c r="D125">
        <v>5</v>
      </c>
      <c r="E125">
        <v>5.0990000000000002</v>
      </c>
      <c r="F125">
        <v>191768.1</v>
      </c>
      <c r="G125">
        <v>5.0990000000000002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-0.49489795918367291</v>
      </c>
      <c r="Q125">
        <f t="shared" ref="Q125" si="601">F125*P125</f>
        <v>-94905.641326530502</v>
      </c>
      <c r="R125">
        <f t="shared" ref="R125" si="602">R126+Q125</f>
        <v>-10257011.605587447</v>
      </c>
      <c r="S125">
        <f t="shared" ref="S125" si="603">R125/100000</f>
        <v>-102.57011605587446</v>
      </c>
      <c r="T125">
        <f t="shared" ref="T125" si="604">S125/1000</f>
        <v>-0.10257011605587446</v>
      </c>
    </row>
    <row r="126" spans="1:20" x14ac:dyDescent="0.25">
      <c r="A126" s="5">
        <v>44467</v>
      </c>
      <c r="B126">
        <v>5.2510000000000003</v>
      </c>
      <c r="C126">
        <v>5.3540000000000001</v>
      </c>
      <c r="D126">
        <v>5.0010000000000003</v>
      </c>
      <c r="E126">
        <v>5.0229999999999997</v>
      </c>
      <c r="F126">
        <v>538056.69299999997</v>
      </c>
      <c r="G126">
        <v>5.0229999999999997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-0.87535410764872879</v>
      </c>
      <c r="Q126">
        <f t="shared" ref="Q126" si="606">F126*P126</f>
        <v>-470990.13636544097</v>
      </c>
      <c r="R126">
        <f t="shared" ref="R126" si="607">R127+Q126</f>
        <v>-10162105.964260917</v>
      </c>
      <c r="S126">
        <f t="shared" ref="S126" si="608">R126/100000</f>
        <v>-101.62105964260917</v>
      </c>
      <c r="T126">
        <f t="shared" ref="T126" si="609">S126/1000</f>
        <v>-0.10162105964260917</v>
      </c>
    </row>
    <row r="127" spans="1:20" x14ac:dyDescent="0.25">
      <c r="A127" s="5">
        <v>44466</v>
      </c>
      <c r="B127">
        <v>5.6139999999999999</v>
      </c>
      <c r="C127">
        <v>6.0049999999999999</v>
      </c>
      <c r="D127">
        <v>5.2279999999999998</v>
      </c>
      <c r="E127">
        <v>5.2670000000000003</v>
      </c>
      <c r="F127">
        <v>479452.6</v>
      </c>
      <c r="G127">
        <v>5.2670000000000003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-0.89961389961389815</v>
      </c>
      <c r="Q127">
        <f t="shared" ref="Q127" si="611">F127*P127</f>
        <v>-431322.22316602245</v>
      </c>
      <c r="R127">
        <f t="shared" ref="R127" si="612">R128+Q127</f>
        <v>-9691115.8278954756</v>
      </c>
      <c r="S127">
        <f t="shared" ref="S127" si="613">R127/100000</f>
        <v>-96.911158278954758</v>
      </c>
      <c r="T127">
        <f t="shared" ref="T127" si="614">S127/1000</f>
        <v>-9.6911158278954759E-2</v>
      </c>
    </row>
    <row r="128" spans="1:20" x14ac:dyDescent="0.25">
      <c r="A128" s="5">
        <v>44465</v>
      </c>
      <c r="B128">
        <v>5.63</v>
      </c>
      <c r="C128">
        <v>5.81</v>
      </c>
      <c r="D128">
        <v>5.1680000000000001</v>
      </c>
      <c r="E128">
        <v>5.633</v>
      </c>
      <c r="F128">
        <v>726216.88600000006</v>
      </c>
      <c r="G128">
        <v>5.633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0.44859813084112227</v>
      </c>
      <c r="Q128">
        <f t="shared" ref="Q128" si="616">F128*P128</f>
        <v>325779.53764486039</v>
      </c>
      <c r="R128">
        <f t="shared" ref="R128" si="617">R129+Q128</f>
        <v>-9259793.6047294531</v>
      </c>
      <c r="S128">
        <f t="shared" ref="S128" si="618">R128/100000</f>
        <v>-92.597936047294525</v>
      </c>
      <c r="T128">
        <f t="shared" ref="T128" si="619">S128/1000</f>
        <v>-9.2597936047294521E-2</v>
      </c>
    </row>
    <row r="129" spans="1:20" x14ac:dyDescent="0.25">
      <c r="A129" s="5">
        <v>44464</v>
      </c>
      <c r="B129">
        <v>5.8520000000000003</v>
      </c>
      <c r="C129">
        <v>6.0380000000000003</v>
      </c>
      <c r="D129">
        <v>5.5650000000000004</v>
      </c>
      <c r="E129">
        <v>5.63</v>
      </c>
      <c r="F129">
        <v>580700.4</v>
      </c>
      <c r="G129">
        <v>5.63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-0.72515856236786669</v>
      </c>
      <c r="Q129">
        <f t="shared" ref="Q129" si="621">F129*P129</f>
        <v>-421099.86723044515</v>
      </c>
      <c r="R129">
        <f t="shared" ref="R129" si="622">R130+Q129</f>
        <v>-9585573.1423743144</v>
      </c>
      <c r="S129">
        <f t="shared" ref="S129" si="623">R129/100000</f>
        <v>-95.855731423743137</v>
      </c>
      <c r="T129">
        <f t="shared" ref="T129" si="624">S129/1000</f>
        <v>-9.5855731423743137E-2</v>
      </c>
    </row>
    <row r="130" spans="1:20" x14ac:dyDescent="0.25">
      <c r="A130" s="5">
        <v>44463</v>
      </c>
      <c r="B130">
        <v>6.3739999999999997</v>
      </c>
      <c r="C130">
        <v>6.4009999999999998</v>
      </c>
      <c r="D130">
        <v>5.5179999999999998</v>
      </c>
      <c r="E130">
        <v>5.8520000000000003</v>
      </c>
      <c r="F130">
        <v>283815.32400000002</v>
      </c>
      <c r="G130">
        <v>5.8520000000000003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-0.24348810872027063</v>
      </c>
      <c r="Q130">
        <f t="shared" ref="Q130" si="626">F130*P130</f>
        <v>-69105.656466590837</v>
      </c>
      <c r="R130">
        <f t="shared" ref="R130" si="627">R131+Q130</f>
        <v>-9164473.2751438692</v>
      </c>
      <c r="S130">
        <f t="shared" ref="S130" si="628">R130/100000</f>
        <v>-91.644732751438696</v>
      </c>
      <c r="T130">
        <f t="shared" ref="T130" si="629">S130/1000</f>
        <v>-9.1644732751438696E-2</v>
      </c>
    </row>
    <row r="131" spans="1:20" x14ac:dyDescent="0.25">
      <c r="A131" s="5">
        <v>44462</v>
      </c>
      <c r="B131">
        <v>6.3659999999999997</v>
      </c>
      <c r="C131">
        <v>6.8179999999999996</v>
      </c>
      <c r="D131">
        <v>6.2709999999999999</v>
      </c>
      <c r="E131">
        <v>6.3940000000000001</v>
      </c>
      <c r="F131">
        <v>416016.3</v>
      </c>
      <c r="G131">
        <v>6.3940000000000001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-0.55027422303473383</v>
      </c>
      <c r="Q131">
        <f t="shared" ref="Q131" si="631">F131*P131</f>
        <v>-228923.04625228472</v>
      </c>
      <c r="R131">
        <f t="shared" ref="R131" si="632">R132+Q131</f>
        <v>-9095367.618677279</v>
      </c>
      <c r="S131">
        <f t="shared" ref="S131" si="633">R131/100000</f>
        <v>-90.953676186772796</v>
      </c>
      <c r="T131">
        <f t="shared" ref="T131" si="634">S131/1000</f>
        <v>-9.0953676186772803E-2</v>
      </c>
    </row>
    <row r="132" spans="1:20" x14ac:dyDescent="0.25">
      <c r="A132" s="5">
        <v>44461</v>
      </c>
      <c r="B132">
        <v>5.9269999999999996</v>
      </c>
      <c r="C132">
        <v>6.633</v>
      </c>
      <c r="D132">
        <v>5.8609999999999998</v>
      </c>
      <c r="E132">
        <v>6.3659999999999997</v>
      </c>
      <c r="F132">
        <v>493236.9</v>
      </c>
      <c r="G132">
        <v>6.3659999999999997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0.30829015544041383</v>
      </c>
      <c r="Q132">
        <f t="shared" ref="Q132" si="636">F132*P132</f>
        <v>152060.08056994787</v>
      </c>
      <c r="R132">
        <f t="shared" ref="R132" si="637">R133+Q132</f>
        <v>-8866444.5724249948</v>
      </c>
      <c r="S132">
        <f t="shared" ref="S132" si="638">R132/100000</f>
        <v>-88.664445724249944</v>
      </c>
      <c r="T132">
        <f t="shared" ref="T132" si="639">S132/1000</f>
        <v>-8.8664445724249946E-2</v>
      </c>
    </row>
    <row r="133" spans="1:20" x14ac:dyDescent="0.25">
      <c r="A133" s="5">
        <v>44460</v>
      </c>
      <c r="B133">
        <v>6.2320000000000002</v>
      </c>
      <c r="C133">
        <v>6.7789999999999999</v>
      </c>
      <c r="D133">
        <v>5.7</v>
      </c>
      <c r="E133">
        <v>5.9269999999999996</v>
      </c>
      <c r="F133">
        <v>591758.01199999999</v>
      </c>
      <c r="G133">
        <v>5.9269999999999996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-0.57924003707136329</v>
      </c>
      <c r="Q133">
        <f t="shared" ref="Q133" si="641">F133*P133</f>
        <v>-342769.93280815624</v>
      </c>
      <c r="R133">
        <f t="shared" ref="R133" si="642">R134+Q133</f>
        <v>-9018504.6529949419</v>
      </c>
      <c r="S133">
        <f t="shared" ref="S133" si="643">R133/100000</f>
        <v>-90.185046529949418</v>
      </c>
      <c r="T133">
        <f t="shared" ref="T133" si="644">S133/1000</f>
        <v>-9.0185046529949423E-2</v>
      </c>
    </row>
    <row r="134" spans="1:20" x14ac:dyDescent="0.25">
      <c r="A134" s="5">
        <v>44459</v>
      </c>
      <c r="B134">
        <v>7.2069999999999999</v>
      </c>
      <c r="C134">
        <v>7.2640000000000002</v>
      </c>
      <c r="D134">
        <v>6.55</v>
      </c>
      <c r="E134">
        <v>6.5789999999999997</v>
      </c>
      <c r="F134">
        <v>148535.70000000001</v>
      </c>
      <c r="G134">
        <v>6.5789999999999997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-0.91876750700280141</v>
      </c>
      <c r="Q134">
        <f t="shared" ref="Q134" si="646">F134*P134</f>
        <v>-136469.77478991603</v>
      </c>
      <c r="R134">
        <f t="shared" ref="R134" si="647">R135+Q134</f>
        <v>-8675734.7201867849</v>
      </c>
      <c r="S134">
        <f t="shared" ref="S134" si="648">R134/100000</f>
        <v>-86.757347201867844</v>
      </c>
      <c r="T134">
        <f t="shared" ref="T134" si="649">S134/1000</f>
        <v>-8.675734720186784E-2</v>
      </c>
    </row>
    <row r="135" spans="1:20" x14ac:dyDescent="0.25">
      <c r="A135" s="5">
        <v>44458</v>
      </c>
      <c r="B135">
        <v>7.41</v>
      </c>
      <c r="C135">
        <v>7.9640000000000004</v>
      </c>
      <c r="D135">
        <v>7.0659999999999998</v>
      </c>
      <c r="E135">
        <v>7.2080000000000002</v>
      </c>
      <c r="F135">
        <v>504492.4</v>
      </c>
      <c r="G135">
        <v>7.2080000000000002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-0.68374164810690363</v>
      </c>
      <c r="Q135">
        <f t="shared" ref="Q135" si="651">F135*P135</f>
        <v>-344942.46503340726</v>
      </c>
      <c r="R135">
        <f t="shared" ref="R135" si="652">R136+Q135</f>
        <v>-8539264.9453968685</v>
      </c>
      <c r="S135">
        <f t="shared" ref="S135" si="653">R135/100000</f>
        <v>-85.392649453968687</v>
      </c>
      <c r="T135">
        <f t="shared" ref="T135" si="654">S135/1000</f>
        <v>-8.5392649453968683E-2</v>
      </c>
    </row>
    <row r="136" spans="1:20" x14ac:dyDescent="0.25">
      <c r="A136" s="5">
        <v>44457</v>
      </c>
      <c r="B136">
        <v>6.976</v>
      </c>
      <c r="C136">
        <v>7.7</v>
      </c>
      <c r="D136">
        <v>6.9450000000000003</v>
      </c>
      <c r="E136">
        <v>7.4050000000000002</v>
      </c>
      <c r="F136">
        <v>460579.9</v>
      </c>
      <c r="G136">
        <v>7.4050000000000002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0.21854304635761598</v>
      </c>
      <c r="Q136">
        <f t="shared" ref="Q136" si="656">F136*P136</f>
        <v>100656.53443708614</v>
      </c>
      <c r="R136">
        <f t="shared" ref="R136" si="657">R137+Q136</f>
        <v>-8194322.4803634621</v>
      </c>
      <c r="S136">
        <f t="shared" ref="S136" si="658">R136/100000</f>
        <v>-81.943224803634621</v>
      </c>
      <c r="T136">
        <f t="shared" ref="T136" si="659">S136/1000</f>
        <v>-8.1943224803634626E-2</v>
      </c>
    </row>
    <row r="137" spans="1:20" x14ac:dyDescent="0.25">
      <c r="A137" s="5">
        <v>44456</v>
      </c>
      <c r="B137">
        <v>7.3120000000000003</v>
      </c>
      <c r="C137">
        <v>7.3390000000000004</v>
      </c>
      <c r="D137">
        <v>6.899</v>
      </c>
      <c r="E137">
        <v>6.976</v>
      </c>
      <c r="F137">
        <v>249066.6</v>
      </c>
      <c r="G137">
        <v>6.976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-0.65000000000000047</v>
      </c>
      <c r="Q137">
        <f t="shared" ref="Q137" si="661">F137*P137</f>
        <v>-161893.29000000012</v>
      </c>
      <c r="R137">
        <f t="shared" ref="R137" si="662">R138+Q137</f>
        <v>-8294979.0148005486</v>
      </c>
      <c r="S137">
        <f t="shared" ref="S137" si="663">R137/100000</f>
        <v>-82.949790148005491</v>
      </c>
      <c r="T137">
        <f t="shared" ref="T137" si="664">S137/1000</f>
        <v>-8.2949790148005492E-2</v>
      </c>
    </row>
    <row r="138" spans="1:20" x14ac:dyDescent="0.25">
      <c r="A138" s="5">
        <v>44455</v>
      </c>
      <c r="B138">
        <v>7.62</v>
      </c>
      <c r="C138">
        <v>7.65</v>
      </c>
      <c r="D138">
        <v>7.2279999999999998</v>
      </c>
      <c r="E138">
        <v>7.3140000000000001</v>
      </c>
      <c r="F138">
        <v>238639.5</v>
      </c>
      <c r="G138">
        <v>7.3140000000000001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-0.59241706161137353</v>
      </c>
      <c r="Q138">
        <f t="shared" ref="Q138" si="666">F138*P138</f>
        <v>-141374.11137440737</v>
      </c>
      <c r="R138">
        <f t="shared" ref="R138" si="667">R139+Q138</f>
        <v>-8133085.7248005485</v>
      </c>
      <c r="S138">
        <f t="shared" ref="S138" si="668">R138/100000</f>
        <v>-81.330857248005486</v>
      </c>
      <c r="T138">
        <f t="shared" ref="T138" si="669">S138/1000</f>
        <v>-8.1330857248005484E-2</v>
      </c>
    </row>
    <row r="139" spans="1:20" x14ac:dyDescent="0.25">
      <c r="A139" s="5">
        <v>44454</v>
      </c>
      <c r="B139">
        <v>7.2169999999999996</v>
      </c>
      <c r="C139">
        <v>7.8</v>
      </c>
      <c r="D139">
        <v>7.1360000000000001</v>
      </c>
      <c r="E139">
        <v>7.609</v>
      </c>
      <c r="F139">
        <v>275763.59999999998</v>
      </c>
      <c r="G139">
        <v>7.609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0.42469879518072312</v>
      </c>
      <c r="Q139">
        <f t="shared" ref="Q139" si="671">F139*P139</f>
        <v>117116.46867469884</v>
      </c>
      <c r="R139">
        <f t="shared" ref="R139" si="672">R140+Q139</f>
        <v>-7991711.6134261414</v>
      </c>
      <c r="S139">
        <f t="shared" ref="S139" si="673">R139/100000</f>
        <v>-79.91711613426142</v>
      </c>
      <c r="T139">
        <f t="shared" ref="T139" si="674">S139/1000</f>
        <v>-7.9917116134261418E-2</v>
      </c>
    </row>
    <row r="140" spans="1:20" x14ac:dyDescent="0.25">
      <c r="A140" s="5">
        <v>44453</v>
      </c>
      <c r="B140">
        <v>7.0069999999999997</v>
      </c>
      <c r="C140">
        <v>7.3730000000000002</v>
      </c>
      <c r="D140">
        <v>6.9210000000000003</v>
      </c>
      <c r="E140">
        <v>7.2140000000000004</v>
      </c>
      <c r="F140">
        <v>298579.59999999998</v>
      </c>
      <c r="G140">
        <v>7.2140000000000004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0.29646017699115124</v>
      </c>
      <c r="Q140">
        <f t="shared" ref="Q140" si="676">F140*P140</f>
        <v>88516.961061947135</v>
      </c>
      <c r="R140">
        <f t="shared" ref="R140" si="677">R141+Q140</f>
        <v>-8108828.0821008403</v>
      </c>
      <c r="S140">
        <f t="shared" ref="S140" si="678">R140/100000</f>
        <v>-81.088280821008397</v>
      </c>
      <c r="T140">
        <f t="shared" ref="T140" si="679">S140/1000</f>
        <v>-8.1088280821008399E-2</v>
      </c>
    </row>
    <row r="141" spans="1:20" x14ac:dyDescent="0.25">
      <c r="A141" s="5">
        <v>44452</v>
      </c>
      <c r="B141">
        <v>7.3</v>
      </c>
      <c r="C141">
        <v>7.4089999999999998</v>
      </c>
      <c r="D141">
        <v>6.7009999999999996</v>
      </c>
      <c r="E141">
        <v>7.0229999999999997</v>
      </c>
      <c r="F141">
        <v>266600.2</v>
      </c>
      <c r="G141">
        <v>7.0229999999999997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-9.0395480225988756E-2</v>
      </c>
      <c r="Q141">
        <f t="shared" ref="Q141" si="681">F141*P141</f>
        <v>-24099.453107344649</v>
      </c>
      <c r="R141">
        <f t="shared" ref="R141" si="682">R142+Q141</f>
        <v>-8197345.0431627873</v>
      </c>
      <c r="S141">
        <f t="shared" ref="S141" si="683">R141/100000</f>
        <v>-81.973450431627867</v>
      </c>
      <c r="T141">
        <f t="shared" ref="T141" si="684">S141/1000</f>
        <v>-8.1973450431627862E-2</v>
      </c>
    </row>
    <row r="142" spans="1:20" x14ac:dyDescent="0.25">
      <c r="A142" s="5">
        <v>44451</v>
      </c>
      <c r="B142">
        <v>7.3440000000000003</v>
      </c>
      <c r="C142">
        <v>7.48</v>
      </c>
      <c r="D142">
        <v>7.1020000000000003</v>
      </c>
      <c r="E142">
        <v>7.3</v>
      </c>
      <c r="F142">
        <v>152493</v>
      </c>
      <c r="G142">
        <v>7.3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4.7619047619044709E-2</v>
      </c>
      <c r="Q142">
        <f t="shared" ref="Q142" si="686">F142*P142</f>
        <v>7261.5714285709846</v>
      </c>
      <c r="R142">
        <f t="shared" ref="R142" si="687">R143+Q142</f>
        <v>-8173245.5900554424</v>
      </c>
      <c r="S142">
        <f t="shared" ref="S142" si="688">R142/100000</f>
        <v>-81.732455900554427</v>
      </c>
      <c r="T142">
        <f t="shared" ref="T142" si="689">S142/1000</f>
        <v>-8.1732455900554432E-2</v>
      </c>
    </row>
    <row r="143" spans="1:20" x14ac:dyDescent="0.25">
      <c r="A143" s="5">
        <v>44450</v>
      </c>
      <c r="B143">
        <v>7.1459999999999999</v>
      </c>
      <c r="C143">
        <v>7.5990000000000002</v>
      </c>
      <c r="D143">
        <v>7.11</v>
      </c>
      <c r="E143">
        <v>7.3419999999999996</v>
      </c>
      <c r="F143">
        <v>247649.3</v>
      </c>
      <c r="G143">
        <v>7.3419999999999996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-5.1124744376280673E-2</v>
      </c>
      <c r="Q143">
        <f t="shared" ref="Q143" si="691">F143*P143</f>
        <v>-12661.007157464845</v>
      </c>
      <c r="R143">
        <f t="shared" ref="R143" si="692">R144+Q143</f>
        <v>-8180507.1614840133</v>
      </c>
      <c r="S143">
        <f t="shared" ref="S143" si="693">R143/100000</f>
        <v>-81.805071614840131</v>
      </c>
      <c r="T143">
        <f t="shared" ref="T143" si="694">S143/1000</f>
        <v>-8.180507161484013E-2</v>
      </c>
    </row>
    <row r="144" spans="1:20" x14ac:dyDescent="0.25">
      <c r="A144" s="5">
        <v>44449</v>
      </c>
      <c r="B144">
        <v>7.5270000000000001</v>
      </c>
      <c r="C144">
        <v>7.7130000000000001</v>
      </c>
      <c r="D144">
        <v>6.875</v>
      </c>
      <c r="E144">
        <v>7.16</v>
      </c>
      <c r="F144">
        <v>370724.3</v>
      </c>
      <c r="G144">
        <v>7.16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-0.3198090692124102</v>
      </c>
      <c r="Q144">
        <f t="shared" ref="Q144" si="696">F144*P144</f>
        <v>-118560.99331742233</v>
      </c>
      <c r="R144">
        <f t="shared" ref="R144" si="697">R145+Q144</f>
        <v>-8167846.1543265488</v>
      </c>
      <c r="S144">
        <f t="shared" ref="S144" si="698">R144/100000</f>
        <v>-81.678461543265485</v>
      </c>
      <c r="T144">
        <f t="shared" ref="T144" si="699">S144/1000</f>
        <v>-8.1678461543265482E-2</v>
      </c>
    </row>
    <row r="145" spans="1:20" x14ac:dyDescent="0.25">
      <c r="A145" s="5">
        <v>44448</v>
      </c>
      <c r="B145">
        <v>7.65</v>
      </c>
      <c r="C145">
        <v>8.15</v>
      </c>
      <c r="D145">
        <v>7.3220000000000001</v>
      </c>
      <c r="E145">
        <v>7.524</v>
      </c>
      <c r="F145">
        <v>423687.5</v>
      </c>
      <c r="G145">
        <v>7.524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-0.51207729468599061</v>
      </c>
      <c r="Q145">
        <f t="shared" ref="Q145" si="701">F145*P145</f>
        <v>-216960.74879227064</v>
      </c>
      <c r="R145">
        <f t="shared" ref="R145" si="702">R146+Q145</f>
        <v>-8049285.1610091263</v>
      </c>
      <c r="S145">
        <f t="shared" ref="S145" si="703">R145/100000</f>
        <v>-80.492851610091265</v>
      </c>
      <c r="T145">
        <f t="shared" ref="T145" si="704">S145/1000</f>
        <v>-8.0492851610091259E-2</v>
      </c>
    </row>
    <row r="146" spans="1:20" x14ac:dyDescent="0.25">
      <c r="A146" s="5">
        <v>44447</v>
      </c>
      <c r="B146">
        <v>7.3330000000000002</v>
      </c>
      <c r="C146">
        <v>7.9009999999999998</v>
      </c>
      <c r="D146">
        <v>6.6130000000000004</v>
      </c>
      <c r="E146">
        <v>7.65</v>
      </c>
      <c r="F146">
        <v>404794.09499999997</v>
      </c>
      <c r="G146">
        <v>7.65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0.61024844720496962</v>
      </c>
      <c r="Q146">
        <f t="shared" ref="Q146" si="706">F146*P146</f>
        <v>247024.96791149094</v>
      </c>
      <c r="R146">
        <f t="shared" ref="R146" si="707">R147+Q146</f>
        <v>-7832324.4122168561</v>
      </c>
      <c r="S146">
        <f t="shared" ref="S146" si="708">R146/100000</f>
        <v>-78.32324412216856</v>
      </c>
      <c r="T146">
        <f t="shared" ref="T146" si="709">S146/1000</f>
        <v>-7.8323244122168567E-2</v>
      </c>
    </row>
    <row r="147" spans="1:20" x14ac:dyDescent="0.25">
      <c r="A147" s="5">
        <v>44446</v>
      </c>
      <c r="B147">
        <v>8.9480000000000004</v>
      </c>
      <c r="C147">
        <v>9.4239999999999995</v>
      </c>
      <c r="D147">
        <v>6.8</v>
      </c>
      <c r="E147">
        <v>7.3319999999999999</v>
      </c>
      <c r="F147">
        <v>652275.73</v>
      </c>
      <c r="G147">
        <v>7.3319999999999999</v>
      </c>
      <c r="L147" t="s">
        <v>8</v>
      </c>
      <c r="M147" t="s">
        <v>7</v>
      </c>
      <c r="N147" t="s">
        <v>8</v>
      </c>
      <c r="P147">
        <f t="shared" ref="P147" si="710">IF(C147=D147,0,((E147-D147)-(C147-E147))/(C147-D147))</f>
        <v>-0.59451219512195119</v>
      </c>
      <c r="Q147">
        <f t="shared" ref="Q147" si="711">F147*P147</f>
        <v>-387785.87606707314</v>
      </c>
      <c r="R147">
        <f t="shared" ref="R147" si="712">R148+Q147</f>
        <v>-8079349.3801283473</v>
      </c>
      <c r="S147">
        <f t="shared" ref="S147" si="713">R147/100000</f>
        <v>-80.793493801283475</v>
      </c>
      <c r="T147">
        <f t="shared" ref="T147" si="714">S147/1000</f>
        <v>-8.0793493801283478E-2</v>
      </c>
    </row>
    <row r="148" spans="1:20" x14ac:dyDescent="0.25">
      <c r="A148" s="5">
        <v>44445</v>
      </c>
      <c r="B148">
        <v>8.8989999999999991</v>
      </c>
      <c r="C148">
        <v>9.0660000000000007</v>
      </c>
      <c r="D148">
        <v>8.5</v>
      </c>
      <c r="E148">
        <v>8.9580000000000002</v>
      </c>
      <c r="F148">
        <v>420522.5</v>
      </c>
      <c r="G148">
        <v>8.9580000000000002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0.61837455830388555</v>
      </c>
      <c r="Q148">
        <f t="shared" ref="Q148" si="716">F148*P148</f>
        <v>260040.4151943457</v>
      </c>
      <c r="R148">
        <f t="shared" ref="R148" si="717">R149+Q148</f>
        <v>-7691563.5040612742</v>
      </c>
      <c r="S148">
        <f t="shared" ref="S148" si="718">R148/100000</f>
        <v>-76.915635040612742</v>
      </c>
      <c r="T148">
        <f t="shared" ref="T148" si="719">S148/1000</f>
        <v>-7.6915635040612745E-2</v>
      </c>
    </row>
    <row r="149" spans="1:20" x14ac:dyDescent="0.25">
      <c r="A149" s="5">
        <v>44444</v>
      </c>
      <c r="B149">
        <v>8.4700000000000006</v>
      </c>
      <c r="C149">
        <v>8.9120000000000008</v>
      </c>
      <c r="D149">
        <v>8.3030000000000008</v>
      </c>
      <c r="E149">
        <v>8.9039999999999999</v>
      </c>
      <c r="F149">
        <v>223446.2</v>
      </c>
      <c r="G149">
        <v>8.9039999999999999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0.97372742200328111</v>
      </c>
      <c r="Q149">
        <f t="shared" ref="Q149" si="721">F149*P149</f>
        <v>217575.69228242958</v>
      </c>
      <c r="R149">
        <f t="shared" ref="R149" si="722">R150+Q149</f>
        <v>-7951603.9192556199</v>
      </c>
      <c r="S149">
        <f t="shared" ref="S149" si="723">R149/100000</f>
        <v>-79.516039192556192</v>
      </c>
      <c r="T149">
        <f t="shared" ref="T149" si="724">S149/1000</f>
        <v>-7.951603919255619E-2</v>
      </c>
    </row>
    <row r="150" spans="1:20" x14ac:dyDescent="0.25">
      <c r="A150" s="5">
        <v>44443</v>
      </c>
      <c r="B150">
        <v>8.6340000000000003</v>
      </c>
      <c r="C150">
        <v>8.9570000000000007</v>
      </c>
      <c r="D150">
        <v>8.1999999999999993</v>
      </c>
      <c r="E150">
        <v>8.4580000000000002</v>
      </c>
      <c r="F150">
        <v>246873.60000000001</v>
      </c>
      <c r="G150">
        <v>8.4580000000000002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-0.31836195508586418</v>
      </c>
      <c r="Q150">
        <f t="shared" ref="Q150" si="726">F150*P150</f>
        <v>-78595.161955085598</v>
      </c>
      <c r="R150">
        <f t="shared" ref="R150" si="727">R151+Q150</f>
        <v>-8169179.6115380498</v>
      </c>
      <c r="S150">
        <f t="shared" ref="S150" si="728">R150/100000</f>
        <v>-81.691796115380498</v>
      </c>
      <c r="T150">
        <f t="shared" ref="T150" si="729">S150/1000</f>
        <v>-8.1691796115380494E-2</v>
      </c>
    </row>
    <row r="151" spans="1:20" x14ac:dyDescent="0.25">
      <c r="A151" s="5">
        <v>44442</v>
      </c>
      <c r="B151">
        <v>8.282</v>
      </c>
      <c r="C151">
        <v>9.1340000000000003</v>
      </c>
      <c r="D151">
        <v>8.1999999999999993</v>
      </c>
      <c r="E151">
        <v>8.64</v>
      </c>
      <c r="F151">
        <v>421609.8</v>
      </c>
      <c r="G151">
        <v>8.64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-5.7815845824409455E-2</v>
      </c>
      <c r="Q151">
        <f t="shared" ref="Q151" si="731">F151*P151</f>
        <v>-24375.727194860105</v>
      </c>
      <c r="R151">
        <f t="shared" ref="R151" si="732">R152+Q151</f>
        <v>-8090584.4495829642</v>
      </c>
      <c r="S151">
        <f t="shared" ref="S151" si="733">R151/100000</f>
        <v>-80.905844495829641</v>
      </c>
      <c r="T151">
        <f t="shared" ref="T151" si="734">S151/1000</f>
        <v>-8.0905844495829646E-2</v>
      </c>
    </row>
    <row r="152" spans="1:20" x14ac:dyDescent="0.25">
      <c r="A152" s="5">
        <v>44441</v>
      </c>
      <c r="B152">
        <v>8.7189999999999994</v>
      </c>
      <c r="C152">
        <v>9.3870000000000005</v>
      </c>
      <c r="D152">
        <v>8.1980000000000004</v>
      </c>
      <c r="E152">
        <v>8.2889999999999997</v>
      </c>
      <c r="F152">
        <v>1014842.357</v>
      </c>
      <c r="G152">
        <v>8.2889999999999997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-0.84693019343986664</v>
      </c>
      <c r="Q152">
        <f t="shared" ref="Q152" si="736">F152*P152</f>
        <v>-859500.63372498017</v>
      </c>
      <c r="R152">
        <f t="shared" ref="R152" si="737">R153+Q152</f>
        <v>-8066208.7223881045</v>
      </c>
      <c r="S152">
        <f t="shared" ref="S152" si="738">R152/100000</f>
        <v>-80.662087223881045</v>
      </c>
      <c r="T152">
        <f t="shared" ref="T152" si="739">S152/1000</f>
        <v>-8.0662087223881046E-2</v>
      </c>
    </row>
    <row r="153" spans="1:20" x14ac:dyDescent="0.25">
      <c r="A153" s="5">
        <v>44440</v>
      </c>
      <c r="B153">
        <v>7.4260000000000002</v>
      </c>
      <c r="C153">
        <v>8.9</v>
      </c>
      <c r="D153">
        <v>7.25</v>
      </c>
      <c r="E153">
        <v>8.7110000000000003</v>
      </c>
      <c r="F153">
        <v>1424037.3959999999</v>
      </c>
      <c r="G153">
        <v>8.7110000000000003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0.77090909090909088</v>
      </c>
      <c r="Q153">
        <f t="shared" ref="Q153" si="741">F153*P153</f>
        <v>1097803.3743709091</v>
      </c>
      <c r="R153">
        <f t="shared" ref="R153" si="742">R154+Q153</f>
        <v>-7206708.0886631245</v>
      </c>
      <c r="S153">
        <f t="shared" ref="S153" si="743">R153/100000</f>
        <v>-72.067080886631246</v>
      </c>
      <c r="T153">
        <f t="shared" ref="T153" si="744">S153/1000</f>
        <v>-7.2067080886631246E-2</v>
      </c>
    </row>
    <row r="154" spans="1:20" x14ac:dyDescent="0.25">
      <c r="A154" s="5">
        <v>44439</v>
      </c>
      <c r="B154">
        <v>7.1660000000000004</v>
      </c>
      <c r="C154">
        <v>7.6150000000000002</v>
      </c>
      <c r="D154">
        <v>7.0839999999999996</v>
      </c>
      <c r="E154">
        <v>7.4370000000000003</v>
      </c>
      <c r="F154">
        <v>472385.09399999998</v>
      </c>
      <c r="G154">
        <v>7.4370000000000003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0.3295668549905848</v>
      </c>
      <c r="Q154">
        <f t="shared" ref="Q154" si="746">F154*P154</f>
        <v>155682.46977401176</v>
      </c>
      <c r="R154">
        <f t="shared" ref="R154" si="747">R155+Q154</f>
        <v>-8304511.4630340338</v>
      </c>
      <c r="S154">
        <f t="shared" ref="S154" si="748">R154/100000</f>
        <v>-83.045114630340336</v>
      </c>
      <c r="T154">
        <f t="shared" ref="T154" si="749">S154/1000</f>
        <v>-8.3045114630340339E-2</v>
      </c>
    </row>
    <row r="155" spans="1:20" x14ac:dyDescent="0.25">
      <c r="A155" s="5">
        <v>44438</v>
      </c>
      <c r="B155">
        <v>7.585</v>
      </c>
      <c r="C155">
        <v>7.82</v>
      </c>
      <c r="D155">
        <v>7.14</v>
      </c>
      <c r="E155">
        <v>7.15</v>
      </c>
      <c r="F155">
        <v>1219520.1000000001</v>
      </c>
      <c r="G155">
        <v>7.15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-0.97058823529411564</v>
      </c>
      <c r="Q155">
        <f t="shared" ref="Q155" si="751">F155*P155</f>
        <v>-1183651.8617647034</v>
      </c>
      <c r="R155">
        <f t="shared" ref="R155" si="752">R156+Q155</f>
        <v>-8460193.9328080453</v>
      </c>
      <c r="S155">
        <f t="shared" ref="S155" si="753">R155/100000</f>
        <v>-84.601939328080448</v>
      </c>
      <c r="T155">
        <f t="shared" ref="T155" si="754">S155/1000</f>
        <v>-8.4601939328080453E-2</v>
      </c>
    </row>
    <row r="156" spans="1:20" x14ac:dyDescent="0.25">
      <c r="A156" s="5">
        <v>44437</v>
      </c>
      <c r="B156">
        <v>7.4560000000000004</v>
      </c>
      <c r="C156">
        <v>7.8</v>
      </c>
      <c r="D156">
        <v>7.3390000000000004</v>
      </c>
      <c r="E156">
        <v>7.5979999999999999</v>
      </c>
      <c r="F156">
        <v>416458.5</v>
      </c>
      <c r="G156">
        <v>7.5979999999999999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0.12364425162689711</v>
      </c>
      <c r="Q156">
        <f t="shared" ref="Q156" si="756">F156*P156</f>
        <v>51492.699566160132</v>
      </c>
      <c r="R156">
        <f t="shared" ref="R156" si="757">R157+Q156</f>
        <v>-7276542.0710433424</v>
      </c>
      <c r="S156">
        <f t="shared" ref="S156" si="758">R156/100000</f>
        <v>-72.765420710433418</v>
      </c>
      <c r="T156">
        <f t="shared" ref="T156" si="759">S156/1000</f>
        <v>-7.2765420710433418E-2</v>
      </c>
    </row>
    <row r="157" spans="1:20" x14ac:dyDescent="0.25">
      <c r="A157" s="5">
        <v>44436</v>
      </c>
      <c r="B157">
        <v>7.8639999999999999</v>
      </c>
      <c r="C157">
        <v>7.95</v>
      </c>
      <c r="D157">
        <v>7.4260000000000002</v>
      </c>
      <c r="E157">
        <v>7.4649999999999999</v>
      </c>
      <c r="F157">
        <v>463243.6</v>
      </c>
      <c r="G157">
        <v>7.4649999999999999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-0.85114503816794007</v>
      </c>
      <c r="Q157">
        <f t="shared" ref="Q157" si="761">F157*P157</f>
        <v>-394287.49160305393</v>
      </c>
      <c r="R157">
        <f t="shared" ref="R157" si="762">R158+Q157</f>
        <v>-7328034.7706095027</v>
      </c>
      <c r="S157">
        <f t="shared" ref="S157" si="763">R157/100000</f>
        <v>-73.280347706095029</v>
      </c>
      <c r="T157">
        <f t="shared" ref="T157" si="764">S157/1000</f>
        <v>-7.3280347706095025E-2</v>
      </c>
    </row>
    <row r="158" spans="1:20" x14ac:dyDescent="0.25">
      <c r="A158" s="5">
        <v>44435</v>
      </c>
      <c r="B158">
        <v>7.556</v>
      </c>
      <c r="C158">
        <v>7.99</v>
      </c>
      <c r="D158">
        <v>7.1760000000000002</v>
      </c>
      <c r="E158">
        <v>7.8650000000000002</v>
      </c>
      <c r="F158">
        <v>398329.92800000001</v>
      </c>
      <c r="G158">
        <v>7.8650000000000002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0.69287469287469294</v>
      </c>
      <c r="Q158">
        <f t="shared" ref="Q158" si="766">F158*P158</f>
        <v>275992.72652579856</v>
      </c>
      <c r="R158">
        <f t="shared" ref="R158" si="767">R159+Q158</f>
        <v>-6933747.2790064486</v>
      </c>
      <c r="S158">
        <f t="shared" ref="S158" si="768">R158/100000</f>
        <v>-69.337472790064481</v>
      </c>
      <c r="T158">
        <f t="shared" ref="T158" si="769">S158/1000</f>
        <v>-6.9337472790064483E-2</v>
      </c>
    </row>
    <row r="159" spans="1:20" x14ac:dyDescent="0.25">
      <c r="A159" s="5">
        <v>44434</v>
      </c>
      <c r="B159">
        <v>8.5</v>
      </c>
      <c r="C159">
        <v>8.6180000000000003</v>
      </c>
      <c r="D159">
        <v>7.5519999999999996</v>
      </c>
      <c r="E159">
        <v>7.556</v>
      </c>
      <c r="F159">
        <v>486737.435</v>
      </c>
      <c r="G159">
        <v>7.556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-0.99249530956847942</v>
      </c>
      <c r="Q159">
        <f t="shared" ref="Q159" si="771">F159*P159</f>
        <v>-483084.62122889265</v>
      </c>
      <c r="R159">
        <f t="shared" ref="R159" si="772">R160+Q159</f>
        <v>-7209740.005532247</v>
      </c>
      <c r="S159">
        <f t="shared" ref="S159" si="773">R159/100000</f>
        <v>-72.097400055322467</v>
      </c>
      <c r="T159">
        <f t="shared" ref="T159" si="774">S159/1000</f>
        <v>-7.2097400055322461E-2</v>
      </c>
    </row>
    <row r="160" spans="1:20" x14ac:dyDescent="0.25">
      <c r="A160" s="5">
        <v>44433</v>
      </c>
      <c r="B160">
        <v>7.4630000000000001</v>
      </c>
      <c r="C160">
        <v>8.7479999999999993</v>
      </c>
      <c r="D160">
        <v>7.4569999999999999</v>
      </c>
      <c r="E160">
        <v>8.5</v>
      </c>
      <c r="F160">
        <v>867575.77800000005</v>
      </c>
      <c r="G160">
        <v>8.5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0.61580170410534563</v>
      </c>
      <c r="Q160">
        <f t="shared" ref="Q160" si="776">F160*P160</f>
        <v>534254.64253292105</v>
      </c>
      <c r="R160">
        <f t="shared" ref="R160" si="777">R161+Q160</f>
        <v>-6726655.3843033547</v>
      </c>
      <c r="S160">
        <f t="shared" ref="S160" si="778">R160/100000</f>
        <v>-67.266553843033549</v>
      </c>
      <c r="T160">
        <f t="shared" ref="T160" si="779">S160/1000</f>
        <v>-6.7266553843033552E-2</v>
      </c>
    </row>
    <row r="161" spans="1:20" x14ac:dyDescent="0.25">
      <c r="A161" s="5">
        <v>44432</v>
      </c>
      <c r="B161">
        <v>8.2720000000000002</v>
      </c>
      <c r="C161">
        <v>8.5960000000000001</v>
      </c>
      <c r="D161">
        <v>7.4420000000000002</v>
      </c>
      <c r="E161">
        <v>7.4569999999999999</v>
      </c>
      <c r="F161">
        <v>675461.09</v>
      </c>
      <c r="G161">
        <v>7.4569999999999999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-0.97400346620450662</v>
      </c>
      <c r="Q161">
        <f t="shared" ref="Q161" si="781">F161*P161</f>
        <v>-657901.44294627418</v>
      </c>
      <c r="R161">
        <f t="shared" ref="R161" si="782">R162+Q161</f>
        <v>-7260910.0268362761</v>
      </c>
      <c r="S161">
        <f t="shared" ref="S161" si="783">R161/100000</f>
        <v>-72.609100268362766</v>
      </c>
      <c r="T161">
        <f t="shared" ref="T161" si="784">S161/1000</f>
        <v>-7.2609100268362772E-2</v>
      </c>
    </row>
    <row r="162" spans="1:20" x14ac:dyDescent="0.25">
      <c r="A162" s="5">
        <v>44431</v>
      </c>
      <c r="B162">
        <v>7.1449999999999996</v>
      </c>
      <c r="C162">
        <v>9.1</v>
      </c>
      <c r="D162">
        <v>7.0839999999999996</v>
      </c>
      <c r="E162">
        <v>8.2629999999999999</v>
      </c>
      <c r="F162">
        <v>1764683.2290000001</v>
      </c>
      <c r="G162">
        <v>8.2629999999999999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0.1696428571428574</v>
      </c>
      <c r="Q162">
        <f t="shared" ref="Q162" si="786">F162*P162</f>
        <v>299365.9049196433</v>
      </c>
      <c r="R162">
        <f t="shared" ref="R162" si="787">R163+Q162</f>
        <v>-6603008.5838900022</v>
      </c>
      <c r="S162">
        <f t="shared" ref="S162" si="788">R162/100000</f>
        <v>-66.030085838900021</v>
      </c>
      <c r="T162">
        <f t="shared" ref="T162" si="789">S162/1000</f>
        <v>-6.6030085838900021E-2</v>
      </c>
    </row>
    <row r="163" spans="1:20" x14ac:dyDescent="0.25">
      <c r="A163" s="5">
        <v>44430</v>
      </c>
      <c r="B163">
        <v>7.2839999999999998</v>
      </c>
      <c r="C163">
        <v>7.3449999999999998</v>
      </c>
      <c r="D163">
        <v>7.1769999999999996</v>
      </c>
      <c r="E163">
        <v>7.3109999999999999</v>
      </c>
      <c r="F163">
        <v>36715.661999999997</v>
      </c>
      <c r="G163">
        <v>7.3109999999999999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0.5952380952380979</v>
      </c>
      <c r="Q163">
        <f t="shared" ref="Q163" si="791">F163*P163</f>
        <v>21854.56071428581</v>
      </c>
      <c r="R163">
        <f t="shared" ref="R163" si="792">R164+Q163</f>
        <v>-6902374.4888096452</v>
      </c>
      <c r="S163">
        <f t="shared" ref="S163" si="793">R163/100000</f>
        <v>-69.023744888096445</v>
      </c>
      <c r="T163">
        <f t="shared" ref="T163" si="794">S163/1000</f>
        <v>-6.9023744888096442E-2</v>
      </c>
    </row>
    <row r="164" spans="1:20" x14ac:dyDescent="0.25">
      <c r="A164" s="5">
        <v>44429</v>
      </c>
      <c r="B164">
        <v>7.407</v>
      </c>
      <c r="C164">
        <v>7.5</v>
      </c>
      <c r="D164">
        <v>7.173</v>
      </c>
      <c r="E164">
        <v>7.2839999999999998</v>
      </c>
      <c r="F164">
        <v>332721.45799999998</v>
      </c>
      <c r="G164">
        <v>7.2839999999999998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-0.32110091743119401</v>
      </c>
      <c r="Q164">
        <f t="shared" ref="Q164" si="796">F164*P164</f>
        <v>-106837.16541284448</v>
      </c>
      <c r="R164">
        <f t="shared" ref="R164" si="797">R165+Q164</f>
        <v>-6924229.049523931</v>
      </c>
      <c r="S164">
        <f t="shared" ref="S164" si="798">R164/100000</f>
        <v>-69.242290495239317</v>
      </c>
      <c r="T164">
        <f t="shared" ref="T164" si="799">S164/1000</f>
        <v>-6.924229049523932E-2</v>
      </c>
    </row>
    <row r="165" spans="1:20" x14ac:dyDescent="0.25">
      <c r="A165" s="5">
        <v>44428</v>
      </c>
      <c r="B165">
        <v>7.0460000000000003</v>
      </c>
      <c r="C165">
        <v>7.5</v>
      </c>
      <c r="D165">
        <v>7.0359999999999996</v>
      </c>
      <c r="E165">
        <v>7.407</v>
      </c>
      <c r="F165">
        <v>417244.429</v>
      </c>
      <c r="G165">
        <v>7.407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0.59913793103448321</v>
      </c>
      <c r="Q165">
        <f t="shared" ref="Q165" si="801">F165*P165</f>
        <v>249986.96392672433</v>
      </c>
      <c r="R165">
        <f t="shared" ref="R165" si="802">R166+Q165</f>
        <v>-6817391.8841110868</v>
      </c>
      <c r="S165">
        <f t="shared" ref="S165" si="803">R165/100000</f>
        <v>-68.173918841110861</v>
      </c>
      <c r="T165">
        <f t="shared" ref="T165" si="804">S165/1000</f>
        <v>-6.8173918841110862E-2</v>
      </c>
    </row>
    <row r="166" spans="1:20" x14ac:dyDescent="0.25">
      <c r="A166" s="5">
        <v>44427</v>
      </c>
      <c r="B166">
        <v>6.6479999999999997</v>
      </c>
      <c r="C166">
        <v>7.6989999999999998</v>
      </c>
      <c r="D166">
        <v>6.4370000000000003</v>
      </c>
      <c r="E166">
        <v>7.0410000000000004</v>
      </c>
      <c r="F166">
        <v>714113.06</v>
      </c>
      <c r="G166">
        <v>7.0410000000000004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-4.2789223454833124E-2</v>
      </c>
      <c r="Q166">
        <f t="shared" ref="Q166" si="806">F166*P166</f>
        <v>-30556.343296354655</v>
      </c>
      <c r="R166">
        <f t="shared" ref="R166" si="807">R167+Q166</f>
        <v>-7067378.848037811</v>
      </c>
      <c r="S166">
        <f t="shared" ref="S166" si="808">R166/100000</f>
        <v>-70.673788480378107</v>
      </c>
      <c r="T166">
        <f t="shared" ref="T166" si="809">S166/1000</f>
        <v>-7.0673788480378114E-2</v>
      </c>
    </row>
    <row r="167" spans="1:20" x14ac:dyDescent="0.25">
      <c r="A167" s="5">
        <v>44426</v>
      </c>
      <c r="B167">
        <v>6.55</v>
      </c>
      <c r="C167">
        <v>6.8789999999999996</v>
      </c>
      <c r="D167">
        <v>6.2320000000000002</v>
      </c>
      <c r="E167">
        <v>6.6349999999999998</v>
      </c>
      <c r="F167">
        <v>646511.31000000006</v>
      </c>
      <c r="G167">
        <v>6.6349999999999998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0.24574961360123643</v>
      </c>
      <c r="Q167">
        <f t="shared" ref="Q167" si="811">F167*P167</f>
        <v>158879.90462132919</v>
      </c>
      <c r="R167">
        <f t="shared" ref="R167" si="812">R168+Q167</f>
        <v>-7036822.5047414564</v>
      </c>
      <c r="S167">
        <f t="shared" ref="S167" si="813">R167/100000</f>
        <v>-70.368225047414569</v>
      </c>
      <c r="T167">
        <f t="shared" ref="T167" si="814">S167/1000</f>
        <v>-7.0368225047414565E-2</v>
      </c>
    </row>
    <row r="168" spans="1:20" x14ac:dyDescent="0.25">
      <c r="A168" s="5">
        <v>44425</v>
      </c>
      <c r="B168">
        <v>6.9779999999999998</v>
      </c>
      <c r="C168">
        <v>7.2409999999999997</v>
      </c>
      <c r="D168">
        <v>6.4509999999999996</v>
      </c>
      <c r="E168">
        <v>6.5460000000000003</v>
      </c>
      <c r="F168">
        <v>321464.92700000003</v>
      </c>
      <c r="G168">
        <v>6.5460000000000003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-0.75949367088607433</v>
      </c>
      <c r="Q168">
        <f t="shared" ref="Q168" si="816">F168*P168</f>
        <v>-244150.57746835393</v>
      </c>
      <c r="R168">
        <f t="shared" ref="R168" si="817">R169+Q168</f>
        <v>-7195702.4093627855</v>
      </c>
      <c r="S168">
        <f t="shared" ref="S168" si="818">R168/100000</f>
        <v>-71.957024093627851</v>
      </c>
      <c r="T168">
        <f t="shared" ref="T168" si="819">S168/1000</f>
        <v>-7.195702409362785E-2</v>
      </c>
    </row>
    <row r="169" spans="1:20" x14ac:dyDescent="0.25">
      <c r="A169" s="5">
        <v>44424</v>
      </c>
      <c r="B169">
        <v>7.2880000000000003</v>
      </c>
      <c r="C169">
        <v>7.5780000000000003</v>
      </c>
      <c r="D169">
        <v>6.9189999999999996</v>
      </c>
      <c r="E169">
        <v>6.9790000000000001</v>
      </c>
      <c r="F169">
        <v>656265.79299999995</v>
      </c>
      <c r="G169">
        <v>6.9790000000000001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-0.81790591805766177</v>
      </c>
      <c r="Q169">
        <f t="shared" ref="Q169" si="821">F169*P169</f>
        <v>-536763.67591350432</v>
      </c>
      <c r="R169">
        <f t="shared" ref="R169" si="822">R170+Q169</f>
        <v>-6951551.8318944313</v>
      </c>
      <c r="S169">
        <f t="shared" ref="S169" si="823">R169/100000</f>
        <v>-69.515518318944316</v>
      </c>
      <c r="T169">
        <f t="shared" ref="T169" si="824">S169/1000</f>
        <v>-6.9515518318944314E-2</v>
      </c>
    </row>
    <row r="170" spans="1:20" x14ac:dyDescent="0.25">
      <c r="A170" s="5">
        <v>44423</v>
      </c>
      <c r="B170">
        <v>7.2610000000000001</v>
      </c>
      <c r="C170">
        <v>7.4660000000000002</v>
      </c>
      <c r="D170">
        <v>6.87</v>
      </c>
      <c r="E170">
        <v>7.2889999999999997</v>
      </c>
      <c r="F170">
        <v>342557.31</v>
      </c>
      <c r="G170">
        <v>7.2889999999999997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0.40604026845637425</v>
      </c>
      <c r="Q170">
        <f t="shared" ref="Q170" si="826">F170*P170</f>
        <v>139092.06211409342</v>
      </c>
      <c r="R170">
        <f t="shared" ref="R170" si="827">R171+Q170</f>
        <v>-6414788.1559809269</v>
      </c>
      <c r="S170">
        <f t="shared" ref="S170" si="828">R170/100000</f>
        <v>-64.147881559809264</v>
      </c>
      <c r="T170">
        <f t="shared" ref="T170" si="829">S170/1000</f>
        <v>-6.4147881559809258E-2</v>
      </c>
    </row>
    <row r="171" spans="1:20" x14ac:dyDescent="0.25">
      <c r="A171" s="5">
        <v>44422</v>
      </c>
      <c r="B171">
        <v>7.54</v>
      </c>
      <c r="C171">
        <v>7.85</v>
      </c>
      <c r="D171">
        <v>7.0570000000000004</v>
      </c>
      <c r="E171">
        <v>7.266</v>
      </c>
      <c r="F171">
        <v>351408.93400000001</v>
      </c>
      <c r="G171">
        <v>7.266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-0.47288776796973564</v>
      </c>
      <c r="Q171">
        <f t="shared" ref="Q171" si="831">F171*P171</f>
        <v>-166176.98644388415</v>
      </c>
      <c r="R171">
        <f t="shared" ref="R171" si="832">R172+Q171</f>
        <v>-6553880.2180950204</v>
      </c>
      <c r="S171">
        <f t="shared" ref="S171" si="833">R171/100000</f>
        <v>-65.538802180950199</v>
      </c>
      <c r="T171">
        <f t="shared" ref="T171" si="834">S171/1000</f>
        <v>-6.5538802180950192E-2</v>
      </c>
    </row>
    <row r="172" spans="1:20" x14ac:dyDescent="0.25">
      <c r="A172" s="5">
        <v>44421</v>
      </c>
      <c r="B172">
        <v>6.5510000000000002</v>
      </c>
      <c r="C172">
        <v>7.89</v>
      </c>
      <c r="D172">
        <v>6.5309999999999997</v>
      </c>
      <c r="E172">
        <v>7.5339999999999998</v>
      </c>
      <c r="F172">
        <v>694478.45499999996</v>
      </c>
      <c r="G172">
        <v>7.5339999999999998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0.47608535688005904</v>
      </c>
      <c r="Q172">
        <f t="shared" ref="Q172" si="836">F172*P172</f>
        <v>330631.02309418702</v>
      </c>
      <c r="R172">
        <f t="shared" ref="R172" si="837">R173+Q172</f>
        <v>-6387703.2316511367</v>
      </c>
      <c r="S172">
        <f t="shared" ref="S172" si="838">R172/100000</f>
        <v>-63.877032316511368</v>
      </c>
      <c r="T172">
        <f t="shared" ref="T172" si="839">S172/1000</f>
        <v>-6.3877032316511373E-2</v>
      </c>
    </row>
    <row r="173" spans="1:20" x14ac:dyDescent="0.25">
      <c r="A173" s="5">
        <v>44420</v>
      </c>
      <c r="B173">
        <v>6.8579999999999997</v>
      </c>
      <c r="C173">
        <v>7.1580000000000004</v>
      </c>
      <c r="D173">
        <v>6.3070000000000004</v>
      </c>
      <c r="E173">
        <v>6.5449999999999999</v>
      </c>
      <c r="F173">
        <v>517784.16899999999</v>
      </c>
      <c r="G173">
        <v>6.5449999999999999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-0.44065804935370256</v>
      </c>
      <c r="Q173">
        <f t="shared" ref="Q173" si="841">F173*P173</f>
        <v>-228165.76189776786</v>
      </c>
      <c r="R173">
        <f t="shared" ref="R173" si="842">R174+Q173</f>
        <v>-6718334.2547453232</v>
      </c>
      <c r="S173">
        <f t="shared" ref="S173" si="843">R173/100000</f>
        <v>-67.183342547453236</v>
      </c>
      <c r="T173">
        <f t="shared" ref="T173" si="844">S173/1000</f>
        <v>-6.7183342547453243E-2</v>
      </c>
    </row>
    <row r="174" spans="1:20" x14ac:dyDescent="0.25">
      <c r="A174" s="5">
        <v>44419</v>
      </c>
      <c r="B174">
        <v>6.2149999999999999</v>
      </c>
      <c r="C174">
        <v>7.45</v>
      </c>
      <c r="D174">
        <v>6.1719999999999997</v>
      </c>
      <c r="E174">
        <v>6.8609999999999998</v>
      </c>
      <c r="F174">
        <v>756315.35800000001</v>
      </c>
      <c r="G174">
        <v>6.8609999999999998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7.8247261345852595E-2</v>
      </c>
      <c r="Q174">
        <f t="shared" ref="Q174" si="846">F174*P174</f>
        <v>59179.605477308069</v>
      </c>
      <c r="R174">
        <f t="shared" ref="R174" si="847">R175+Q174</f>
        <v>-6490168.4928475553</v>
      </c>
      <c r="S174">
        <f t="shared" ref="S174" si="848">R174/100000</f>
        <v>-64.901684928475547</v>
      </c>
      <c r="T174">
        <f t="shared" ref="T174" si="849">S174/1000</f>
        <v>-6.4901684928475548E-2</v>
      </c>
    </row>
    <row r="175" spans="1:20" x14ac:dyDescent="0.25">
      <c r="A175" s="5">
        <v>44418</v>
      </c>
      <c r="B175">
        <v>6.415</v>
      </c>
      <c r="C175">
        <v>6.4530000000000003</v>
      </c>
      <c r="D175">
        <v>6</v>
      </c>
      <c r="E175">
        <v>6.2249999999999996</v>
      </c>
      <c r="F175">
        <v>336982.005</v>
      </c>
      <c r="G175">
        <v>6.2249999999999996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-6.6225165562935982E-3</v>
      </c>
      <c r="Q175">
        <f t="shared" ref="Q175" si="851">F175*P175</f>
        <v>-2231.668907285512</v>
      </c>
      <c r="R175">
        <f t="shared" ref="R175" si="852">R176+Q175</f>
        <v>-6549348.0983248632</v>
      </c>
      <c r="S175">
        <f t="shared" ref="S175" si="853">R175/100000</f>
        <v>-65.493480983248631</v>
      </c>
      <c r="T175">
        <f t="shared" ref="T175" si="854">S175/1000</f>
        <v>-6.5493480983248628E-2</v>
      </c>
    </row>
    <row r="176" spans="1:20" x14ac:dyDescent="0.25">
      <c r="A176" s="5">
        <v>44417</v>
      </c>
      <c r="B176">
        <v>5.9960000000000004</v>
      </c>
      <c r="C176">
        <v>6.56</v>
      </c>
      <c r="D176">
        <v>5.7720000000000002</v>
      </c>
      <c r="E176">
        <v>6.415</v>
      </c>
      <c r="F176">
        <v>461238.17200000002</v>
      </c>
      <c r="G176">
        <v>6.415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0.63197969543147292</v>
      </c>
      <c r="Q176">
        <f t="shared" ref="Q176" si="856">F176*P176</f>
        <v>291493.15946192935</v>
      </c>
      <c r="R176">
        <f t="shared" ref="R176" si="857">R177+Q176</f>
        <v>-6547116.4294175776</v>
      </c>
      <c r="S176">
        <f t="shared" ref="S176" si="858">R176/100000</f>
        <v>-65.471164294175779</v>
      </c>
      <c r="T176">
        <f t="shared" ref="T176" si="859">S176/1000</f>
        <v>-6.5471164294175779E-2</v>
      </c>
    </row>
    <row r="177" spans="1:20" x14ac:dyDescent="0.25">
      <c r="A177" s="5">
        <v>44416</v>
      </c>
      <c r="B177">
        <v>5.8479999999999999</v>
      </c>
      <c r="C177">
        <v>6.7480000000000002</v>
      </c>
      <c r="D177">
        <v>5.6669999999999998</v>
      </c>
      <c r="E177">
        <v>5.9980000000000002</v>
      </c>
      <c r="F177">
        <v>885515.77099999995</v>
      </c>
      <c r="G177">
        <v>5.9980000000000002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-0.38760407030527239</v>
      </c>
      <c r="Q177">
        <f t="shared" ref="Q177" si="861">F177*P177</f>
        <v>-343229.51715911145</v>
      </c>
      <c r="R177">
        <f t="shared" ref="R177" si="862">R178+Q177</f>
        <v>-6838609.588879507</v>
      </c>
      <c r="S177">
        <f t="shared" ref="S177" si="863">R177/100000</f>
        <v>-68.386095888795069</v>
      </c>
      <c r="T177">
        <f t="shared" ref="T177" si="864">S177/1000</f>
        <v>-6.8386095888795073E-2</v>
      </c>
    </row>
    <row r="178" spans="1:20" x14ac:dyDescent="0.25">
      <c r="A178" s="5">
        <v>44415</v>
      </c>
      <c r="B178">
        <v>5.718</v>
      </c>
      <c r="C178">
        <v>6.1989999999999998</v>
      </c>
      <c r="D178">
        <v>5.6349999999999998</v>
      </c>
      <c r="E178">
        <v>5.85</v>
      </c>
      <c r="F178">
        <v>473564.67200000002</v>
      </c>
      <c r="G178">
        <v>5.85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-0.2375886524822701</v>
      </c>
      <c r="Q178">
        <f t="shared" ref="Q178" si="866">F178*P178</f>
        <v>-112513.59228368822</v>
      </c>
      <c r="R178">
        <f t="shared" ref="R178" si="867">R179+Q178</f>
        <v>-6495380.0717203952</v>
      </c>
      <c r="S178">
        <f t="shared" ref="S178" si="868">R178/100000</f>
        <v>-64.953800717203947</v>
      </c>
      <c r="T178">
        <f t="shared" ref="T178" si="869">S178/1000</f>
        <v>-6.4953800717203941E-2</v>
      </c>
    </row>
    <row r="179" spans="1:20" x14ac:dyDescent="0.25">
      <c r="A179" s="5">
        <v>44414</v>
      </c>
      <c r="B179">
        <v>5.4269999999999996</v>
      </c>
      <c r="C179">
        <v>5.79</v>
      </c>
      <c r="D179">
        <v>5.3289999999999997</v>
      </c>
      <c r="E179">
        <v>5.73</v>
      </c>
      <c r="F179">
        <v>333135.50300000003</v>
      </c>
      <c r="G179">
        <v>5.73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0.73969631236442701</v>
      </c>
      <c r="Q179">
        <f t="shared" ref="Q179" si="871">F179*P179</f>
        <v>246419.10308676853</v>
      </c>
      <c r="R179">
        <f t="shared" ref="R179" si="872">R180+Q179</f>
        <v>-6382866.4794367068</v>
      </c>
      <c r="S179">
        <f t="shared" ref="S179" si="873">R179/100000</f>
        <v>-63.828664794367064</v>
      </c>
      <c r="T179">
        <f t="shared" ref="T179" si="874">S179/1000</f>
        <v>-6.3828664794367065E-2</v>
      </c>
    </row>
    <row r="180" spans="1:20" x14ac:dyDescent="0.25">
      <c r="A180" s="5">
        <v>44413</v>
      </c>
      <c r="B180">
        <v>5.5110000000000001</v>
      </c>
      <c r="C180">
        <v>5.5350000000000001</v>
      </c>
      <c r="D180">
        <v>5.15</v>
      </c>
      <c r="E180">
        <v>5.4349999999999996</v>
      </c>
      <c r="F180">
        <v>323015.59399999998</v>
      </c>
      <c r="G180">
        <v>5.4349999999999996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0.48051948051947746</v>
      </c>
      <c r="Q180">
        <f t="shared" ref="Q180" si="876">F180*P180</f>
        <v>155215.28542857044</v>
      </c>
      <c r="R180">
        <f t="shared" ref="R180" si="877">R181+Q180</f>
        <v>-6629285.5825234754</v>
      </c>
      <c r="S180">
        <f t="shared" ref="S180" si="878">R180/100000</f>
        <v>-66.292855825234753</v>
      </c>
      <c r="T180">
        <f t="shared" ref="T180" si="879">S180/1000</f>
        <v>-6.6292855825234753E-2</v>
      </c>
    </row>
    <row r="181" spans="1:20" x14ac:dyDescent="0.25">
      <c r="A181" s="5">
        <v>44412</v>
      </c>
      <c r="B181">
        <v>5.1219999999999999</v>
      </c>
      <c r="C181">
        <v>5.55</v>
      </c>
      <c r="D181">
        <v>5.0519999999999996</v>
      </c>
      <c r="E181">
        <v>5.5149999999999997</v>
      </c>
      <c r="F181">
        <v>224002.93700000001</v>
      </c>
      <c r="G181">
        <v>5.5149999999999997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0.85943775100401554</v>
      </c>
      <c r="Q181">
        <f t="shared" ref="Q181" si="881">F181*P181</f>
        <v>192516.58039357417</v>
      </c>
      <c r="R181">
        <f t="shared" ref="R181" si="882">R182+Q181</f>
        <v>-6784500.867952046</v>
      </c>
      <c r="S181">
        <f t="shared" ref="S181" si="883">R181/100000</f>
        <v>-67.845008679520461</v>
      </c>
      <c r="T181">
        <f t="shared" ref="T181" si="884">S181/1000</f>
        <v>-6.7845008679520466E-2</v>
      </c>
    </row>
    <row r="182" spans="1:20" x14ac:dyDescent="0.25">
      <c r="A182" s="5">
        <v>44411</v>
      </c>
      <c r="B182">
        <v>5.3159999999999998</v>
      </c>
      <c r="C182">
        <v>5.3849999999999998</v>
      </c>
      <c r="D182">
        <v>5.0330000000000004</v>
      </c>
      <c r="E182">
        <v>5.1159999999999997</v>
      </c>
      <c r="F182">
        <v>276700.28999999998</v>
      </c>
      <c r="G182">
        <v>5.1159999999999997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-0.52840909090909416</v>
      </c>
      <c r="Q182">
        <f t="shared" ref="Q182" si="886">F182*P182</f>
        <v>-146210.9486931827</v>
      </c>
      <c r="R182">
        <f t="shared" ref="R182" si="887">R183+Q182</f>
        <v>-6977017.4483456202</v>
      </c>
      <c r="S182">
        <f t="shared" ref="S182" si="888">R182/100000</f>
        <v>-69.770174483456202</v>
      </c>
      <c r="T182">
        <f t="shared" ref="T182" si="889">S182/1000</f>
        <v>-6.9770174483456196E-2</v>
      </c>
    </row>
    <row r="183" spans="1:20" x14ac:dyDescent="0.25">
      <c r="A183" s="5">
        <v>44410</v>
      </c>
      <c r="B183">
        <v>5.4249999999999998</v>
      </c>
      <c r="C183">
        <v>5.617</v>
      </c>
      <c r="D183">
        <v>5.25</v>
      </c>
      <c r="E183">
        <v>5.3209999999999997</v>
      </c>
      <c r="F183">
        <v>297159.152</v>
      </c>
      <c r="G183">
        <v>5.3209999999999997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-0.61307901907357099</v>
      </c>
      <c r="Q183">
        <f t="shared" ref="Q183" si="891">F183*P183</f>
        <v>-182182.04141689418</v>
      </c>
      <c r="R183">
        <f t="shared" ref="R183" si="892">R184+Q183</f>
        <v>-6830806.4996524379</v>
      </c>
      <c r="S183">
        <f t="shared" ref="S183" si="893">R183/100000</f>
        <v>-68.308064996524379</v>
      </c>
      <c r="T183">
        <f t="shared" ref="T183" si="894">S183/1000</f>
        <v>-6.8308064996524379E-2</v>
      </c>
    </row>
    <row r="184" spans="1:20" x14ac:dyDescent="0.25">
      <c r="A184" s="5">
        <v>44409</v>
      </c>
      <c r="B184">
        <v>5.5119999999999996</v>
      </c>
      <c r="C184">
        <v>5.79</v>
      </c>
      <c r="D184">
        <v>5.3810000000000002</v>
      </c>
      <c r="E184">
        <v>5.4329999999999998</v>
      </c>
      <c r="F184">
        <v>343664.35100000002</v>
      </c>
      <c r="G184">
        <v>5.4329999999999998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-0.74572127139364486</v>
      </c>
      <c r="Q184">
        <f t="shared" ref="Q184" si="896">F184*P184</f>
        <v>-256277.81676039184</v>
      </c>
      <c r="R184">
        <f t="shared" ref="R184" si="897">R185+Q184</f>
        <v>-6648624.4582355442</v>
      </c>
      <c r="S184">
        <f t="shared" ref="S184" si="898">R184/100000</f>
        <v>-66.48624458235544</v>
      </c>
      <c r="T184">
        <f t="shared" ref="T184" si="899">S184/1000</f>
        <v>-6.6486244582355442E-2</v>
      </c>
    </row>
    <row r="185" spans="1:20" x14ac:dyDescent="0.25">
      <c r="A185" s="5">
        <v>44408</v>
      </c>
      <c r="B185">
        <v>5.5880000000000001</v>
      </c>
      <c r="C185">
        <v>5.9960000000000004</v>
      </c>
      <c r="D185">
        <v>5.44</v>
      </c>
      <c r="E185">
        <v>5.5119999999999996</v>
      </c>
      <c r="F185">
        <v>515662.7</v>
      </c>
      <c r="G185">
        <v>5.5119999999999996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-0.74100719424460726</v>
      </c>
      <c r="Q185">
        <f t="shared" ref="Q185" si="901">F185*P185</f>
        <v>-382109.77050359867</v>
      </c>
      <c r="R185">
        <f t="shared" ref="R185" si="902">R186+Q185</f>
        <v>-6392346.6414751522</v>
      </c>
      <c r="S185">
        <f t="shared" ref="S185" si="903">R185/100000</f>
        <v>-63.923466414751523</v>
      </c>
      <c r="T185">
        <f t="shared" ref="T185" si="904">S185/1000</f>
        <v>-6.3923466414751523E-2</v>
      </c>
    </row>
    <row r="186" spans="1:20" x14ac:dyDescent="0.25">
      <c r="A186" s="5">
        <v>44407</v>
      </c>
      <c r="B186">
        <v>4.9349999999999996</v>
      </c>
      <c r="C186">
        <v>6</v>
      </c>
      <c r="D186">
        <v>4.9269999999999996</v>
      </c>
      <c r="E186">
        <v>5.5880000000000001</v>
      </c>
      <c r="F186">
        <v>1064109.294</v>
      </c>
      <c r="G186">
        <v>5.5880000000000001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0.23205964585274974</v>
      </c>
      <c r="Q186">
        <f t="shared" ref="Q186" si="906">F186*P186</f>
        <v>246936.82591425956</v>
      </c>
      <c r="R186">
        <f t="shared" ref="R186" si="907">R187+Q186</f>
        <v>-6010236.870971554</v>
      </c>
      <c r="S186">
        <f t="shared" ref="S186" si="908">R186/100000</f>
        <v>-60.102368709715542</v>
      </c>
      <c r="T186">
        <f t="shared" ref="T186" si="909">S186/1000</f>
        <v>-6.010236870971554E-2</v>
      </c>
    </row>
    <row r="187" spans="1:20" x14ac:dyDescent="0.25">
      <c r="A187" s="5">
        <v>44406</v>
      </c>
      <c r="B187">
        <v>4.9109999999999996</v>
      </c>
      <c r="C187">
        <v>5.1219999999999999</v>
      </c>
      <c r="D187">
        <v>4.8289999999999997</v>
      </c>
      <c r="E187">
        <v>4.9290000000000003</v>
      </c>
      <c r="F187">
        <v>214985.94500000001</v>
      </c>
      <c r="G187">
        <v>4.9290000000000003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-0.31740614334470663</v>
      </c>
      <c r="Q187">
        <f t="shared" ref="Q187" si="911">F187*P187</f>
        <v>-68237.85967576722</v>
      </c>
      <c r="R187">
        <f t="shared" ref="R187" si="912">R188+Q187</f>
        <v>-6257173.696885814</v>
      </c>
      <c r="S187">
        <f t="shared" ref="S187" si="913">R187/100000</f>
        <v>-62.57173696885814</v>
      </c>
      <c r="T187">
        <f t="shared" ref="T187" si="914">S187/1000</f>
        <v>-6.2571736968858135E-2</v>
      </c>
    </row>
    <row r="188" spans="1:20" x14ac:dyDescent="0.25">
      <c r="A188" s="5">
        <v>44405</v>
      </c>
      <c r="B188">
        <v>5.0439999999999996</v>
      </c>
      <c r="C188">
        <v>5.25</v>
      </c>
      <c r="D188">
        <v>4.8339999999999996</v>
      </c>
      <c r="E188">
        <v>4.915</v>
      </c>
      <c r="F188">
        <v>323070.337</v>
      </c>
      <c r="G188">
        <v>4.915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-0.61057692307692146</v>
      </c>
      <c r="Q188">
        <f t="shared" ref="Q188" si="916">F188*P188</f>
        <v>-197259.2923028841</v>
      </c>
      <c r="R188">
        <f t="shared" ref="R188" si="917">R189+Q188</f>
        <v>-6188935.8372100471</v>
      </c>
      <c r="S188">
        <f t="shared" ref="S188" si="918">R188/100000</f>
        <v>-61.889358372100467</v>
      </c>
      <c r="T188">
        <f t="shared" ref="T188" si="919">S188/1000</f>
        <v>-6.1889358372100467E-2</v>
      </c>
    </row>
    <row r="189" spans="1:20" x14ac:dyDescent="0.25">
      <c r="A189" s="5">
        <v>44404</v>
      </c>
      <c r="B189">
        <v>4.6079999999999997</v>
      </c>
      <c r="C189">
        <v>5.18</v>
      </c>
      <c r="D189">
        <v>4.5380000000000003</v>
      </c>
      <c r="E189">
        <v>5.0380000000000003</v>
      </c>
      <c r="F189">
        <v>772201.44</v>
      </c>
      <c r="G189">
        <v>5.0380000000000003</v>
      </c>
      <c r="L189" t="s">
        <v>8</v>
      </c>
      <c r="M189" t="s">
        <v>8</v>
      </c>
      <c r="N189" t="s">
        <v>7</v>
      </c>
      <c r="P189">
        <f t="shared" ref="P189" si="920">IF(C189=D189,0,((E189-D189)-(C189-E189))/(C189-D189))</f>
        <v>0.55763239875389536</v>
      </c>
      <c r="Q189">
        <f t="shared" ref="Q189" si="921">F189*P189</f>
        <v>430604.54130841215</v>
      </c>
      <c r="R189">
        <f t="shared" ref="R189" si="922">R190+Q189</f>
        <v>-5991676.5449071629</v>
      </c>
      <c r="S189">
        <f t="shared" ref="S189" si="923">R189/100000</f>
        <v>-59.916765449071626</v>
      </c>
      <c r="T189">
        <f t="shared" ref="T189" si="924">S189/1000</f>
        <v>-5.9916765449071624E-2</v>
      </c>
    </row>
    <row r="190" spans="1:20" x14ac:dyDescent="0.25">
      <c r="A190" s="5">
        <v>44403</v>
      </c>
      <c r="B190">
        <v>4.6829999999999998</v>
      </c>
      <c r="C190">
        <v>5.0890000000000004</v>
      </c>
      <c r="D190">
        <v>4.593</v>
      </c>
      <c r="E190">
        <v>4.62</v>
      </c>
      <c r="F190">
        <v>361352.82400000002</v>
      </c>
      <c r="G190">
        <v>4.62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-0.89112903225806406</v>
      </c>
      <c r="Q190">
        <f t="shared" ref="Q190" si="926">F190*P190</f>
        <v>-322011.99235483859</v>
      </c>
      <c r="R190">
        <f t="shared" ref="R190" si="927">R191+Q190</f>
        <v>-6422281.0862155752</v>
      </c>
      <c r="S190">
        <f t="shared" ref="S190" si="928">R190/100000</f>
        <v>-64.222810862155754</v>
      </c>
      <c r="T190">
        <f t="shared" ref="T190" si="929">S190/1000</f>
        <v>-6.4222810862155755E-2</v>
      </c>
    </row>
    <row r="191" spans="1:20" x14ac:dyDescent="0.25">
      <c r="A191" s="5">
        <v>44402</v>
      </c>
      <c r="B191">
        <v>4.5890000000000004</v>
      </c>
      <c r="C191">
        <v>4.7110000000000003</v>
      </c>
      <c r="D191">
        <v>4.4429999999999996</v>
      </c>
      <c r="E191">
        <v>4.681</v>
      </c>
      <c r="F191">
        <v>176866.087</v>
      </c>
      <c r="G191">
        <v>4.681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0.77611940298507331</v>
      </c>
      <c r="Q191">
        <f t="shared" ref="Q191" si="931">F191*P191</f>
        <v>137269.20185074603</v>
      </c>
      <c r="R191">
        <f t="shared" ref="R191" si="932">R192+Q191</f>
        <v>-6100269.093860737</v>
      </c>
      <c r="S191">
        <f t="shared" ref="S191" si="933">R191/100000</f>
        <v>-61.002690938607373</v>
      </c>
      <c r="T191">
        <f t="shared" ref="T191:T197" si="934">S191/1000</f>
        <v>-6.1002690938607371E-2</v>
      </c>
    </row>
    <row r="192" spans="1:20" x14ac:dyDescent="0.25">
      <c r="A192" s="5">
        <v>44401</v>
      </c>
      <c r="B192">
        <v>4.53</v>
      </c>
      <c r="C192">
        <v>4.6020000000000003</v>
      </c>
      <c r="D192">
        <v>4.4640000000000004</v>
      </c>
      <c r="E192">
        <v>4.5890000000000004</v>
      </c>
      <c r="F192">
        <v>157152.47</v>
      </c>
      <c r="G192">
        <v>4.5890000000000004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0.811594202898552</v>
      </c>
      <c r="Q192">
        <f t="shared" ref="Q192" si="936">F192*P192</f>
        <v>127544.0336231886</v>
      </c>
      <c r="R192">
        <f t="shared" ref="R192" si="937">R193+Q192</f>
        <v>-6237538.2957114829</v>
      </c>
      <c r="S192">
        <f t="shared" ref="S192" si="938">R192/100000</f>
        <v>-62.37538295711483</v>
      </c>
      <c r="T192">
        <f t="shared" si="934"/>
        <v>-6.2375382957114832E-2</v>
      </c>
    </row>
    <row r="193" spans="1:20" x14ac:dyDescent="0.25">
      <c r="A193" s="5">
        <v>44400</v>
      </c>
      <c r="B193">
        <v>4.45</v>
      </c>
      <c r="C193">
        <v>4.5739999999999998</v>
      </c>
      <c r="D193">
        <v>4.3</v>
      </c>
      <c r="E193">
        <v>4.53</v>
      </c>
      <c r="F193">
        <v>231575.717</v>
      </c>
      <c r="G193">
        <v>4.53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0.67883211678832411</v>
      </c>
      <c r="Q193">
        <f t="shared" ref="Q193" si="940">F193*P193</f>
        <v>157201.03416788389</v>
      </c>
      <c r="R193">
        <f t="shared" ref="R193" si="941">R194+Q193</f>
        <v>-6365082.3293346716</v>
      </c>
      <c r="S193">
        <f t="shared" ref="S193" si="942">R193/100000</f>
        <v>-63.650823293346718</v>
      </c>
      <c r="T193">
        <f t="shared" si="934"/>
        <v>-6.3650823293346717E-2</v>
      </c>
    </row>
    <row r="194" spans="1:20" x14ac:dyDescent="0.25">
      <c r="A194" s="5">
        <v>44399</v>
      </c>
      <c r="B194">
        <v>4.3959999999999999</v>
      </c>
      <c r="C194">
        <v>4.4960000000000004</v>
      </c>
      <c r="D194">
        <v>4.2</v>
      </c>
      <c r="E194">
        <v>4.45</v>
      </c>
      <c r="F194">
        <v>244323.049</v>
      </c>
      <c r="G194">
        <v>4.45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0.6891891891891877</v>
      </c>
      <c r="Q194">
        <f t="shared" ref="Q194" si="944">F194*P194</f>
        <v>168384.80404054018</v>
      </c>
      <c r="R194">
        <f t="shared" ref="R194" si="945">R195+Q194</f>
        <v>-6522283.3635025555</v>
      </c>
      <c r="S194">
        <f t="shared" ref="S194" si="946">R194/100000</f>
        <v>-65.222833635025552</v>
      </c>
      <c r="T194">
        <f t="shared" si="934"/>
        <v>-6.5222833635025554E-2</v>
      </c>
    </row>
    <row r="195" spans="1:20" x14ac:dyDescent="0.25">
      <c r="A195" s="5">
        <v>44398</v>
      </c>
      <c r="B195">
        <v>4.0910000000000002</v>
      </c>
      <c r="C195">
        <v>4.585</v>
      </c>
      <c r="D195">
        <v>4.0140000000000002</v>
      </c>
      <c r="E195">
        <v>4.4089999999999998</v>
      </c>
      <c r="F195">
        <v>232986.49799999999</v>
      </c>
      <c r="G195">
        <v>4.4089999999999998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0.38353765323992911</v>
      </c>
      <c r="Q195">
        <f t="shared" ref="Q195" si="948">F195*P195</f>
        <v>89359.094679509435</v>
      </c>
      <c r="R195">
        <f t="shared" ref="R195" si="949">R196+Q195</f>
        <v>-6690668.1675430955</v>
      </c>
      <c r="S195">
        <f t="shared" ref="S195" si="950">R195/100000</f>
        <v>-66.90668167543096</v>
      </c>
      <c r="T195">
        <f t="shared" si="934"/>
        <v>-6.6906681675430957E-2</v>
      </c>
    </row>
    <row r="196" spans="1:20" x14ac:dyDescent="0.25">
      <c r="A196" s="5">
        <v>44397</v>
      </c>
      <c r="B196">
        <v>4.4530000000000003</v>
      </c>
      <c r="C196">
        <v>4.468</v>
      </c>
      <c r="D196">
        <v>4</v>
      </c>
      <c r="E196">
        <v>4.1079999999999997</v>
      </c>
      <c r="F196">
        <v>155576.902</v>
      </c>
      <c r="G196">
        <v>4.1079999999999997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-0.53846153846153988</v>
      </c>
      <c r="Q196">
        <f t="shared" ref="Q196" si="952">F196*P196</f>
        <v>-83772.178000000218</v>
      </c>
      <c r="R196">
        <f t="shared" ref="R196" si="953">R197+Q196</f>
        <v>-6780027.2622226048</v>
      </c>
      <c r="S196">
        <f t="shared" ref="S196" si="954">R196/100000</f>
        <v>-67.800272622226046</v>
      </c>
      <c r="T196">
        <f t="shared" si="934"/>
        <v>-6.7800272622226043E-2</v>
      </c>
    </row>
    <row r="197" spans="1:20" x14ac:dyDescent="0.25">
      <c r="A197" s="5">
        <v>44396</v>
      </c>
      <c r="B197">
        <v>4.6779999999999999</v>
      </c>
      <c r="C197">
        <v>4.7</v>
      </c>
      <c r="D197">
        <v>4.3010000000000002</v>
      </c>
      <c r="E197">
        <v>4.4329999999999998</v>
      </c>
      <c r="F197">
        <v>180369.087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-0.33834586466165578</v>
      </c>
      <c r="Q197">
        <f t="shared" ref="Q197" si="956">F197*P197</f>
        <v>-61027.134699248418</v>
      </c>
      <c r="R197">
        <f t="shared" ref="R197" si="957">R198+Q197</f>
        <v>-6696255.0842226045</v>
      </c>
      <c r="S197">
        <f t="shared" ref="S197" si="958">R197/100000</f>
        <v>-66.962550842226051</v>
      </c>
      <c r="T197">
        <f t="shared" si="934"/>
        <v>-6.6962550842226048E-2</v>
      </c>
    </row>
    <row r="198" spans="1:20" x14ac:dyDescent="0.25">
      <c r="A198" s="5">
        <v>44395</v>
      </c>
      <c r="B198">
        <v>4.6020000000000003</v>
      </c>
      <c r="C198">
        <v>4.7990000000000004</v>
      </c>
      <c r="D198">
        <v>4.6020000000000003</v>
      </c>
      <c r="E198">
        <v>4.6950000000000003</v>
      </c>
      <c r="F198">
        <v>80803.595000000001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-5.5837563451777247E-2</v>
      </c>
      <c r="Q198">
        <f t="shared" ref="Q198:Q261" si="960">F198*P198</f>
        <v>-4511.8758629442109</v>
      </c>
      <c r="R198">
        <f t="shared" ref="R198:R261" si="961">R199+Q198</f>
        <v>-6635227.9495233558</v>
      </c>
      <c r="S198">
        <f t="shared" ref="S198:S261" si="962">R198/100000</f>
        <v>-66.35227949523356</v>
      </c>
      <c r="T198">
        <f t="shared" ref="T198:T261" si="963">S198/1000</f>
        <v>-6.6352279495233563E-2</v>
      </c>
    </row>
    <row r="199" spans="1:20" x14ac:dyDescent="0.25">
      <c r="A199" s="5">
        <v>44394</v>
      </c>
      <c r="B199">
        <v>4.7069999999999999</v>
      </c>
      <c r="C199">
        <v>4.8650000000000002</v>
      </c>
      <c r="D199">
        <v>4.5519999999999996</v>
      </c>
      <c r="E199">
        <v>4.601</v>
      </c>
      <c r="F199">
        <v>135843.10200000001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-0.68690095846645183</v>
      </c>
      <c r="Q199">
        <f t="shared" si="960"/>
        <v>-93310.756964855987</v>
      </c>
      <c r="R199">
        <f t="shared" si="961"/>
        <v>-6630716.0736604119</v>
      </c>
      <c r="S199">
        <f t="shared" si="962"/>
        <v>-66.307160736604118</v>
      </c>
      <c r="T199">
        <f t="shared" si="963"/>
        <v>-6.6307160736604115E-2</v>
      </c>
    </row>
    <row r="200" spans="1:20" x14ac:dyDescent="0.25">
      <c r="A200" s="5">
        <v>44393</v>
      </c>
      <c r="B200">
        <v>4.8680000000000003</v>
      </c>
      <c r="C200">
        <v>5.1230000000000002</v>
      </c>
      <c r="D200">
        <v>4.5780000000000003</v>
      </c>
      <c r="E200">
        <v>4.7069999999999999</v>
      </c>
      <c r="F200">
        <v>492462.36599999998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-0.52660550458715749</v>
      </c>
      <c r="Q200">
        <f t="shared" si="960"/>
        <v>-259333.39273761542</v>
      </c>
      <c r="R200">
        <f t="shared" si="961"/>
        <v>-6537405.316695556</v>
      </c>
      <c r="S200">
        <f t="shared" si="962"/>
        <v>-65.374053166955562</v>
      </c>
      <c r="T200">
        <f t="shared" si="963"/>
        <v>-6.5374053166955562E-2</v>
      </c>
    </row>
    <row r="201" spans="1:20" x14ac:dyDescent="0.25">
      <c r="A201" s="5">
        <v>44392</v>
      </c>
      <c r="B201">
        <v>4.8559999999999999</v>
      </c>
      <c r="C201">
        <v>4.9630000000000001</v>
      </c>
      <c r="D201">
        <v>4.59</v>
      </c>
      <c r="E201">
        <v>4.8869999999999996</v>
      </c>
      <c r="F201">
        <v>194351.046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0.59249329758712888</v>
      </c>
      <c r="Q201">
        <f t="shared" si="960"/>
        <v>115151.69213404777</v>
      </c>
      <c r="R201">
        <f t="shared" si="961"/>
        <v>-6278071.9239579402</v>
      </c>
      <c r="S201">
        <f t="shared" si="962"/>
        <v>-62.780719239579405</v>
      </c>
      <c r="T201">
        <f t="shared" si="963"/>
        <v>-6.2780719239579411E-2</v>
      </c>
    </row>
    <row r="202" spans="1:20" x14ac:dyDescent="0.25">
      <c r="A202" s="5">
        <v>44391</v>
      </c>
      <c r="B202">
        <v>4.9080000000000004</v>
      </c>
      <c r="C202">
        <v>5.0129999999999999</v>
      </c>
      <c r="D202">
        <v>4.6639999999999997</v>
      </c>
      <c r="E202">
        <v>4.8630000000000004</v>
      </c>
      <c r="F202">
        <v>151184.88399999999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0.14040114613180871</v>
      </c>
      <c r="Q202">
        <f t="shared" si="960"/>
        <v>21226.530991404547</v>
      </c>
      <c r="R202">
        <f t="shared" si="961"/>
        <v>-6393223.616091988</v>
      </c>
      <c r="S202">
        <f t="shared" si="962"/>
        <v>-63.932236160919878</v>
      </c>
      <c r="T202">
        <f t="shared" si="963"/>
        <v>-6.3932236160919878E-2</v>
      </c>
    </row>
    <row r="203" spans="1:20" x14ac:dyDescent="0.25">
      <c r="A203" s="5">
        <v>44390</v>
      </c>
      <c r="B203">
        <v>5.1349999999999998</v>
      </c>
      <c r="C203">
        <v>5.2380000000000004</v>
      </c>
      <c r="D203">
        <v>4.8049999999999997</v>
      </c>
      <c r="E203">
        <v>4.9029999999999996</v>
      </c>
      <c r="F203">
        <v>202972.78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-0.54734411085450485</v>
      </c>
      <c r="Q203">
        <f t="shared" si="960"/>
        <v>-111095.95579676703</v>
      </c>
      <c r="R203">
        <f t="shared" si="961"/>
        <v>-6414450.1470833924</v>
      </c>
      <c r="S203">
        <f t="shared" si="962"/>
        <v>-64.14450147083393</v>
      </c>
      <c r="T203">
        <f t="shared" si="963"/>
        <v>-6.4144501470833934E-2</v>
      </c>
    </row>
    <row r="204" spans="1:20" x14ac:dyDescent="0.25">
      <c r="A204" s="5">
        <v>44389</v>
      </c>
      <c r="B204">
        <v>5.0229999999999997</v>
      </c>
      <c r="C204">
        <v>5.3</v>
      </c>
      <c r="D204">
        <v>4.9379999999999997</v>
      </c>
      <c r="E204">
        <v>5.1390000000000002</v>
      </c>
      <c r="F204">
        <v>358077.56900000002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0.11049723756906329</v>
      </c>
      <c r="Q204">
        <f t="shared" si="960"/>
        <v>39566.582209945656</v>
      </c>
      <c r="R204">
        <f t="shared" si="961"/>
        <v>-6303354.1912866253</v>
      </c>
      <c r="S204">
        <f t="shared" si="962"/>
        <v>-63.033541912866255</v>
      </c>
      <c r="T204">
        <f t="shared" si="963"/>
        <v>-6.3033541912866253E-2</v>
      </c>
    </row>
    <row r="205" spans="1:20" x14ac:dyDescent="0.25">
      <c r="A205" s="5">
        <v>44388</v>
      </c>
      <c r="B205">
        <v>4.8899999999999997</v>
      </c>
      <c r="C205">
        <v>5.1059999999999999</v>
      </c>
      <c r="D205">
        <v>4.8730000000000002</v>
      </c>
      <c r="E205">
        <v>5.0229999999999997</v>
      </c>
      <c r="F205">
        <v>99163.660999999993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0.2875536480686669</v>
      </c>
      <c r="Q205">
        <f t="shared" si="960"/>
        <v>28514.872476394587</v>
      </c>
      <c r="R205">
        <f t="shared" si="961"/>
        <v>-6342920.773496571</v>
      </c>
      <c r="S205">
        <f t="shared" si="962"/>
        <v>-63.429207734965708</v>
      </c>
      <c r="T205">
        <f t="shared" si="963"/>
        <v>-6.3429207734965715E-2</v>
      </c>
    </row>
    <row r="206" spans="1:20" x14ac:dyDescent="0.25">
      <c r="A206" s="5">
        <v>44387</v>
      </c>
      <c r="B206">
        <v>4.9580000000000002</v>
      </c>
      <c r="C206">
        <v>5.0449999999999999</v>
      </c>
      <c r="D206">
        <v>4.8499999999999996</v>
      </c>
      <c r="E206">
        <v>4.8789999999999996</v>
      </c>
      <c r="F206">
        <v>92848.019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-0.70256410256410384</v>
      </c>
      <c r="Q206">
        <f t="shared" si="960"/>
        <v>-65231.685143589864</v>
      </c>
      <c r="R206">
        <f t="shared" si="961"/>
        <v>-6371435.6459729653</v>
      </c>
      <c r="S206">
        <f t="shared" si="962"/>
        <v>-63.71435645972965</v>
      </c>
      <c r="T206">
        <f t="shared" si="963"/>
        <v>-6.3714356459729657E-2</v>
      </c>
    </row>
    <row r="207" spans="1:20" x14ac:dyDescent="0.25">
      <c r="A207" s="5">
        <v>44386</v>
      </c>
      <c r="B207">
        <v>4.8179999999999996</v>
      </c>
      <c r="C207">
        <v>5.0880000000000001</v>
      </c>
      <c r="D207">
        <v>4.7</v>
      </c>
      <c r="E207">
        <v>4.9589999999999996</v>
      </c>
      <c r="F207">
        <v>193926.095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0.33505154639175011</v>
      </c>
      <c r="Q207">
        <f t="shared" si="960"/>
        <v>64975.238015463437</v>
      </c>
      <c r="R207">
        <f t="shared" si="961"/>
        <v>-6306203.9608293753</v>
      </c>
      <c r="S207">
        <f t="shared" si="962"/>
        <v>-63.062039608293752</v>
      </c>
      <c r="T207">
        <f t="shared" si="963"/>
        <v>-6.3062039608293749E-2</v>
      </c>
    </row>
    <row r="208" spans="1:20" x14ac:dyDescent="0.25">
      <c r="A208" s="5">
        <v>44385</v>
      </c>
      <c r="B208">
        <v>5.1849999999999996</v>
      </c>
      <c r="C208">
        <v>5.1970000000000001</v>
      </c>
      <c r="D208">
        <v>4.7089999999999996</v>
      </c>
      <c r="E208">
        <v>4.8179999999999996</v>
      </c>
      <c r="F208">
        <v>227469.62400000001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-0.55327868852459061</v>
      </c>
      <c r="Q208">
        <f t="shared" si="960"/>
        <v>-125854.09524590174</v>
      </c>
      <c r="R208">
        <f t="shared" si="961"/>
        <v>-6371179.1988448389</v>
      </c>
      <c r="S208">
        <f t="shared" si="962"/>
        <v>-63.71179198844839</v>
      </c>
      <c r="T208">
        <f t="shared" si="963"/>
        <v>-6.3711791988448396E-2</v>
      </c>
    </row>
    <row r="209" spans="1:20" x14ac:dyDescent="0.25">
      <c r="A209" s="5">
        <v>44384</v>
      </c>
      <c r="B209">
        <v>5.218</v>
      </c>
      <c r="C209">
        <v>5.3769999999999998</v>
      </c>
      <c r="D209">
        <v>5.1449999999999996</v>
      </c>
      <c r="E209">
        <v>5.1829999999999998</v>
      </c>
      <c r="F209">
        <v>183917.85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-0.6724137931034464</v>
      </c>
      <c r="Q209">
        <f t="shared" si="960"/>
        <v>-123668.8991379307</v>
      </c>
      <c r="R209">
        <f t="shared" si="961"/>
        <v>-6245325.1035989374</v>
      </c>
      <c r="S209">
        <f t="shared" si="962"/>
        <v>-62.453251035989375</v>
      </c>
      <c r="T209">
        <f t="shared" si="963"/>
        <v>-6.2453251035989372E-2</v>
      </c>
    </row>
    <row r="210" spans="1:20" x14ac:dyDescent="0.25">
      <c r="A210" s="5">
        <v>44383</v>
      </c>
      <c r="B210">
        <v>5.101</v>
      </c>
      <c r="C210">
        <v>5.423</v>
      </c>
      <c r="D210">
        <v>5.05</v>
      </c>
      <c r="E210">
        <v>5.2270000000000003</v>
      </c>
      <c r="F210">
        <v>302453.22700000001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-5.0938337801606511E-2</v>
      </c>
      <c r="Q210">
        <f t="shared" si="960"/>
        <v>-15406.464646111976</v>
      </c>
      <c r="R210">
        <f t="shared" si="961"/>
        <v>-6121656.2044610064</v>
      </c>
      <c r="S210">
        <f t="shared" si="962"/>
        <v>-61.216562044610065</v>
      </c>
      <c r="T210">
        <f t="shared" si="963"/>
        <v>-6.1216562044610068E-2</v>
      </c>
    </row>
    <row r="211" spans="1:20" x14ac:dyDescent="0.25">
      <c r="A211" s="5">
        <v>44382</v>
      </c>
      <c r="B211">
        <v>5.3929999999999998</v>
      </c>
      <c r="C211">
        <v>5.48</v>
      </c>
      <c r="D211">
        <v>4.9939999999999998</v>
      </c>
      <c r="E211">
        <v>5.109</v>
      </c>
      <c r="F211">
        <v>466342.44099999999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-0.52674897119341535</v>
      </c>
      <c r="Q211">
        <f t="shared" si="960"/>
        <v>-245645.40102057598</v>
      </c>
      <c r="R211">
        <f t="shared" si="961"/>
        <v>-6106249.7398148943</v>
      </c>
      <c r="S211">
        <f t="shared" si="962"/>
        <v>-61.062497398148942</v>
      </c>
      <c r="T211">
        <f t="shared" si="963"/>
        <v>-6.1062497398148945E-2</v>
      </c>
    </row>
    <row r="212" spans="1:20" x14ac:dyDescent="0.25">
      <c r="A212" s="5">
        <v>44381</v>
      </c>
      <c r="B212">
        <v>5.3109999999999999</v>
      </c>
      <c r="C212">
        <v>5.65</v>
      </c>
      <c r="D212">
        <v>5.1509999999999998</v>
      </c>
      <c r="E212">
        <v>5.3719999999999999</v>
      </c>
      <c r="F212">
        <v>864121.01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-0.1142284569138283</v>
      </c>
      <c r="Q212">
        <f t="shared" si="960"/>
        <v>-98707.209559118797</v>
      </c>
      <c r="R212">
        <f t="shared" si="961"/>
        <v>-5860604.338794318</v>
      </c>
      <c r="S212">
        <f t="shared" si="962"/>
        <v>-58.606043387943181</v>
      </c>
      <c r="T212">
        <f t="shared" si="963"/>
        <v>-5.8606043387943181E-2</v>
      </c>
    </row>
    <row r="213" spans="1:20" x14ac:dyDescent="0.25">
      <c r="A213" s="5">
        <v>44380</v>
      </c>
      <c r="B213">
        <v>5.149</v>
      </c>
      <c r="C213">
        <v>5.5</v>
      </c>
      <c r="D213">
        <v>5</v>
      </c>
      <c r="E213">
        <v>5.3019999999999996</v>
      </c>
      <c r="F213">
        <v>219176.261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0.20799999999999841</v>
      </c>
      <c r="Q213">
        <f t="shared" si="960"/>
        <v>45588.66228799965</v>
      </c>
      <c r="R213">
        <f t="shared" si="961"/>
        <v>-5761897.1292351997</v>
      </c>
      <c r="S213">
        <f t="shared" si="962"/>
        <v>-57.618971292351993</v>
      </c>
      <c r="T213">
        <f t="shared" si="963"/>
        <v>-5.7618971292351995E-2</v>
      </c>
    </row>
    <row r="214" spans="1:20" x14ac:dyDescent="0.25">
      <c r="A214" s="5">
        <v>44379</v>
      </c>
      <c r="B214">
        <v>5.0039999999999996</v>
      </c>
      <c r="C214">
        <v>5.1920000000000002</v>
      </c>
      <c r="D214">
        <v>4.75</v>
      </c>
      <c r="E214">
        <v>5.1429999999999998</v>
      </c>
      <c r="F214">
        <v>216299.36300000001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0.77828054298642368</v>
      </c>
      <c r="Q214">
        <f t="shared" si="960"/>
        <v>168341.58568325758</v>
      </c>
      <c r="R214">
        <f t="shared" si="961"/>
        <v>-5807485.7915231995</v>
      </c>
      <c r="S214">
        <f t="shared" si="962"/>
        <v>-58.074857915231995</v>
      </c>
      <c r="T214">
        <f t="shared" si="963"/>
        <v>-5.8074857915231995E-2</v>
      </c>
    </row>
    <row r="215" spans="1:20" x14ac:dyDescent="0.25">
      <c r="A215" s="5">
        <v>44378</v>
      </c>
      <c r="B215">
        <v>5.306</v>
      </c>
      <c r="C215">
        <v>5.3070000000000004</v>
      </c>
      <c r="D215">
        <v>4.7670000000000003</v>
      </c>
      <c r="E215">
        <v>4.9989999999999997</v>
      </c>
      <c r="F215">
        <v>212079.25599999999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-0.14074074074074333</v>
      </c>
      <c r="Q215">
        <f t="shared" si="960"/>
        <v>-29848.191585185734</v>
      </c>
      <c r="R215">
        <f t="shared" si="961"/>
        <v>-5975827.3772064568</v>
      </c>
      <c r="S215">
        <f t="shared" si="962"/>
        <v>-59.75827377206457</v>
      </c>
      <c r="T215">
        <f t="shared" si="963"/>
        <v>-5.9758273772064573E-2</v>
      </c>
    </row>
    <row r="216" spans="1:20" x14ac:dyDescent="0.25">
      <c r="A216" s="5">
        <v>44377</v>
      </c>
      <c r="B216">
        <v>5.2910000000000004</v>
      </c>
      <c r="C216">
        <v>5.5490000000000004</v>
      </c>
      <c r="D216">
        <v>4.8769999999999998</v>
      </c>
      <c r="E216">
        <v>5.3070000000000004</v>
      </c>
      <c r="F216">
        <v>193360.231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0.27976190476190543</v>
      </c>
      <c r="Q216">
        <f t="shared" si="960"/>
        <v>54094.826529762031</v>
      </c>
      <c r="R216">
        <f t="shared" si="961"/>
        <v>-5945979.1856212709</v>
      </c>
      <c r="S216">
        <f t="shared" si="962"/>
        <v>-59.459791856212711</v>
      </c>
      <c r="T216">
        <f t="shared" si="963"/>
        <v>-5.945979185621271E-2</v>
      </c>
    </row>
    <row r="217" spans="1:20" x14ac:dyDescent="0.25">
      <c r="A217" s="5">
        <v>44376</v>
      </c>
      <c r="B217">
        <v>4.9740000000000002</v>
      </c>
      <c r="C217">
        <v>5.5</v>
      </c>
      <c r="D217">
        <v>4.95</v>
      </c>
      <c r="E217">
        <v>5.2880000000000003</v>
      </c>
      <c r="F217">
        <v>246116.215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0.22909090909090976</v>
      </c>
      <c r="Q217">
        <f t="shared" si="960"/>
        <v>56382.987436363801</v>
      </c>
      <c r="R217">
        <f t="shared" si="961"/>
        <v>-6000074.0121510327</v>
      </c>
      <c r="S217">
        <f t="shared" si="962"/>
        <v>-60.000740121510326</v>
      </c>
      <c r="T217">
        <f t="shared" si="963"/>
        <v>-6.0000740121510326E-2</v>
      </c>
    </row>
    <row r="218" spans="1:20" x14ac:dyDescent="0.25">
      <c r="A218" s="5">
        <v>44375</v>
      </c>
      <c r="B218">
        <v>4.8899999999999997</v>
      </c>
      <c r="C218">
        <v>5.1269999999999998</v>
      </c>
      <c r="D218">
        <v>4.8040000000000003</v>
      </c>
      <c r="E218">
        <v>4.9729999999999999</v>
      </c>
      <c r="F218">
        <v>122372.663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4.6439628482971215E-2</v>
      </c>
      <c r="Q218">
        <f t="shared" si="960"/>
        <v>5682.9410061918379</v>
      </c>
      <c r="R218">
        <f t="shared" si="961"/>
        <v>-6056456.9995873962</v>
      </c>
      <c r="S218">
        <f t="shared" si="962"/>
        <v>-60.56456999587396</v>
      </c>
      <c r="T218">
        <f t="shared" si="963"/>
        <v>-6.0564569995873958E-2</v>
      </c>
    </row>
    <row r="219" spans="1:20" x14ac:dyDescent="0.25">
      <c r="A219" s="5">
        <v>44374</v>
      </c>
      <c r="B219">
        <v>4.7460000000000004</v>
      </c>
      <c r="C219">
        <v>4.96</v>
      </c>
      <c r="D219">
        <v>4.5199999999999996</v>
      </c>
      <c r="E219">
        <v>4.87</v>
      </c>
      <c r="F219">
        <v>463278.03499999997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0.59090909090909194</v>
      </c>
      <c r="Q219">
        <f t="shared" si="960"/>
        <v>273755.20250000048</v>
      </c>
      <c r="R219">
        <f t="shared" si="961"/>
        <v>-6062139.9405935882</v>
      </c>
      <c r="S219">
        <f t="shared" si="962"/>
        <v>-60.621399405935882</v>
      </c>
      <c r="T219">
        <f t="shared" si="963"/>
        <v>-6.0621399405935882E-2</v>
      </c>
    </row>
    <row r="220" spans="1:20" x14ac:dyDescent="0.25">
      <c r="A220" s="5">
        <v>44373</v>
      </c>
      <c r="B220">
        <v>4.7779999999999996</v>
      </c>
      <c r="C220">
        <v>4.907</v>
      </c>
      <c r="D220">
        <v>4.4630000000000001</v>
      </c>
      <c r="E220">
        <v>4.74</v>
      </c>
      <c r="F220">
        <v>227345.367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0.24774774774774849</v>
      </c>
      <c r="Q220">
        <f t="shared" si="960"/>
        <v>56324.302635135304</v>
      </c>
      <c r="R220">
        <f t="shared" si="961"/>
        <v>-6335895.1430935888</v>
      </c>
      <c r="S220">
        <f t="shared" si="962"/>
        <v>-63.358951430935889</v>
      </c>
      <c r="T220">
        <f t="shared" si="963"/>
        <v>-6.3358951430935895E-2</v>
      </c>
    </row>
    <row r="221" spans="1:20" x14ac:dyDescent="0.25">
      <c r="A221" s="5">
        <v>44372</v>
      </c>
      <c r="B221">
        <v>5.2619999999999996</v>
      </c>
      <c r="C221">
        <v>5.3559999999999999</v>
      </c>
      <c r="D221">
        <v>4.7</v>
      </c>
      <c r="E221">
        <v>4.78</v>
      </c>
      <c r="F221">
        <v>243205.31400000001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-0.75609756097560943</v>
      </c>
      <c r="Q221">
        <f t="shared" si="960"/>
        <v>-183886.94473170725</v>
      </c>
      <c r="R221">
        <f t="shared" si="961"/>
        <v>-6392219.4457287239</v>
      </c>
      <c r="S221">
        <f t="shared" si="962"/>
        <v>-63.92219445728724</v>
      </c>
      <c r="T221">
        <f t="shared" si="963"/>
        <v>-6.3922194457287237E-2</v>
      </c>
    </row>
    <row r="222" spans="1:20" x14ac:dyDescent="0.25">
      <c r="A222" s="5">
        <v>44371</v>
      </c>
      <c r="B222">
        <v>5.2080000000000002</v>
      </c>
      <c r="C222">
        <v>5.3769999999999998</v>
      </c>
      <c r="D222">
        <v>4.9340000000000002</v>
      </c>
      <c r="E222">
        <v>5.2709999999999999</v>
      </c>
      <c r="F222">
        <v>324483.48499999999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0.5214446952595938</v>
      </c>
      <c r="Q222">
        <f t="shared" si="960"/>
        <v>169200.19195259598</v>
      </c>
      <c r="R222">
        <f t="shared" si="961"/>
        <v>-6208332.5009970162</v>
      </c>
      <c r="S222">
        <f t="shared" si="962"/>
        <v>-62.08332500997016</v>
      </c>
      <c r="T222">
        <f t="shared" si="963"/>
        <v>-6.2083325009970158E-2</v>
      </c>
    </row>
    <row r="223" spans="1:20" x14ac:dyDescent="0.25">
      <c r="A223" s="5">
        <v>44370</v>
      </c>
      <c r="B223">
        <v>4.7309999999999999</v>
      </c>
      <c r="C223">
        <v>5.5629999999999997</v>
      </c>
      <c r="D223">
        <v>4.6219999999999999</v>
      </c>
      <c r="E223">
        <v>5.1829999999999998</v>
      </c>
      <c r="F223">
        <v>407235.35100000002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0.19234856535600434</v>
      </c>
      <c r="Q223">
        <f t="shared" si="960"/>
        <v>78331.135527098872</v>
      </c>
      <c r="R223">
        <f t="shared" si="961"/>
        <v>-6377532.6929496126</v>
      </c>
      <c r="S223">
        <f t="shared" si="962"/>
        <v>-63.775326929496124</v>
      </c>
      <c r="T223">
        <f t="shared" si="963"/>
        <v>-6.3775326929496126E-2</v>
      </c>
    </row>
    <row r="224" spans="1:20" x14ac:dyDescent="0.25">
      <c r="A224" s="5">
        <v>44369</v>
      </c>
      <c r="B224">
        <v>5.1150000000000002</v>
      </c>
      <c r="C224">
        <v>5.32</v>
      </c>
      <c r="D224">
        <v>4.2590000000000003</v>
      </c>
      <c r="E224">
        <v>4.718</v>
      </c>
      <c r="F224">
        <v>364765.3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-0.13477851083883194</v>
      </c>
      <c r="Q224">
        <f t="shared" si="960"/>
        <v>-49162.523939679784</v>
      </c>
      <c r="R224">
        <f t="shared" si="961"/>
        <v>-6455863.8284767112</v>
      </c>
      <c r="S224">
        <f t="shared" si="962"/>
        <v>-64.558638284767113</v>
      </c>
      <c r="T224">
        <f t="shared" si="963"/>
        <v>-6.4558638284767114E-2</v>
      </c>
    </row>
    <row r="225" spans="1:20" x14ac:dyDescent="0.25">
      <c r="A225" s="5">
        <v>44368</v>
      </c>
      <c r="B225">
        <v>6.2249999999999996</v>
      </c>
      <c r="C225">
        <v>6.2759999999999998</v>
      </c>
      <c r="D225">
        <v>5.05</v>
      </c>
      <c r="E225">
        <v>5.1210000000000004</v>
      </c>
      <c r="F225">
        <v>319521.83600000001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-0.88417618270799248</v>
      </c>
      <c r="Q225">
        <f t="shared" si="960"/>
        <v>-282513.59724632924</v>
      </c>
      <c r="R225">
        <f t="shared" si="961"/>
        <v>-6406701.3045370318</v>
      </c>
      <c r="S225">
        <f t="shared" si="962"/>
        <v>-64.067013045370317</v>
      </c>
      <c r="T225">
        <f t="shared" si="963"/>
        <v>-6.4067013045370311E-2</v>
      </c>
    </row>
    <row r="226" spans="1:20" x14ac:dyDescent="0.25">
      <c r="A226" s="5">
        <v>44367</v>
      </c>
      <c r="B226">
        <v>6.4130000000000003</v>
      </c>
      <c r="C226">
        <v>6.4370000000000003</v>
      </c>
      <c r="D226">
        <v>5.6340000000000003</v>
      </c>
      <c r="E226">
        <v>6.2249999999999996</v>
      </c>
      <c r="F226">
        <v>255269.231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0.47198007471979914</v>
      </c>
      <c r="Q226">
        <f t="shared" si="960"/>
        <v>120481.99072104567</v>
      </c>
      <c r="R226">
        <f t="shared" si="961"/>
        <v>-6124187.7072907025</v>
      </c>
      <c r="S226">
        <f t="shared" si="962"/>
        <v>-61.241877072907023</v>
      </c>
      <c r="T226">
        <f t="shared" si="963"/>
        <v>-6.1241877072907021E-2</v>
      </c>
    </row>
    <row r="227" spans="1:20" x14ac:dyDescent="0.25">
      <c r="A227" s="5">
        <v>44366</v>
      </c>
      <c r="B227">
        <v>6.5759999999999996</v>
      </c>
      <c r="C227">
        <v>6.6470000000000002</v>
      </c>
      <c r="D227">
        <v>6.2889999999999997</v>
      </c>
      <c r="E227">
        <v>6.423</v>
      </c>
      <c r="F227">
        <v>543638.09499999997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-0.25139664804469197</v>
      </c>
      <c r="Q227">
        <f t="shared" si="960"/>
        <v>-136668.79483240182</v>
      </c>
      <c r="R227">
        <f t="shared" si="961"/>
        <v>-6244669.6980117485</v>
      </c>
      <c r="S227">
        <f t="shared" si="962"/>
        <v>-62.446696980117487</v>
      </c>
      <c r="T227">
        <f t="shared" si="963"/>
        <v>-6.244669698011749E-2</v>
      </c>
    </row>
    <row r="228" spans="1:20" x14ac:dyDescent="0.25">
      <c r="A228" s="5">
        <v>44365</v>
      </c>
      <c r="B228">
        <v>6.8689999999999998</v>
      </c>
      <c r="C228">
        <v>6.8769999999999998</v>
      </c>
      <c r="D228">
        <v>6.25</v>
      </c>
      <c r="E228">
        <v>6.5759999999999996</v>
      </c>
      <c r="F228">
        <v>116288.49400000001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3.9872408293460088E-2</v>
      </c>
      <c r="Q228">
        <f t="shared" si="960"/>
        <v>4636.7023125995838</v>
      </c>
      <c r="R228">
        <f t="shared" si="961"/>
        <v>-6108000.9031793466</v>
      </c>
      <c r="S228">
        <f t="shared" si="962"/>
        <v>-61.080009031793466</v>
      </c>
      <c r="T228">
        <f t="shared" si="963"/>
        <v>-6.1080009031793468E-2</v>
      </c>
    </row>
    <row r="229" spans="1:20" x14ac:dyDescent="0.25">
      <c r="A229" s="5">
        <v>44364</v>
      </c>
      <c r="B229">
        <v>6.9749999999999996</v>
      </c>
      <c r="C229">
        <v>7.1879999999999997</v>
      </c>
      <c r="D229">
        <v>6.75</v>
      </c>
      <c r="E229">
        <v>6.8689999999999998</v>
      </c>
      <c r="F229">
        <v>172325.486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-0.45662100456621074</v>
      </c>
      <c r="Q229">
        <f t="shared" si="960"/>
        <v>-78687.43652968049</v>
      </c>
      <c r="R229">
        <f t="shared" si="961"/>
        <v>-6112637.6054919465</v>
      </c>
      <c r="S229">
        <f t="shared" si="962"/>
        <v>-61.126376054919461</v>
      </c>
      <c r="T229">
        <f t="shared" si="963"/>
        <v>-6.1126376054919461E-2</v>
      </c>
    </row>
    <row r="230" spans="1:20" x14ac:dyDescent="0.25">
      <c r="A230" s="5">
        <v>44363</v>
      </c>
      <c r="B230">
        <v>7.1929999999999996</v>
      </c>
      <c r="C230">
        <v>7.5819999999999999</v>
      </c>
      <c r="D230">
        <v>6.85</v>
      </c>
      <c r="E230">
        <v>6.96</v>
      </c>
      <c r="F230">
        <v>779707.90700000001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-0.69945355191256753</v>
      </c>
      <c r="Q230">
        <f t="shared" si="960"/>
        <v>-545369.46500546392</v>
      </c>
      <c r="R230">
        <f t="shared" si="961"/>
        <v>-6033950.1689622663</v>
      </c>
      <c r="S230">
        <f t="shared" si="962"/>
        <v>-60.339501689622665</v>
      </c>
      <c r="T230">
        <f t="shared" si="963"/>
        <v>-6.0339501689622668E-2</v>
      </c>
    </row>
    <row r="231" spans="1:20" x14ac:dyDescent="0.25">
      <c r="A231" s="5">
        <v>44362</v>
      </c>
      <c r="B231">
        <v>7.3869999999999996</v>
      </c>
      <c r="C231">
        <v>7.5650000000000004</v>
      </c>
      <c r="D231">
        <v>7.1</v>
      </c>
      <c r="E231">
        <v>7.2110000000000003</v>
      </c>
      <c r="F231">
        <v>142024.318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-0.52258064516128833</v>
      </c>
      <c r="Q231">
        <f t="shared" si="960"/>
        <v>-74219.159729031977</v>
      </c>
      <c r="R231">
        <f t="shared" si="961"/>
        <v>-5488580.7039568024</v>
      </c>
      <c r="S231">
        <f t="shared" si="962"/>
        <v>-54.885807039568022</v>
      </c>
      <c r="T231">
        <f t="shared" si="963"/>
        <v>-5.4885807039568024E-2</v>
      </c>
    </row>
    <row r="232" spans="1:20" x14ac:dyDescent="0.25">
      <c r="A232" s="5">
        <v>44361</v>
      </c>
      <c r="B232">
        <v>7.07</v>
      </c>
      <c r="C232">
        <v>7.5</v>
      </c>
      <c r="D232">
        <v>6.8330000000000002</v>
      </c>
      <c r="E232">
        <v>7.3869999999999996</v>
      </c>
      <c r="F232">
        <v>238421.37400000001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0.6611694152923524</v>
      </c>
      <c r="Q232">
        <f t="shared" si="960"/>
        <v>157636.92044077927</v>
      </c>
      <c r="R232">
        <f t="shared" si="961"/>
        <v>-5414361.5442277705</v>
      </c>
      <c r="S232">
        <f t="shared" si="962"/>
        <v>-54.143615442277707</v>
      </c>
      <c r="T232">
        <f t="shared" si="963"/>
        <v>-5.4143615442277707E-2</v>
      </c>
    </row>
    <row r="233" spans="1:20" x14ac:dyDescent="0.25">
      <c r="A233" s="5">
        <v>44360</v>
      </c>
      <c r="B233">
        <v>6.6349999999999998</v>
      </c>
      <c r="C233">
        <v>7.165</v>
      </c>
      <c r="D233">
        <v>6.4960000000000004</v>
      </c>
      <c r="E233">
        <v>7.0730000000000004</v>
      </c>
      <c r="F233">
        <v>158251.894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0.72496263079222811</v>
      </c>
      <c r="Q233">
        <f t="shared" si="960"/>
        <v>114726.70940209282</v>
      </c>
      <c r="R233">
        <f t="shared" si="961"/>
        <v>-5571998.4646685496</v>
      </c>
      <c r="S233">
        <f t="shared" si="962"/>
        <v>-55.719984646685496</v>
      </c>
      <c r="T233">
        <f t="shared" si="963"/>
        <v>-5.5719984646685497E-2</v>
      </c>
    </row>
    <row r="234" spans="1:20" x14ac:dyDescent="0.25">
      <c r="A234" s="5">
        <v>44359</v>
      </c>
      <c r="B234">
        <v>7.1470000000000002</v>
      </c>
      <c r="C234">
        <v>7.1859999999999999</v>
      </c>
      <c r="D234">
        <v>6.4</v>
      </c>
      <c r="E234">
        <v>6.6230000000000002</v>
      </c>
      <c r="F234">
        <v>488739.83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-0.43256997455470741</v>
      </c>
      <c r="Q234">
        <f t="shared" si="960"/>
        <v>-211414.17582697203</v>
      </c>
      <c r="R234">
        <f t="shared" si="961"/>
        <v>-5686725.1740706423</v>
      </c>
      <c r="S234">
        <f t="shared" si="962"/>
        <v>-56.867251740706422</v>
      </c>
      <c r="T234">
        <f t="shared" si="963"/>
        <v>-5.686725174070642E-2</v>
      </c>
    </row>
    <row r="235" spans="1:20" x14ac:dyDescent="0.25">
      <c r="A235" s="5">
        <v>44358</v>
      </c>
      <c r="B235">
        <v>7.0730000000000004</v>
      </c>
      <c r="C235">
        <v>7.9329999999999998</v>
      </c>
      <c r="D235">
        <v>6.8419999999999996</v>
      </c>
      <c r="E235">
        <v>7.1849999999999996</v>
      </c>
      <c r="F235">
        <v>578472.65099999995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-0.37121906507791036</v>
      </c>
      <c r="Q235">
        <f t="shared" si="960"/>
        <v>-214740.07667736031</v>
      </c>
      <c r="R235">
        <f t="shared" si="961"/>
        <v>-5475310.99824367</v>
      </c>
      <c r="S235">
        <f t="shared" si="962"/>
        <v>-54.753109982436698</v>
      </c>
      <c r="T235">
        <f t="shared" si="963"/>
        <v>-5.4753109982436696E-2</v>
      </c>
    </row>
    <row r="236" spans="1:20" x14ac:dyDescent="0.25">
      <c r="A236" s="5">
        <v>44357</v>
      </c>
      <c r="B236">
        <v>7.3979999999999997</v>
      </c>
      <c r="C236">
        <v>7.4779999999999998</v>
      </c>
      <c r="D236">
        <v>6.8010000000000002</v>
      </c>
      <c r="E236">
        <v>7.077</v>
      </c>
      <c r="F236">
        <v>212624.63099999999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-0.18463810930576083</v>
      </c>
      <c r="Q236">
        <f t="shared" si="960"/>
        <v>-39258.60985967506</v>
      </c>
      <c r="R236">
        <f t="shared" si="961"/>
        <v>-5260570.9215663094</v>
      </c>
      <c r="S236">
        <f t="shared" si="962"/>
        <v>-52.605709215663097</v>
      </c>
      <c r="T236">
        <f t="shared" si="963"/>
        <v>-5.2605709215663099E-2</v>
      </c>
    </row>
    <row r="237" spans="1:20" x14ac:dyDescent="0.25">
      <c r="A237" s="5">
        <v>44356</v>
      </c>
      <c r="B237">
        <v>7.1180000000000003</v>
      </c>
      <c r="C237">
        <v>7.423</v>
      </c>
      <c r="D237">
        <v>6.6</v>
      </c>
      <c r="E237">
        <v>7.3719999999999999</v>
      </c>
      <c r="F237">
        <v>286264.62300000002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0.87606318347509082</v>
      </c>
      <c r="Q237">
        <f t="shared" si="960"/>
        <v>250785.89694167674</v>
      </c>
      <c r="R237">
        <f t="shared" si="961"/>
        <v>-5221312.3117066342</v>
      </c>
      <c r="S237">
        <f t="shared" si="962"/>
        <v>-52.213123117066345</v>
      </c>
      <c r="T237">
        <f t="shared" si="963"/>
        <v>-5.2213123117066343E-2</v>
      </c>
    </row>
    <row r="238" spans="1:20" x14ac:dyDescent="0.25">
      <c r="A238" s="5">
        <v>44355</v>
      </c>
      <c r="B238">
        <v>6.9989999999999997</v>
      </c>
      <c r="C238">
        <v>7.266</v>
      </c>
      <c r="D238">
        <v>6.2789999999999999</v>
      </c>
      <c r="E238">
        <v>7.1180000000000003</v>
      </c>
      <c r="F238">
        <v>349372.75699999998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0.70010131712259438</v>
      </c>
      <c r="Q238">
        <f t="shared" si="960"/>
        <v>244596.3273424521</v>
      </c>
      <c r="R238">
        <f t="shared" si="961"/>
        <v>-5472098.208648311</v>
      </c>
      <c r="S238">
        <f t="shared" si="962"/>
        <v>-54.720982086483112</v>
      </c>
      <c r="T238">
        <f t="shared" si="963"/>
        <v>-5.4720982086483114E-2</v>
      </c>
    </row>
    <row r="239" spans="1:20" x14ac:dyDescent="0.25">
      <c r="A239" s="5">
        <v>44354</v>
      </c>
      <c r="B239">
        <v>8</v>
      </c>
      <c r="C239">
        <v>8.359</v>
      </c>
      <c r="D239">
        <v>6.9409999999999998</v>
      </c>
      <c r="E239">
        <v>7.0250000000000004</v>
      </c>
      <c r="F239">
        <v>327573.07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-0.88152327221438576</v>
      </c>
      <c r="Q239">
        <f t="shared" si="960"/>
        <v>-288763.28455571207</v>
      </c>
      <c r="R239">
        <f t="shared" si="961"/>
        <v>-5716694.5359907635</v>
      </c>
      <c r="S239">
        <f t="shared" si="962"/>
        <v>-57.166945359907636</v>
      </c>
      <c r="T239">
        <f t="shared" si="963"/>
        <v>-5.7166945359907635E-2</v>
      </c>
    </row>
    <row r="240" spans="1:20" x14ac:dyDescent="0.25">
      <c r="A240" s="5">
        <v>44353</v>
      </c>
      <c r="B240">
        <v>7.827</v>
      </c>
      <c r="C240">
        <v>8.1999999999999993</v>
      </c>
      <c r="D240">
        <v>7.782</v>
      </c>
      <c r="E240">
        <v>8.0079999999999991</v>
      </c>
      <c r="F240">
        <v>370358.02500000002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8.1339712918657853E-2</v>
      </c>
      <c r="Q240">
        <f t="shared" si="960"/>
        <v>30124.815430621111</v>
      </c>
      <c r="R240">
        <f t="shared" si="961"/>
        <v>-5427931.2514350517</v>
      </c>
      <c r="S240">
        <f t="shared" si="962"/>
        <v>-54.279312514350515</v>
      </c>
      <c r="T240">
        <f t="shared" si="963"/>
        <v>-5.4279312514350517E-2</v>
      </c>
    </row>
    <row r="241" spans="1:20" x14ac:dyDescent="0.25">
      <c r="A241" s="5">
        <v>44352</v>
      </c>
      <c r="B241">
        <v>8.6419999999999995</v>
      </c>
      <c r="C241">
        <v>9.7949999999999999</v>
      </c>
      <c r="D241">
        <v>7.32</v>
      </c>
      <c r="E241">
        <v>7.8449999999999998</v>
      </c>
      <c r="F241">
        <v>725870.99699999997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-0.57575757575757613</v>
      </c>
      <c r="Q241">
        <f t="shared" si="960"/>
        <v>-417925.72554545483</v>
      </c>
      <c r="R241">
        <f t="shared" si="961"/>
        <v>-5458056.0668656724</v>
      </c>
      <c r="S241">
        <f t="shared" si="962"/>
        <v>-54.580560668656723</v>
      </c>
      <c r="T241">
        <f t="shared" si="963"/>
        <v>-5.458056066865672E-2</v>
      </c>
    </row>
    <row r="242" spans="1:20" x14ac:dyDescent="0.25">
      <c r="A242" s="5">
        <v>44351</v>
      </c>
      <c r="B242">
        <v>10.021000000000001</v>
      </c>
      <c r="C242">
        <v>10.61</v>
      </c>
      <c r="D242">
        <v>8.2240000000000002</v>
      </c>
      <c r="E242">
        <v>8.641</v>
      </c>
      <c r="F242">
        <v>715262.50300000003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-0.65046102263202021</v>
      </c>
      <c r="Q242">
        <f t="shared" si="960"/>
        <v>-465250.37915171846</v>
      </c>
      <c r="R242">
        <f t="shared" si="961"/>
        <v>-5040130.3413202176</v>
      </c>
      <c r="S242">
        <f t="shared" si="962"/>
        <v>-50.401303413202179</v>
      </c>
      <c r="T242">
        <f t="shared" si="963"/>
        <v>-5.0401303413202175E-2</v>
      </c>
    </row>
    <row r="243" spans="1:20" x14ac:dyDescent="0.25">
      <c r="A243" s="5">
        <v>44350</v>
      </c>
      <c r="B243">
        <v>7.6950000000000003</v>
      </c>
      <c r="C243">
        <v>10.912000000000001</v>
      </c>
      <c r="D243">
        <v>7.4669999999999996</v>
      </c>
      <c r="E243">
        <v>10.053000000000001</v>
      </c>
      <c r="F243">
        <v>1726548.4539999999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0.50130624092888265</v>
      </c>
      <c r="Q243">
        <f t="shared" si="960"/>
        <v>865529.51525631384</v>
      </c>
      <c r="R243">
        <f t="shared" si="961"/>
        <v>-4574879.9621684989</v>
      </c>
      <c r="S243">
        <f t="shared" si="962"/>
        <v>-45.748799621684988</v>
      </c>
      <c r="T243">
        <f t="shared" si="963"/>
        <v>-4.5748799621684988E-2</v>
      </c>
    </row>
    <row r="244" spans="1:20" x14ac:dyDescent="0.25">
      <c r="A244" s="5">
        <v>44349</v>
      </c>
      <c r="B244">
        <v>7.327</v>
      </c>
      <c r="C244">
        <v>7.9379999999999997</v>
      </c>
      <c r="D244">
        <v>7.157</v>
      </c>
      <c r="E244">
        <v>7.7460000000000004</v>
      </c>
      <c r="F244">
        <v>228156.38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0.5083226632522424</v>
      </c>
      <c r="Q244">
        <f t="shared" si="960"/>
        <v>115977.05871959066</v>
      </c>
      <c r="R244">
        <f t="shared" si="961"/>
        <v>-5440409.4774248125</v>
      </c>
      <c r="S244">
        <f t="shared" si="962"/>
        <v>-54.404094774248122</v>
      </c>
      <c r="T244">
        <f t="shared" si="963"/>
        <v>-5.4404094774248124E-2</v>
      </c>
    </row>
    <row r="245" spans="1:20" x14ac:dyDescent="0.25">
      <c r="A245" s="5">
        <v>44348</v>
      </c>
      <c r="B245">
        <v>7.5709999999999997</v>
      </c>
      <c r="C245">
        <v>7.6550000000000002</v>
      </c>
      <c r="D245">
        <v>7.0789999999999997</v>
      </c>
      <c r="E245">
        <v>7.3019999999999996</v>
      </c>
      <c r="F245">
        <v>211311.32500000001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-0.22569444444444561</v>
      </c>
      <c r="Q245">
        <f t="shared" si="960"/>
        <v>-47691.792100694693</v>
      </c>
      <c r="R245">
        <f t="shared" si="961"/>
        <v>-5556386.5361444028</v>
      </c>
      <c r="S245">
        <f t="shared" si="962"/>
        <v>-55.56386536144403</v>
      </c>
      <c r="T245">
        <f t="shared" si="963"/>
        <v>-5.5563865361444031E-2</v>
      </c>
    </row>
    <row r="246" spans="1:20" x14ac:dyDescent="0.25">
      <c r="A246" s="5">
        <v>44347</v>
      </c>
      <c r="B246">
        <v>7.3010000000000002</v>
      </c>
      <c r="C246">
        <v>7.6</v>
      </c>
      <c r="D246">
        <v>6.7</v>
      </c>
      <c r="E246">
        <v>7.5709999999999997</v>
      </c>
      <c r="F246">
        <v>238396.17499999999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0.9355555555555557</v>
      </c>
      <c r="Q246">
        <f t="shared" si="960"/>
        <v>223032.86594444446</v>
      </c>
      <c r="R246">
        <f t="shared" si="961"/>
        <v>-5508694.7440437078</v>
      </c>
      <c r="S246">
        <f t="shared" si="962"/>
        <v>-55.086947440437079</v>
      </c>
      <c r="T246">
        <f t="shared" si="963"/>
        <v>-5.508694744043708E-2</v>
      </c>
    </row>
    <row r="247" spans="1:20" x14ac:dyDescent="0.25">
      <c r="A247" s="5">
        <v>44346</v>
      </c>
      <c r="B247">
        <v>6.6619999999999999</v>
      </c>
      <c r="C247">
        <v>7.7</v>
      </c>
      <c r="D247">
        <v>6.26</v>
      </c>
      <c r="E247">
        <v>7.2750000000000004</v>
      </c>
      <c r="F247">
        <v>266658.28399999999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0.40972222222222265</v>
      </c>
      <c r="Q247">
        <f t="shared" si="960"/>
        <v>109255.82469444456</v>
      </c>
      <c r="R247">
        <f t="shared" si="961"/>
        <v>-5731727.609988152</v>
      </c>
      <c r="S247">
        <f t="shared" si="962"/>
        <v>-57.317276099881518</v>
      </c>
      <c r="T247">
        <f t="shared" si="963"/>
        <v>-5.731727609988152E-2</v>
      </c>
    </row>
    <row r="248" spans="1:20" x14ac:dyDescent="0.25">
      <c r="A248" s="5">
        <v>44345</v>
      </c>
      <c r="B248">
        <v>6.8470000000000004</v>
      </c>
      <c r="C248">
        <v>7.9</v>
      </c>
      <c r="D248">
        <v>6.3</v>
      </c>
      <c r="E248">
        <v>6.6609999999999996</v>
      </c>
      <c r="F248">
        <v>555754.99199999997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-0.5487500000000004</v>
      </c>
      <c r="Q248">
        <f t="shared" si="960"/>
        <v>-304970.55186000018</v>
      </c>
      <c r="R248">
        <f t="shared" si="961"/>
        <v>-5840983.4346825965</v>
      </c>
      <c r="S248">
        <f t="shared" si="962"/>
        <v>-58.409834346825967</v>
      </c>
      <c r="T248">
        <f t="shared" si="963"/>
        <v>-5.8409834346825965E-2</v>
      </c>
    </row>
    <row r="249" spans="1:20" x14ac:dyDescent="0.25">
      <c r="A249" s="5">
        <v>44344</v>
      </c>
      <c r="B249">
        <v>7.6219999999999999</v>
      </c>
      <c r="C249">
        <v>7.67</v>
      </c>
      <c r="D249">
        <v>6.3</v>
      </c>
      <c r="E249">
        <v>6.8150000000000004</v>
      </c>
      <c r="F249">
        <v>383372.788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-0.24817518248175105</v>
      </c>
      <c r="Q249">
        <f t="shared" si="960"/>
        <v>-95143.611620437659</v>
      </c>
      <c r="R249">
        <f t="shared" si="961"/>
        <v>-5536012.8828225965</v>
      </c>
      <c r="S249">
        <f t="shared" si="962"/>
        <v>-55.360128828225967</v>
      </c>
      <c r="T249">
        <f t="shared" si="963"/>
        <v>-5.5360128828225968E-2</v>
      </c>
    </row>
    <row r="250" spans="1:20" x14ac:dyDescent="0.25">
      <c r="A250" s="5">
        <v>44343</v>
      </c>
      <c r="B250">
        <v>8.2680000000000007</v>
      </c>
      <c r="C250">
        <v>8.27</v>
      </c>
      <c r="D250">
        <v>7.01</v>
      </c>
      <c r="E250">
        <v>7.6289999999999996</v>
      </c>
      <c r="F250">
        <v>323780.36300000001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-1.7460317460317655E-2</v>
      </c>
      <c r="Q250">
        <f t="shared" si="960"/>
        <v>-5653.307925396889</v>
      </c>
      <c r="R250">
        <f t="shared" si="961"/>
        <v>-5440869.2712021591</v>
      </c>
      <c r="S250">
        <f t="shared" si="962"/>
        <v>-54.40869271202159</v>
      </c>
      <c r="T250">
        <f t="shared" si="963"/>
        <v>-5.4408692712021589E-2</v>
      </c>
    </row>
    <row r="251" spans="1:20" x14ac:dyDescent="0.25">
      <c r="A251" s="5">
        <v>44342</v>
      </c>
      <c r="B251">
        <v>7.7229999999999999</v>
      </c>
      <c r="C251">
        <v>8.8949999999999996</v>
      </c>
      <c r="D251">
        <v>7.5039999999999996</v>
      </c>
      <c r="E251">
        <v>8.2680000000000007</v>
      </c>
      <c r="F251">
        <v>550693.21600000001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9.8490294751978597E-2</v>
      </c>
      <c r="Q251">
        <f t="shared" si="960"/>
        <v>54237.93716175502</v>
      </c>
      <c r="R251">
        <f t="shared" si="961"/>
        <v>-5435215.9632767625</v>
      </c>
      <c r="S251">
        <f t="shared" si="962"/>
        <v>-54.352159632767624</v>
      </c>
      <c r="T251">
        <f t="shared" si="963"/>
        <v>-5.435215963276762E-2</v>
      </c>
    </row>
    <row r="252" spans="1:20" x14ac:dyDescent="0.25">
      <c r="A252" s="5">
        <v>44341</v>
      </c>
      <c r="B252">
        <v>7.6909999999999998</v>
      </c>
      <c r="C252">
        <v>8.2850000000000001</v>
      </c>
      <c r="D252">
        <v>6.9260000000000002</v>
      </c>
      <c r="E252">
        <v>7.7229999999999999</v>
      </c>
      <c r="F252">
        <v>453095.43199999997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0.17292126563649701</v>
      </c>
      <c r="Q252">
        <f t="shared" si="960"/>
        <v>78349.835555555357</v>
      </c>
      <c r="R252">
        <f t="shared" si="961"/>
        <v>-5489453.9004385173</v>
      </c>
      <c r="S252">
        <f t="shared" si="962"/>
        <v>-54.894539004385173</v>
      </c>
      <c r="T252">
        <f t="shared" si="963"/>
        <v>-5.4894539004385172E-2</v>
      </c>
    </row>
    <row r="253" spans="1:20" x14ac:dyDescent="0.25">
      <c r="A253" s="5">
        <v>44340</v>
      </c>
      <c r="B253">
        <v>6.1349999999999998</v>
      </c>
      <c r="C253">
        <v>7.7</v>
      </c>
      <c r="D253">
        <v>5.7549999999999999</v>
      </c>
      <c r="E253">
        <v>7.69</v>
      </c>
      <c r="F253">
        <v>511207.897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0.98971722365038584</v>
      </c>
      <c r="Q253">
        <f t="shared" si="960"/>
        <v>505951.26052699238</v>
      </c>
      <c r="R253">
        <f t="shared" si="961"/>
        <v>-5567803.7359940726</v>
      </c>
      <c r="S253">
        <f t="shared" si="962"/>
        <v>-55.678037359940724</v>
      </c>
      <c r="T253">
        <f t="shared" si="963"/>
        <v>-5.5678037359940723E-2</v>
      </c>
    </row>
    <row r="254" spans="1:20" x14ac:dyDescent="0.25">
      <c r="A254" s="5">
        <v>44339</v>
      </c>
      <c r="B254">
        <v>6.9930000000000003</v>
      </c>
      <c r="C254">
        <v>7.5490000000000004</v>
      </c>
      <c r="D254">
        <v>5.03</v>
      </c>
      <c r="E254">
        <v>6.1109999999999998</v>
      </c>
      <c r="F254">
        <v>473526.08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-0.14172290591504608</v>
      </c>
      <c r="Q254">
        <f t="shared" si="960"/>
        <v>-67109.492084160578</v>
      </c>
      <c r="R254">
        <f t="shared" si="961"/>
        <v>-6073754.996521065</v>
      </c>
      <c r="S254">
        <f t="shared" si="962"/>
        <v>-60.737549965210647</v>
      </c>
      <c r="T254">
        <f t="shared" si="963"/>
        <v>-6.0737549965210649E-2</v>
      </c>
    </row>
    <row r="255" spans="1:20" x14ac:dyDescent="0.25">
      <c r="A255" s="5">
        <v>44338</v>
      </c>
      <c r="B255">
        <v>7.8920000000000003</v>
      </c>
      <c r="C255">
        <v>8.0990000000000002</v>
      </c>
      <c r="D255">
        <v>6.9160000000000004</v>
      </c>
      <c r="E255">
        <v>6.9909999999999997</v>
      </c>
      <c r="F255">
        <v>338931.88900000002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-0.87320371935756669</v>
      </c>
      <c r="Q255">
        <f t="shared" si="960"/>
        <v>-295956.58608368598</v>
      </c>
      <c r="R255">
        <f t="shared" si="961"/>
        <v>-6006645.5044369046</v>
      </c>
      <c r="S255">
        <f t="shared" si="962"/>
        <v>-60.066455044369043</v>
      </c>
      <c r="T255">
        <f t="shared" si="963"/>
        <v>-6.0066455044369041E-2</v>
      </c>
    </row>
    <row r="256" spans="1:20" x14ac:dyDescent="0.25">
      <c r="A256" s="5">
        <v>44337</v>
      </c>
      <c r="B256">
        <v>9.6639999999999997</v>
      </c>
      <c r="C256">
        <v>10.073</v>
      </c>
      <c r="D256">
        <v>6.7119999999999997</v>
      </c>
      <c r="E256">
        <v>7.8920000000000003</v>
      </c>
      <c r="F256">
        <v>617591.554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-0.2978280273728055</v>
      </c>
      <c r="Q256">
        <f t="shared" si="960"/>
        <v>-183936.0742499255</v>
      </c>
      <c r="R256">
        <f t="shared" si="961"/>
        <v>-5710688.9183532186</v>
      </c>
      <c r="S256">
        <f t="shared" si="962"/>
        <v>-57.106889183532189</v>
      </c>
      <c r="T256">
        <f t="shared" si="963"/>
        <v>-5.710688918353219E-2</v>
      </c>
    </row>
    <row r="257" spans="1:20" x14ac:dyDescent="0.25">
      <c r="A257" s="5">
        <v>44336</v>
      </c>
      <c r="B257">
        <v>8.01</v>
      </c>
      <c r="C257">
        <v>10.436999999999999</v>
      </c>
      <c r="D257">
        <v>7.2110000000000003</v>
      </c>
      <c r="E257">
        <v>9.657</v>
      </c>
      <c r="F257">
        <v>589417.91200000001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0.51642901425914467</v>
      </c>
      <c r="Q257">
        <f t="shared" si="960"/>
        <v>304392.51128084329</v>
      </c>
      <c r="R257">
        <f t="shared" si="961"/>
        <v>-5526752.8441032935</v>
      </c>
      <c r="S257">
        <f t="shared" si="962"/>
        <v>-55.267528441032937</v>
      </c>
      <c r="T257">
        <f t="shared" si="963"/>
        <v>-5.5267528441032936E-2</v>
      </c>
    </row>
    <row r="258" spans="1:20" x14ac:dyDescent="0.25">
      <c r="A258" s="5">
        <v>44335</v>
      </c>
      <c r="B258">
        <v>13.188000000000001</v>
      </c>
      <c r="C258">
        <v>13.5</v>
      </c>
      <c r="D258">
        <v>6.01</v>
      </c>
      <c r="E258">
        <v>8.01</v>
      </c>
      <c r="F258">
        <v>1041723.366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-0.46595460614152207</v>
      </c>
      <c r="Q258">
        <f t="shared" si="960"/>
        <v>-485395.80071295064</v>
      </c>
      <c r="R258">
        <f t="shared" si="961"/>
        <v>-5831145.3553841366</v>
      </c>
      <c r="S258">
        <f t="shared" si="962"/>
        <v>-58.311453553841368</v>
      </c>
      <c r="T258">
        <f t="shared" si="963"/>
        <v>-5.8311453553841368E-2</v>
      </c>
    </row>
    <row r="259" spans="1:20" x14ac:dyDescent="0.25">
      <c r="A259" s="5">
        <v>44334</v>
      </c>
      <c r="B259">
        <v>11.637</v>
      </c>
      <c r="C259">
        <v>14.061</v>
      </c>
      <c r="D259">
        <v>11.536</v>
      </c>
      <c r="E259">
        <v>13.19</v>
      </c>
      <c r="F259">
        <v>536439.56299999997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0.31009900990098987</v>
      </c>
      <c r="Q259">
        <f t="shared" si="960"/>
        <v>166349.37735801967</v>
      </c>
      <c r="R259">
        <f t="shared" si="961"/>
        <v>-5345749.554671186</v>
      </c>
      <c r="S259">
        <f t="shared" si="962"/>
        <v>-53.457495546711861</v>
      </c>
      <c r="T259">
        <f t="shared" si="963"/>
        <v>-5.3457495546711864E-2</v>
      </c>
    </row>
    <row r="260" spans="1:20" x14ac:dyDescent="0.25">
      <c r="A260" s="5">
        <v>44333</v>
      </c>
      <c r="B260">
        <v>13.715</v>
      </c>
      <c r="C260">
        <v>13.715</v>
      </c>
      <c r="D260">
        <v>11.071</v>
      </c>
      <c r="E260">
        <v>11.637</v>
      </c>
      <c r="F260">
        <v>730320.875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-0.57186081694402369</v>
      </c>
      <c r="Q260">
        <f t="shared" si="960"/>
        <v>-417641.89220877422</v>
      </c>
      <c r="R260">
        <f t="shared" si="961"/>
        <v>-5512098.9320292054</v>
      </c>
      <c r="S260">
        <f t="shared" si="962"/>
        <v>-55.120989320292054</v>
      </c>
      <c r="T260">
        <f t="shared" si="963"/>
        <v>-5.5120989320292052E-2</v>
      </c>
    </row>
    <row r="261" spans="1:20" x14ac:dyDescent="0.25">
      <c r="A261" s="5">
        <v>44332</v>
      </c>
      <c r="B261">
        <v>13.894</v>
      </c>
      <c r="C261">
        <v>15.196999999999999</v>
      </c>
      <c r="D261">
        <v>12.36</v>
      </c>
      <c r="E261">
        <v>13.718999999999999</v>
      </c>
      <c r="F261">
        <v>325106.98800000001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-4.1945717307014373E-2</v>
      </c>
      <c r="Q261">
        <f t="shared" si="960"/>
        <v>-13636.845813182914</v>
      </c>
      <c r="R261">
        <f t="shared" si="961"/>
        <v>-5094457.0398204308</v>
      </c>
      <c r="S261">
        <f t="shared" si="962"/>
        <v>-50.944570398204306</v>
      </c>
      <c r="T261">
        <f t="shared" si="963"/>
        <v>-5.0944570398204304E-2</v>
      </c>
    </row>
    <row r="262" spans="1:20" x14ac:dyDescent="0.25">
      <c r="A262" s="5">
        <v>44331</v>
      </c>
      <c r="B262">
        <v>15.564</v>
      </c>
      <c r="C262">
        <v>16.071000000000002</v>
      </c>
      <c r="D262">
        <v>13.821</v>
      </c>
      <c r="E262">
        <v>13.83</v>
      </c>
      <c r="F262">
        <v>273352.03999999998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-0.99199999999999966</v>
      </c>
      <c r="Q262">
        <f t="shared" ref="Q262:Q325" si="965">F262*P262</f>
        <v>-271165.22367999988</v>
      </c>
      <c r="R262">
        <f t="shared" ref="R262:R325" si="966">R263+Q262</f>
        <v>-5080820.1940072477</v>
      </c>
      <c r="S262">
        <f t="shared" ref="S262:S325" si="967">R262/100000</f>
        <v>-50.808201940072479</v>
      </c>
      <c r="T262">
        <f t="shared" ref="T262:T325" si="968">S262/1000</f>
        <v>-5.0808201940072475E-2</v>
      </c>
    </row>
    <row r="263" spans="1:20" x14ac:dyDescent="0.25">
      <c r="A263" s="5">
        <v>44330</v>
      </c>
      <c r="B263">
        <v>15.789</v>
      </c>
      <c r="C263">
        <v>16.8</v>
      </c>
      <c r="D263">
        <v>15.087</v>
      </c>
      <c r="E263">
        <v>15.565</v>
      </c>
      <c r="F263">
        <v>467658.21299999999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-0.44191476941039171</v>
      </c>
      <c r="Q263">
        <f t="shared" si="965"/>
        <v>-206665.07136077085</v>
      </c>
      <c r="R263">
        <f t="shared" si="966"/>
        <v>-4809654.9703272479</v>
      </c>
      <c r="S263">
        <f t="shared" si="967"/>
        <v>-48.09654970327248</v>
      </c>
      <c r="T263">
        <f t="shared" si="968"/>
        <v>-4.8096549703272477E-2</v>
      </c>
    </row>
    <row r="264" spans="1:20" x14ac:dyDescent="0.25">
      <c r="A264" s="5">
        <v>44329</v>
      </c>
      <c r="B264">
        <v>15.055</v>
      </c>
      <c r="C264">
        <v>17.724</v>
      </c>
      <c r="D264">
        <v>13.6</v>
      </c>
      <c r="E264">
        <v>15.788</v>
      </c>
      <c r="F264">
        <v>452072.69900000002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6.1105722599418197E-2</v>
      </c>
      <c r="Q264">
        <f t="shared" si="965"/>
        <v>27624.228939864282</v>
      </c>
      <c r="R264">
        <f t="shared" si="966"/>
        <v>-4602989.8989664773</v>
      </c>
      <c r="S264">
        <f t="shared" si="967"/>
        <v>-46.029898989664773</v>
      </c>
      <c r="T264">
        <f t="shared" si="968"/>
        <v>-4.6029898989664773E-2</v>
      </c>
    </row>
    <row r="265" spans="1:20" x14ac:dyDescent="0.25">
      <c r="A265" s="5">
        <v>44328</v>
      </c>
      <c r="B265">
        <v>20.494</v>
      </c>
      <c r="C265">
        <v>21.55</v>
      </c>
      <c r="D265">
        <v>14.5</v>
      </c>
      <c r="E265">
        <v>15.007</v>
      </c>
      <c r="F265">
        <v>677744.67700000003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-0.85617021276595751</v>
      </c>
      <c r="Q265">
        <f t="shared" si="965"/>
        <v>-580264.80430808512</v>
      </c>
      <c r="R265">
        <f t="shared" si="966"/>
        <v>-4630614.1279063411</v>
      </c>
      <c r="S265">
        <f t="shared" si="967"/>
        <v>-46.306141279063411</v>
      </c>
      <c r="T265">
        <f t="shared" si="968"/>
        <v>-4.6306141279063413E-2</v>
      </c>
    </row>
    <row r="266" spans="1:20" x14ac:dyDescent="0.25">
      <c r="A266" s="5">
        <v>44327</v>
      </c>
      <c r="B266">
        <v>15.771000000000001</v>
      </c>
      <c r="C266">
        <v>21.794</v>
      </c>
      <c r="D266">
        <v>15.3</v>
      </c>
      <c r="E266">
        <v>20.55</v>
      </c>
      <c r="F266">
        <v>812090.03099999996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0.61687711733908224</v>
      </c>
      <c r="Q266">
        <f t="shared" si="965"/>
        <v>500959.75734308589</v>
      </c>
      <c r="R266">
        <f t="shared" si="966"/>
        <v>-4050349.3235982559</v>
      </c>
      <c r="S266">
        <f t="shared" si="967"/>
        <v>-40.50349323598256</v>
      </c>
      <c r="T266">
        <f t="shared" si="968"/>
        <v>-4.0503493235982561E-2</v>
      </c>
    </row>
    <row r="267" spans="1:20" x14ac:dyDescent="0.25">
      <c r="A267" s="5">
        <v>44326</v>
      </c>
      <c r="B267">
        <v>17.946000000000002</v>
      </c>
      <c r="C267">
        <v>19.8</v>
      </c>
      <c r="D267">
        <v>15</v>
      </c>
      <c r="E267">
        <v>15.782999999999999</v>
      </c>
      <c r="F267">
        <v>636682.72900000005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-0.67375000000000029</v>
      </c>
      <c r="Q267">
        <f t="shared" si="965"/>
        <v>-428964.98866375023</v>
      </c>
      <c r="R267">
        <f t="shared" si="966"/>
        <v>-4551309.0809413418</v>
      </c>
      <c r="S267">
        <f t="shared" si="967"/>
        <v>-45.51309080941342</v>
      </c>
      <c r="T267">
        <f t="shared" si="968"/>
        <v>-4.5513090809413417E-2</v>
      </c>
    </row>
    <row r="268" spans="1:20" x14ac:dyDescent="0.25">
      <c r="A268" s="5">
        <v>44325</v>
      </c>
      <c r="B268">
        <v>19.457000000000001</v>
      </c>
      <c r="C268">
        <v>19.48</v>
      </c>
      <c r="D268">
        <v>17.25</v>
      </c>
      <c r="E268">
        <v>17.946000000000002</v>
      </c>
      <c r="F268">
        <v>493146.30200000003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-0.37578475336322748</v>
      </c>
      <c r="Q268">
        <f t="shared" si="965"/>
        <v>-185316.86146905771</v>
      </c>
      <c r="R268">
        <f t="shared" si="966"/>
        <v>-4122344.092277592</v>
      </c>
      <c r="S268">
        <f t="shared" si="967"/>
        <v>-41.223440922775922</v>
      </c>
      <c r="T268">
        <f t="shared" si="968"/>
        <v>-4.1223440922775918E-2</v>
      </c>
    </row>
    <row r="269" spans="1:20" x14ac:dyDescent="0.25">
      <c r="A269" s="5">
        <v>44324</v>
      </c>
      <c r="B269">
        <v>18.73</v>
      </c>
      <c r="C269">
        <v>22.917999999999999</v>
      </c>
      <c r="D269">
        <v>17.626000000000001</v>
      </c>
      <c r="E269">
        <v>19.433</v>
      </c>
      <c r="F269">
        <v>2216507.6129999999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-0.31708238851096021</v>
      </c>
      <c r="Q269">
        <f t="shared" si="965"/>
        <v>-702815.52808276704</v>
      </c>
      <c r="R269">
        <f t="shared" si="966"/>
        <v>-3937027.2308085342</v>
      </c>
      <c r="S269">
        <f t="shared" si="967"/>
        <v>-39.37027230808534</v>
      </c>
      <c r="T269">
        <f t="shared" si="968"/>
        <v>-3.937027230808534E-2</v>
      </c>
    </row>
    <row r="270" spans="1:20" x14ac:dyDescent="0.25">
      <c r="A270" s="5">
        <v>44323</v>
      </c>
      <c r="B270">
        <v>15.036</v>
      </c>
      <c r="C270">
        <v>25.3</v>
      </c>
      <c r="D270">
        <v>15</v>
      </c>
      <c r="E270">
        <v>18.747</v>
      </c>
      <c r="F270">
        <v>6511772.25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-0.27242718446601949</v>
      </c>
      <c r="Q270">
        <f t="shared" si="965"/>
        <v>-1773983.7799514567</v>
      </c>
      <c r="R270">
        <f t="shared" si="966"/>
        <v>-3234211.7027257672</v>
      </c>
      <c r="S270">
        <f t="shared" si="967"/>
        <v>-32.342117027257672</v>
      </c>
      <c r="T270">
        <f t="shared" si="968"/>
        <v>-3.2342117027257672E-2</v>
      </c>
    </row>
    <row r="271" spans="1:20" x14ac:dyDescent="0.25">
      <c r="A271" s="5">
        <v>44322</v>
      </c>
      <c r="B271">
        <v>13.528</v>
      </c>
      <c r="C271">
        <v>16.59</v>
      </c>
      <c r="D271">
        <v>12.989000000000001</v>
      </c>
      <c r="E271">
        <v>15.037000000000001</v>
      </c>
      <c r="F271">
        <v>660615.48199999996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0.13746181616217748</v>
      </c>
      <c r="Q271">
        <f t="shared" si="965"/>
        <v>90809.403940572258</v>
      </c>
      <c r="R271">
        <f t="shared" si="966"/>
        <v>-1460227.9227743107</v>
      </c>
      <c r="S271">
        <f t="shared" si="967"/>
        <v>-14.602279227743107</v>
      </c>
      <c r="T271">
        <f t="shared" si="968"/>
        <v>-1.4602279227743107E-2</v>
      </c>
    </row>
    <row r="272" spans="1:20" x14ac:dyDescent="0.25">
      <c r="A272" s="5">
        <v>44321</v>
      </c>
      <c r="B272">
        <v>12.532</v>
      </c>
      <c r="C272">
        <v>14</v>
      </c>
      <c r="D272">
        <v>12.375999999999999</v>
      </c>
      <c r="E272">
        <v>13.523999999999999</v>
      </c>
      <c r="F272">
        <v>440048.38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0.41379310344827497</v>
      </c>
      <c r="Q272">
        <f t="shared" si="965"/>
        <v>182088.98482758581</v>
      </c>
      <c r="R272">
        <f t="shared" si="966"/>
        <v>-1551037.3267148829</v>
      </c>
      <c r="S272">
        <f t="shared" si="967"/>
        <v>-15.510373267148829</v>
      </c>
      <c r="T272">
        <f t="shared" si="968"/>
        <v>-1.5510373267148828E-2</v>
      </c>
    </row>
    <row r="273" spans="1:20" x14ac:dyDescent="0.25">
      <c r="A273" s="5">
        <v>44320</v>
      </c>
      <c r="B273">
        <v>12.395</v>
      </c>
      <c r="C273">
        <v>14.031000000000001</v>
      </c>
      <c r="D273">
        <v>11.428000000000001</v>
      </c>
      <c r="E273">
        <v>12.519</v>
      </c>
      <c r="F273">
        <v>484214.67300000001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-0.1617364579331545</v>
      </c>
      <c r="Q273">
        <f t="shared" si="965"/>
        <v>-78315.166090280662</v>
      </c>
      <c r="R273">
        <f t="shared" si="966"/>
        <v>-1733126.3115424686</v>
      </c>
      <c r="S273">
        <f t="shared" si="967"/>
        <v>-17.331263115424687</v>
      </c>
      <c r="T273">
        <f t="shared" si="968"/>
        <v>-1.7331263115424687E-2</v>
      </c>
    </row>
    <row r="274" spans="1:20" x14ac:dyDescent="0.25">
      <c r="A274" s="5">
        <v>44319</v>
      </c>
      <c r="B274">
        <v>12.583</v>
      </c>
      <c r="C274">
        <v>13.247</v>
      </c>
      <c r="D274">
        <v>12.125</v>
      </c>
      <c r="E274">
        <v>12.401</v>
      </c>
      <c r="F274">
        <v>346574.223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-0.5080213903743318</v>
      </c>
      <c r="Q274">
        <f t="shared" si="965"/>
        <v>-176067.11863636371</v>
      </c>
      <c r="R274">
        <f t="shared" si="966"/>
        <v>-1654811.1454521879</v>
      </c>
      <c r="S274">
        <f t="shared" si="967"/>
        <v>-16.54811145452188</v>
      </c>
      <c r="T274">
        <f t="shared" si="968"/>
        <v>-1.6548111454521879E-2</v>
      </c>
    </row>
    <row r="275" spans="1:20" x14ac:dyDescent="0.25">
      <c r="A275" s="5">
        <v>44318</v>
      </c>
      <c r="B275">
        <v>11.718999999999999</v>
      </c>
      <c r="C275">
        <v>13.058</v>
      </c>
      <c r="D275">
        <v>11.27</v>
      </c>
      <c r="E275">
        <v>12.584</v>
      </c>
      <c r="F275">
        <v>309008.897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0.46979865771812068</v>
      </c>
      <c r="Q275">
        <f t="shared" si="965"/>
        <v>145171.965033557</v>
      </c>
      <c r="R275">
        <f t="shared" si="966"/>
        <v>-1478744.0268158242</v>
      </c>
      <c r="S275">
        <f t="shared" si="967"/>
        <v>-14.787440268158242</v>
      </c>
      <c r="T275">
        <f t="shared" si="968"/>
        <v>-1.4787440268158243E-2</v>
      </c>
    </row>
    <row r="276" spans="1:20" x14ac:dyDescent="0.25">
      <c r="A276" s="5">
        <v>44317</v>
      </c>
      <c r="B276">
        <v>12.148999999999999</v>
      </c>
      <c r="C276">
        <v>12.191000000000001</v>
      </c>
      <c r="D276">
        <v>11.260999999999999</v>
      </c>
      <c r="E276">
        <v>11.718999999999999</v>
      </c>
      <c r="F276">
        <v>149019.42800000001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-1.5053763440861397E-2</v>
      </c>
      <c r="Q276">
        <f t="shared" si="965"/>
        <v>-2243.3032172044773</v>
      </c>
      <c r="R276">
        <f t="shared" si="966"/>
        <v>-1623915.9918493812</v>
      </c>
      <c r="S276">
        <f t="shared" si="967"/>
        <v>-16.239159918493812</v>
      </c>
      <c r="T276">
        <f t="shared" si="968"/>
        <v>-1.6239159918493812E-2</v>
      </c>
    </row>
    <row r="277" spans="1:20" x14ac:dyDescent="0.25">
      <c r="A277" s="5">
        <v>44316</v>
      </c>
      <c r="B277">
        <v>10.696999999999999</v>
      </c>
      <c r="C277">
        <v>12.301</v>
      </c>
      <c r="D277">
        <v>10.307</v>
      </c>
      <c r="E277">
        <v>12.153</v>
      </c>
      <c r="F277">
        <v>425806.43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0.85155466399197621</v>
      </c>
      <c r="Q277">
        <f t="shared" si="965"/>
        <v>362597.45142427291</v>
      </c>
      <c r="R277">
        <f t="shared" si="966"/>
        <v>-1621672.6886321767</v>
      </c>
      <c r="S277">
        <f t="shared" si="967"/>
        <v>-16.216726886321766</v>
      </c>
      <c r="T277">
        <f t="shared" si="968"/>
        <v>-1.6216726886321767E-2</v>
      </c>
    </row>
    <row r="278" spans="1:20" x14ac:dyDescent="0.25">
      <c r="A278" s="5">
        <v>44315</v>
      </c>
      <c r="B278">
        <v>10.771000000000001</v>
      </c>
      <c r="C278">
        <v>11.055999999999999</v>
      </c>
      <c r="D278">
        <v>10.167999999999999</v>
      </c>
      <c r="E278">
        <v>10.696999999999999</v>
      </c>
      <c r="F278">
        <v>249266.77299999999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0.19144144144144137</v>
      </c>
      <c r="Q278">
        <f t="shared" si="965"/>
        <v>47719.990326576561</v>
      </c>
      <c r="R278">
        <f t="shared" si="966"/>
        <v>-1984270.1400564497</v>
      </c>
      <c r="S278">
        <f t="shared" si="967"/>
        <v>-19.842701400564497</v>
      </c>
      <c r="T278">
        <f t="shared" si="968"/>
        <v>-1.9842701400564496E-2</v>
      </c>
    </row>
    <row r="279" spans="1:20" x14ac:dyDescent="0.25">
      <c r="A279" s="5">
        <v>44314</v>
      </c>
      <c r="B279">
        <v>11.176</v>
      </c>
      <c r="C279">
        <v>11.4</v>
      </c>
      <c r="D279">
        <v>10.199999999999999</v>
      </c>
      <c r="E279">
        <v>10.747</v>
      </c>
      <c r="F279">
        <v>232754.234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-8.8333333333333153E-2</v>
      </c>
      <c r="Q279">
        <f t="shared" si="965"/>
        <v>-20559.957336666623</v>
      </c>
      <c r="R279">
        <f t="shared" si="966"/>
        <v>-2031990.1303830263</v>
      </c>
      <c r="S279">
        <f t="shared" si="967"/>
        <v>-20.319901303830264</v>
      </c>
      <c r="T279">
        <f t="shared" si="968"/>
        <v>-2.0319901303830264E-2</v>
      </c>
    </row>
    <row r="280" spans="1:20" x14ac:dyDescent="0.25">
      <c r="A280" s="5">
        <v>44313</v>
      </c>
      <c r="B280">
        <v>10.198</v>
      </c>
      <c r="C280">
        <v>11.5</v>
      </c>
      <c r="D280">
        <v>10.058999999999999</v>
      </c>
      <c r="E280">
        <v>11.176</v>
      </c>
      <c r="F280">
        <v>314611.08899999998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0.5503122831367111</v>
      </c>
      <c r="Q280">
        <f t="shared" si="965"/>
        <v>173134.34668771701</v>
      </c>
      <c r="R280">
        <f t="shared" si="966"/>
        <v>-2011430.1730463598</v>
      </c>
      <c r="S280">
        <f t="shared" si="967"/>
        <v>-20.114301730463598</v>
      </c>
      <c r="T280">
        <f t="shared" si="968"/>
        <v>-2.0114301730463597E-2</v>
      </c>
    </row>
    <row r="281" spans="1:20" x14ac:dyDescent="0.25">
      <c r="A281" s="5">
        <v>44312</v>
      </c>
      <c r="B281">
        <v>8.9149999999999991</v>
      </c>
      <c r="C281">
        <v>10.382</v>
      </c>
      <c r="D281">
        <v>8.8569999999999993</v>
      </c>
      <c r="E281">
        <v>10.199</v>
      </c>
      <c r="F281">
        <v>272218.11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0.76000000000000023</v>
      </c>
      <c r="Q281">
        <f t="shared" si="965"/>
        <v>206885.76360000006</v>
      </c>
      <c r="R281">
        <f t="shared" si="966"/>
        <v>-2184564.5197340767</v>
      </c>
      <c r="S281">
        <f t="shared" si="967"/>
        <v>-21.845645197340765</v>
      </c>
      <c r="T281">
        <f t="shared" si="968"/>
        <v>-2.1845645197340766E-2</v>
      </c>
    </row>
    <row r="282" spans="1:20" x14ac:dyDescent="0.25">
      <c r="A282" s="5">
        <v>44311</v>
      </c>
      <c r="B282">
        <v>9.24</v>
      </c>
      <c r="C282">
        <v>9.8490000000000002</v>
      </c>
      <c r="D282">
        <v>8.4779999999999998</v>
      </c>
      <c r="E282">
        <v>8.9160000000000004</v>
      </c>
      <c r="F282">
        <v>196023.46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-0.36105032822757044</v>
      </c>
      <c r="Q282">
        <f t="shared" si="965"/>
        <v>-70774.334573304019</v>
      </c>
      <c r="R282">
        <f t="shared" si="966"/>
        <v>-2391450.2833340769</v>
      </c>
      <c r="S282">
        <f t="shared" si="967"/>
        <v>-23.914502833340769</v>
      </c>
      <c r="T282">
        <f t="shared" si="968"/>
        <v>-2.3914502833340769E-2</v>
      </c>
    </row>
    <row r="283" spans="1:20" x14ac:dyDescent="0.25">
      <c r="A283" s="5">
        <v>44310</v>
      </c>
      <c r="B283">
        <v>10.098000000000001</v>
      </c>
      <c r="C283">
        <v>10.151999999999999</v>
      </c>
      <c r="D283">
        <v>8.7590000000000003</v>
      </c>
      <c r="E283">
        <v>9.24</v>
      </c>
      <c r="F283">
        <v>247578.44899999999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-0.30940416367552009</v>
      </c>
      <c r="Q283">
        <f t="shared" si="965"/>
        <v>-76601.802956927408</v>
      </c>
      <c r="R283">
        <f t="shared" si="966"/>
        <v>-2320675.9487607731</v>
      </c>
      <c r="S283">
        <f t="shared" si="967"/>
        <v>-23.20675948760773</v>
      </c>
      <c r="T283">
        <f t="shared" si="968"/>
        <v>-2.3206759487607729E-2</v>
      </c>
    </row>
    <row r="284" spans="1:20" x14ac:dyDescent="0.25">
      <c r="A284" s="5">
        <v>44309</v>
      </c>
      <c r="B284">
        <v>9.9</v>
      </c>
      <c r="C284">
        <v>10.194000000000001</v>
      </c>
      <c r="D284">
        <v>8.2460000000000004</v>
      </c>
      <c r="E284">
        <v>10.079000000000001</v>
      </c>
      <c r="F284">
        <v>535637.02599999995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0.88193018480492791</v>
      </c>
      <c r="Q284">
        <f t="shared" si="965"/>
        <v>472394.46132854192</v>
      </c>
      <c r="R284">
        <f t="shared" si="966"/>
        <v>-2244074.1458038455</v>
      </c>
      <c r="S284">
        <f t="shared" si="967"/>
        <v>-22.440741458038456</v>
      </c>
      <c r="T284">
        <f t="shared" si="968"/>
        <v>-2.2440741458038455E-2</v>
      </c>
    </row>
    <row r="285" spans="1:20" x14ac:dyDescent="0.25">
      <c r="A285" s="5">
        <v>44308</v>
      </c>
      <c r="B285">
        <v>11.548999999999999</v>
      </c>
      <c r="C285">
        <v>12.015000000000001</v>
      </c>
      <c r="D285">
        <v>9.8550000000000004</v>
      </c>
      <c r="E285">
        <v>9.9179999999999993</v>
      </c>
      <c r="F285">
        <v>422870.87800000003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-0.94166666666666776</v>
      </c>
      <c r="Q285">
        <f t="shared" si="965"/>
        <v>-398203.41011666716</v>
      </c>
      <c r="R285">
        <f t="shared" si="966"/>
        <v>-2716468.6071323873</v>
      </c>
      <c r="S285">
        <f t="shared" si="967"/>
        <v>-27.164686071323874</v>
      </c>
      <c r="T285">
        <f t="shared" si="968"/>
        <v>-2.7164686071323874E-2</v>
      </c>
    </row>
    <row r="286" spans="1:20" x14ac:dyDescent="0.25">
      <c r="A286" s="5">
        <v>44307</v>
      </c>
      <c r="B286">
        <v>12.76</v>
      </c>
      <c r="C286">
        <v>13.1</v>
      </c>
      <c r="D286">
        <v>11.499000000000001</v>
      </c>
      <c r="E286">
        <v>11.53</v>
      </c>
      <c r="F286">
        <v>220458.27100000001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-0.9612742036227373</v>
      </c>
      <c r="Q286">
        <f t="shared" si="965"/>
        <v>-211920.84888757061</v>
      </c>
      <c r="R286">
        <f t="shared" si="966"/>
        <v>-2318265.19701572</v>
      </c>
      <c r="S286">
        <f t="shared" si="967"/>
        <v>-23.182651970157199</v>
      </c>
      <c r="T286">
        <f t="shared" si="968"/>
        <v>-2.31826519701572E-2</v>
      </c>
    </row>
    <row r="287" spans="1:20" x14ac:dyDescent="0.25">
      <c r="A287" s="5">
        <v>44306</v>
      </c>
      <c r="B287">
        <v>12.967000000000001</v>
      </c>
      <c r="C287">
        <v>13.5</v>
      </c>
      <c r="D287">
        <v>11.016999999999999</v>
      </c>
      <c r="E287">
        <v>12.76</v>
      </c>
      <c r="F287">
        <v>430589.92300000001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0.40394683850181229</v>
      </c>
      <c r="Q287">
        <f t="shared" si="965"/>
        <v>173935.43808658878</v>
      </c>
      <c r="R287">
        <f t="shared" si="966"/>
        <v>-2106344.3481281493</v>
      </c>
      <c r="S287">
        <f t="shared" si="967"/>
        <v>-21.063443481281492</v>
      </c>
      <c r="T287">
        <f t="shared" si="968"/>
        <v>-2.1063443481281491E-2</v>
      </c>
    </row>
    <row r="288" spans="1:20" x14ac:dyDescent="0.25">
      <c r="A288" s="5">
        <v>44305</v>
      </c>
      <c r="B288">
        <v>13.356</v>
      </c>
      <c r="C288">
        <v>14.599</v>
      </c>
      <c r="D288">
        <v>11.903</v>
      </c>
      <c r="E288">
        <v>12.962999999999999</v>
      </c>
      <c r="F288">
        <v>424614.91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-0.21364985163204836</v>
      </c>
      <c r="Q288">
        <f t="shared" si="965"/>
        <v>-90718.912522255559</v>
      </c>
      <c r="R288">
        <f t="shared" si="966"/>
        <v>-2280279.7862147382</v>
      </c>
      <c r="S288">
        <f t="shared" si="967"/>
        <v>-22.802797862147383</v>
      </c>
      <c r="T288">
        <f t="shared" si="968"/>
        <v>-2.2802797862147384E-2</v>
      </c>
    </row>
    <row r="289" spans="1:20" x14ac:dyDescent="0.25">
      <c r="A289" s="5">
        <v>44304</v>
      </c>
      <c r="B289">
        <v>14.747999999999999</v>
      </c>
      <c r="C289">
        <v>14.832000000000001</v>
      </c>
      <c r="D289">
        <v>11.779</v>
      </c>
      <c r="E289">
        <v>13.43</v>
      </c>
      <c r="F289">
        <v>473222.55300000001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8.1559122174909501E-2</v>
      </c>
      <c r="Q289">
        <f t="shared" si="965"/>
        <v>38595.616016049586</v>
      </c>
      <c r="R289">
        <f t="shared" si="966"/>
        <v>-2189560.8736924827</v>
      </c>
      <c r="S289">
        <f t="shared" si="967"/>
        <v>-21.895608736924828</v>
      </c>
      <c r="T289">
        <f t="shared" si="968"/>
        <v>-2.1895608736924827E-2</v>
      </c>
    </row>
    <row r="290" spans="1:20" x14ac:dyDescent="0.25">
      <c r="A290" s="5">
        <v>44303</v>
      </c>
      <c r="B290">
        <v>12.920999999999999</v>
      </c>
      <c r="C290">
        <v>17.219000000000001</v>
      </c>
      <c r="D290">
        <v>12.831</v>
      </c>
      <c r="E290">
        <v>14.747</v>
      </c>
      <c r="F290">
        <v>1052245.274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-0.12670920692798557</v>
      </c>
      <c r="Q290">
        <f t="shared" si="965"/>
        <v>-133329.16416226086</v>
      </c>
      <c r="R290">
        <f t="shared" si="966"/>
        <v>-2228156.4897085321</v>
      </c>
      <c r="S290">
        <f t="shared" si="967"/>
        <v>-22.281564897085321</v>
      </c>
      <c r="T290">
        <f t="shared" si="968"/>
        <v>-2.2281564897085319E-2</v>
      </c>
    </row>
    <row r="291" spans="1:20" x14ac:dyDescent="0.25">
      <c r="A291" s="5">
        <v>44302</v>
      </c>
      <c r="B291">
        <v>13.391</v>
      </c>
      <c r="C291">
        <v>13.510999999999999</v>
      </c>
      <c r="D291">
        <v>12</v>
      </c>
      <c r="E291">
        <v>12.929</v>
      </c>
      <c r="F291">
        <v>447980.97700000001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0.22964923891462705</v>
      </c>
      <c r="Q291">
        <f t="shared" si="965"/>
        <v>102878.49041628104</v>
      </c>
      <c r="R291">
        <f t="shared" si="966"/>
        <v>-2094827.3255462712</v>
      </c>
      <c r="S291">
        <f t="shared" si="967"/>
        <v>-20.948273255462713</v>
      </c>
      <c r="T291">
        <f t="shared" si="968"/>
        <v>-2.0948273255462713E-2</v>
      </c>
    </row>
    <row r="292" spans="1:20" x14ac:dyDescent="0.25">
      <c r="A292" s="5">
        <v>44301</v>
      </c>
      <c r="B292">
        <v>12.776999999999999</v>
      </c>
      <c r="C292">
        <v>13.64</v>
      </c>
      <c r="D292">
        <v>11.964</v>
      </c>
      <c r="E292">
        <v>13.377000000000001</v>
      </c>
      <c r="F292">
        <v>426421.52399999998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0.68615751789976154</v>
      </c>
      <c r="Q292">
        <f t="shared" si="965"/>
        <v>292592.33448687359</v>
      </c>
      <c r="R292">
        <f t="shared" si="966"/>
        <v>-2197705.8159625521</v>
      </c>
      <c r="S292">
        <f t="shared" si="967"/>
        <v>-21.977058159625521</v>
      </c>
      <c r="T292">
        <f t="shared" si="968"/>
        <v>-2.1977058159625522E-2</v>
      </c>
    </row>
    <row r="293" spans="1:20" x14ac:dyDescent="0.25">
      <c r="A293" s="5">
        <v>44300</v>
      </c>
      <c r="B293">
        <v>11.157999999999999</v>
      </c>
      <c r="C293">
        <v>13.276</v>
      </c>
      <c r="D293">
        <v>11.093999999999999</v>
      </c>
      <c r="E293">
        <v>12.776999999999999</v>
      </c>
      <c r="F293">
        <v>439965.97200000001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0.54262144821264857</v>
      </c>
      <c r="Q293">
        <f t="shared" si="965"/>
        <v>238734.97289092559</v>
      </c>
      <c r="R293">
        <f t="shared" si="966"/>
        <v>-2490298.1504494259</v>
      </c>
      <c r="S293">
        <f t="shared" si="967"/>
        <v>-24.90298150449426</v>
      </c>
      <c r="T293">
        <f t="shared" si="968"/>
        <v>-2.490298150449426E-2</v>
      </c>
    </row>
    <row r="294" spans="1:20" x14ac:dyDescent="0.25">
      <c r="A294" s="5">
        <v>44299</v>
      </c>
      <c r="B294">
        <v>11.994999999999999</v>
      </c>
      <c r="C294">
        <v>12.135999999999999</v>
      </c>
      <c r="D294">
        <v>10.956</v>
      </c>
      <c r="E294">
        <v>11.167999999999999</v>
      </c>
      <c r="F294">
        <v>431705.05200000003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-0.64067796610169525</v>
      </c>
      <c r="Q294">
        <f t="shared" si="965"/>
        <v>-276583.91467118659</v>
      </c>
      <c r="R294">
        <f t="shared" si="966"/>
        <v>-2729033.1233403515</v>
      </c>
      <c r="S294">
        <f t="shared" si="967"/>
        <v>-27.290331233403514</v>
      </c>
      <c r="T294">
        <f t="shared" si="968"/>
        <v>-2.7290331233403513E-2</v>
      </c>
    </row>
    <row r="295" spans="1:20" x14ac:dyDescent="0.25">
      <c r="A295" s="5">
        <v>44298</v>
      </c>
      <c r="B295">
        <v>12.817</v>
      </c>
      <c r="C295">
        <v>13.093999999999999</v>
      </c>
      <c r="D295">
        <v>11.852</v>
      </c>
      <c r="E295">
        <v>11.984999999999999</v>
      </c>
      <c r="F295">
        <v>275756.61599999998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-0.78582930756843927</v>
      </c>
      <c r="Q295">
        <f t="shared" si="965"/>
        <v>-216697.630608696</v>
      </c>
      <c r="R295">
        <f t="shared" si="966"/>
        <v>-2452449.2086691651</v>
      </c>
      <c r="S295">
        <f t="shared" si="967"/>
        <v>-24.524492086691652</v>
      </c>
      <c r="T295">
        <f t="shared" si="968"/>
        <v>-2.4524492086691652E-2</v>
      </c>
    </row>
    <row r="296" spans="1:20" x14ac:dyDescent="0.25">
      <c r="A296" s="5">
        <v>44297</v>
      </c>
      <c r="B296">
        <v>11.930999999999999</v>
      </c>
      <c r="C296">
        <v>14.24</v>
      </c>
      <c r="D296">
        <v>11.744999999999999</v>
      </c>
      <c r="E296">
        <v>12.807</v>
      </c>
      <c r="F296">
        <v>890193.18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-0.14869739478957855</v>
      </c>
      <c r="Q296">
        <f t="shared" si="965"/>
        <v>-132369.40672545036</v>
      </c>
      <c r="R296">
        <f t="shared" si="966"/>
        <v>-2235751.5780604691</v>
      </c>
      <c r="S296">
        <f t="shared" si="967"/>
        <v>-22.35751578060469</v>
      </c>
      <c r="T296">
        <f t="shared" si="968"/>
        <v>-2.235751578060469E-2</v>
      </c>
    </row>
    <row r="297" spans="1:20" x14ac:dyDescent="0.25">
      <c r="A297" s="5">
        <v>44296</v>
      </c>
      <c r="B297">
        <v>11.396000000000001</v>
      </c>
      <c r="C297">
        <v>11.936999999999999</v>
      </c>
      <c r="D297">
        <v>11.16</v>
      </c>
      <c r="E297">
        <v>11.93</v>
      </c>
      <c r="F297">
        <v>223509.04199999999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0.98198198198198283</v>
      </c>
      <c r="Q297">
        <f t="shared" si="965"/>
        <v>219481.85205405424</v>
      </c>
      <c r="R297">
        <f t="shared" si="966"/>
        <v>-2103382.1713350187</v>
      </c>
      <c r="S297">
        <f t="shared" si="967"/>
        <v>-21.033821713350186</v>
      </c>
      <c r="T297">
        <f t="shared" si="968"/>
        <v>-2.1033821713350186E-2</v>
      </c>
    </row>
    <row r="298" spans="1:20" x14ac:dyDescent="0.25">
      <c r="A298" s="5">
        <v>44295</v>
      </c>
      <c r="B298">
        <v>11.869</v>
      </c>
      <c r="C298">
        <v>12.128</v>
      </c>
      <c r="D298">
        <v>11.236000000000001</v>
      </c>
      <c r="E298">
        <v>11.396000000000001</v>
      </c>
      <c r="F298">
        <v>274857.66399999999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-0.64125560538116544</v>
      </c>
      <c r="Q298">
        <f t="shared" si="965"/>
        <v>-176254.01772197295</v>
      </c>
      <c r="R298">
        <f t="shared" si="966"/>
        <v>-2322864.0233890731</v>
      </c>
      <c r="S298">
        <f t="shared" si="967"/>
        <v>-23.228640233890729</v>
      </c>
      <c r="T298">
        <f t="shared" si="968"/>
        <v>-2.3228640233890728E-2</v>
      </c>
    </row>
    <row r="299" spans="1:20" x14ac:dyDescent="0.25">
      <c r="A299" s="5">
        <v>44294</v>
      </c>
      <c r="B299">
        <v>10.192</v>
      </c>
      <c r="C299">
        <v>12.8</v>
      </c>
      <c r="D299">
        <v>10.052</v>
      </c>
      <c r="E299">
        <v>11.879</v>
      </c>
      <c r="F299">
        <v>465060.97499999998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0.32969432314410424</v>
      </c>
      <c r="Q299">
        <f t="shared" si="965"/>
        <v>153327.96337336217</v>
      </c>
      <c r="R299">
        <f t="shared" si="966"/>
        <v>-2146610.0056671002</v>
      </c>
      <c r="S299">
        <f t="shared" si="967"/>
        <v>-21.466100056671003</v>
      </c>
      <c r="T299">
        <f t="shared" si="968"/>
        <v>-2.1466100056671003E-2</v>
      </c>
    </row>
    <row r="300" spans="1:20" x14ac:dyDescent="0.25">
      <c r="A300" s="5">
        <v>44293</v>
      </c>
      <c r="B300">
        <v>11.353999999999999</v>
      </c>
      <c r="C300">
        <v>11.567</v>
      </c>
      <c r="D300">
        <v>9.4870000000000001</v>
      </c>
      <c r="E300">
        <v>10.183</v>
      </c>
      <c r="F300">
        <v>462062.04599999997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-0.33076923076923104</v>
      </c>
      <c r="Q300">
        <f t="shared" si="965"/>
        <v>-152835.90752307704</v>
      </c>
      <c r="R300">
        <f t="shared" si="966"/>
        <v>-2299937.9690404623</v>
      </c>
      <c r="S300">
        <f t="shared" si="967"/>
        <v>-22.999379690404623</v>
      </c>
      <c r="T300">
        <f t="shared" si="968"/>
        <v>-2.2999379690404623E-2</v>
      </c>
    </row>
    <row r="301" spans="1:20" x14ac:dyDescent="0.25">
      <c r="A301" s="5">
        <v>44292</v>
      </c>
      <c r="B301">
        <v>11.032999999999999</v>
      </c>
      <c r="C301">
        <v>12.497999999999999</v>
      </c>
      <c r="D301">
        <v>10.590999999999999</v>
      </c>
      <c r="E301">
        <v>11.371</v>
      </c>
      <c r="F301">
        <v>504901.66100000002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-0.18196119559517449</v>
      </c>
      <c r="Q301">
        <f t="shared" si="965"/>
        <v>-91872.50989354949</v>
      </c>
      <c r="R301">
        <f t="shared" si="966"/>
        <v>-2147102.0615173853</v>
      </c>
      <c r="S301">
        <f t="shared" si="967"/>
        <v>-21.471020615173853</v>
      </c>
      <c r="T301">
        <f t="shared" si="968"/>
        <v>-2.1471020615173853E-2</v>
      </c>
    </row>
    <row r="302" spans="1:20" x14ac:dyDescent="0.25">
      <c r="A302" s="5">
        <v>44291</v>
      </c>
      <c r="B302">
        <v>10.249000000000001</v>
      </c>
      <c r="C302">
        <v>14.095000000000001</v>
      </c>
      <c r="D302">
        <v>9.9489999999999998</v>
      </c>
      <c r="E302">
        <v>11.032999999999999</v>
      </c>
      <c r="F302">
        <v>2325444.801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-0.47708634828750629</v>
      </c>
      <c r="Q302">
        <f t="shared" si="965"/>
        <v>-1109437.9682532568</v>
      </c>
      <c r="R302">
        <f t="shared" si="966"/>
        <v>-2055229.5516238357</v>
      </c>
      <c r="S302">
        <f t="shared" si="967"/>
        <v>-20.552295516238356</v>
      </c>
      <c r="T302">
        <f t="shared" si="968"/>
        <v>-2.0552295516238356E-2</v>
      </c>
    </row>
    <row r="303" spans="1:20" x14ac:dyDescent="0.25">
      <c r="A303" s="5">
        <v>44290</v>
      </c>
      <c r="B303">
        <v>8.3439999999999994</v>
      </c>
      <c r="C303">
        <v>10.4</v>
      </c>
      <c r="D303">
        <v>8.2349999999999994</v>
      </c>
      <c r="E303">
        <v>10.249000000000001</v>
      </c>
      <c r="F303">
        <v>787336.63199999998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0.86050808314087779</v>
      </c>
      <c r="Q303">
        <f t="shared" si="965"/>
        <v>677509.53598891466</v>
      </c>
      <c r="R303">
        <f t="shared" si="966"/>
        <v>-945791.58337057906</v>
      </c>
      <c r="S303">
        <f t="shared" si="967"/>
        <v>-9.4579158337057905</v>
      </c>
      <c r="T303">
        <f t="shared" si="968"/>
        <v>-9.4579158337057909E-3</v>
      </c>
    </row>
    <row r="304" spans="1:20" x14ac:dyDescent="0.25">
      <c r="A304" s="5">
        <v>44289</v>
      </c>
      <c r="B304">
        <v>9.2899999999999991</v>
      </c>
      <c r="C304">
        <v>9.343</v>
      </c>
      <c r="D304">
        <v>8.1359999999999992</v>
      </c>
      <c r="E304">
        <v>8.3719999999999999</v>
      </c>
      <c r="F304">
        <v>244155.033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-0.6089478044739014</v>
      </c>
      <c r="Q304">
        <f t="shared" si="965"/>
        <v>-148677.67129660293</v>
      </c>
      <c r="R304">
        <f t="shared" si="966"/>
        <v>-1623301.1193594937</v>
      </c>
      <c r="S304">
        <f t="shared" si="967"/>
        <v>-16.233011193594937</v>
      </c>
      <c r="T304">
        <f t="shared" si="968"/>
        <v>-1.6233011193594937E-2</v>
      </c>
    </row>
    <row r="305" spans="1:20" x14ac:dyDescent="0.25">
      <c r="A305" s="5">
        <v>44288</v>
      </c>
      <c r="B305">
        <v>9.93</v>
      </c>
      <c r="C305">
        <v>10.067</v>
      </c>
      <c r="D305">
        <v>9.0079999999999991</v>
      </c>
      <c r="E305">
        <v>9.282</v>
      </c>
      <c r="F305">
        <v>602336.95600000001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-0.48253068932955501</v>
      </c>
      <c r="Q305">
        <f t="shared" si="965"/>
        <v>-290646.06658734585</v>
      </c>
      <c r="R305">
        <f t="shared" si="966"/>
        <v>-1474623.4480628907</v>
      </c>
      <c r="S305">
        <f t="shared" si="967"/>
        <v>-14.746234480628907</v>
      </c>
      <c r="T305">
        <f t="shared" si="968"/>
        <v>-1.4746234480628907E-2</v>
      </c>
    </row>
    <row r="306" spans="1:20" x14ac:dyDescent="0.25">
      <c r="A306" s="5">
        <v>44287</v>
      </c>
      <c r="B306">
        <v>8.9600000000000009</v>
      </c>
      <c r="C306">
        <v>9.9499999999999993</v>
      </c>
      <c r="D306">
        <v>8.6639999999999997</v>
      </c>
      <c r="E306">
        <v>9.9130000000000003</v>
      </c>
      <c r="F306">
        <v>486982.20400000003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0.94245723172628448</v>
      </c>
      <c r="Q306">
        <f t="shared" si="965"/>
        <v>458959.89988180477</v>
      </c>
      <c r="R306">
        <f t="shared" si="966"/>
        <v>-1183977.3814755448</v>
      </c>
      <c r="S306">
        <f t="shared" si="967"/>
        <v>-11.839773814755448</v>
      </c>
      <c r="T306">
        <f t="shared" si="968"/>
        <v>-1.1839773814755448E-2</v>
      </c>
    </row>
    <row r="307" spans="1:20" x14ac:dyDescent="0.25">
      <c r="A307" s="5">
        <v>44286</v>
      </c>
      <c r="B307">
        <v>9.2249999999999996</v>
      </c>
      <c r="C307">
        <v>9.4710000000000001</v>
      </c>
      <c r="D307">
        <v>8.6289999999999996</v>
      </c>
      <c r="E307">
        <v>8.9380000000000006</v>
      </c>
      <c r="F307">
        <v>373800.60399999999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-0.26603325415676754</v>
      </c>
      <c r="Q307">
        <f t="shared" si="965"/>
        <v>-99443.391087885218</v>
      </c>
      <c r="R307">
        <f t="shared" si="966"/>
        <v>-1642937.2813573496</v>
      </c>
      <c r="S307">
        <f t="shared" si="967"/>
        <v>-16.429372813573497</v>
      </c>
      <c r="T307">
        <f t="shared" si="968"/>
        <v>-1.6429372813573498E-2</v>
      </c>
    </row>
    <row r="308" spans="1:20" x14ac:dyDescent="0.25">
      <c r="A308" s="5">
        <v>44285</v>
      </c>
      <c r="B308">
        <v>8.94</v>
      </c>
      <c r="C308">
        <v>9.3000000000000007</v>
      </c>
      <c r="D308">
        <v>8.5609999999999999</v>
      </c>
      <c r="E308">
        <v>9.2249999999999996</v>
      </c>
      <c r="F308">
        <v>371113.61499999999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0.7970230040595373</v>
      </c>
      <c r="Q308">
        <f t="shared" si="965"/>
        <v>295786.08827469457</v>
      </c>
      <c r="R308">
        <f t="shared" si="966"/>
        <v>-1543493.8902694643</v>
      </c>
      <c r="S308">
        <f t="shared" si="967"/>
        <v>-15.434938902694643</v>
      </c>
      <c r="T308">
        <f t="shared" si="968"/>
        <v>-1.5434938902694643E-2</v>
      </c>
    </row>
    <row r="309" spans="1:20" x14ac:dyDescent="0.25">
      <c r="A309" s="5">
        <v>44284</v>
      </c>
      <c r="B309">
        <v>7.931</v>
      </c>
      <c r="C309">
        <v>9.4</v>
      </c>
      <c r="D309">
        <v>7.702</v>
      </c>
      <c r="E309">
        <v>8.94</v>
      </c>
      <c r="F309">
        <v>550785.46600000001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0.45818610129564108</v>
      </c>
      <c r="Q309">
        <f t="shared" si="965"/>
        <v>252362.24531684289</v>
      </c>
      <c r="R309">
        <f t="shared" si="966"/>
        <v>-1839279.9785441589</v>
      </c>
      <c r="S309">
        <f t="shared" si="967"/>
        <v>-18.392799785441589</v>
      </c>
      <c r="T309">
        <f t="shared" si="968"/>
        <v>-1.8392799785441588E-2</v>
      </c>
    </row>
    <row r="310" spans="1:20" x14ac:dyDescent="0.25">
      <c r="A310" s="5">
        <v>44283</v>
      </c>
      <c r="B310">
        <v>7.5910000000000002</v>
      </c>
      <c r="C310">
        <v>8</v>
      </c>
      <c r="D310">
        <v>7.5140000000000002</v>
      </c>
      <c r="E310">
        <v>7.931</v>
      </c>
      <c r="F310">
        <v>259289.09700000001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0.71604938271604945</v>
      </c>
      <c r="Q310">
        <f t="shared" si="965"/>
        <v>185663.79785185188</v>
      </c>
      <c r="R310">
        <f t="shared" si="966"/>
        <v>-2091642.2238610017</v>
      </c>
      <c r="S310">
        <f t="shared" si="967"/>
        <v>-20.916422238610018</v>
      </c>
      <c r="T310">
        <f t="shared" si="968"/>
        <v>-2.0916422238610018E-2</v>
      </c>
    </row>
    <row r="311" spans="1:20" x14ac:dyDescent="0.25">
      <c r="A311" s="5">
        <v>44282</v>
      </c>
      <c r="B311">
        <v>7.4139999999999997</v>
      </c>
      <c r="C311">
        <v>7.85</v>
      </c>
      <c r="D311">
        <v>6.98</v>
      </c>
      <c r="E311">
        <v>7.6</v>
      </c>
      <c r="F311">
        <v>257519.97399999999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0.42528735632183856</v>
      </c>
      <c r="Q311">
        <f t="shared" si="965"/>
        <v>109519.98894252859</v>
      </c>
      <c r="R311">
        <f t="shared" si="966"/>
        <v>-2277306.0217128536</v>
      </c>
      <c r="S311">
        <f t="shared" si="967"/>
        <v>-22.773060217128535</v>
      </c>
      <c r="T311">
        <f t="shared" si="968"/>
        <v>-2.2773060217128535E-2</v>
      </c>
    </row>
    <row r="312" spans="1:20" x14ac:dyDescent="0.25">
      <c r="A312" s="5">
        <v>44281</v>
      </c>
      <c r="B312">
        <v>6.8479999999999999</v>
      </c>
      <c r="C312">
        <v>7.45</v>
      </c>
      <c r="D312">
        <v>6.8479999999999999</v>
      </c>
      <c r="E312">
        <v>7.4119999999999999</v>
      </c>
      <c r="F312">
        <v>159604.01699999999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0.87375415282391944</v>
      </c>
      <c r="Q312">
        <f t="shared" si="965"/>
        <v>139454.67266112944</v>
      </c>
      <c r="R312">
        <f t="shared" si="966"/>
        <v>-2386826.0106553822</v>
      </c>
      <c r="S312">
        <f t="shared" si="967"/>
        <v>-23.868260106553823</v>
      </c>
      <c r="T312">
        <f t="shared" si="968"/>
        <v>-2.3868260106553824E-2</v>
      </c>
    </row>
    <row r="313" spans="1:20" x14ac:dyDescent="0.25">
      <c r="A313" s="5">
        <v>44280</v>
      </c>
      <c r="B313">
        <v>7.1849999999999996</v>
      </c>
      <c r="C313">
        <v>7.274</v>
      </c>
      <c r="D313">
        <v>6.5819999999999999</v>
      </c>
      <c r="E313">
        <v>6.8579999999999997</v>
      </c>
      <c r="F313">
        <v>239072.36900000001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-0.20231213872832446</v>
      </c>
      <c r="Q313">
        <f t="shared" si="965"/>
        <v>-48367.242283237174</v>
      </c>
      <c r="R313">
        <f t="shared" si="966"/>
        <v>-2526280.6833165116</v>
      </c>
      <c r="S313">
        <f t="shared" si="967"/>
        <v>-25.262806833165115</v>
      </c>
      <c r="T313">
        <f t="shared" si="968"/>
        <v>-2.5262806833165116E-2</v>
      </c>
    </row>
    <row r="314" spans="1:20" x14ac:dyDescent="0.25">
      <c r="A314" s="5">
        <v>44279</v>
      </c>
      <c r="B314">
        <v>7.641</v>
      </c>
      <c r="C314">
        <v>7.98</v>
      </c>
      <c r="D314">
        <v>7.069</v>
      </c>
      <c r="E314">
        <v>7.17</v>
      </c>
      <c r="F314">
        <v>227322.40400000001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-0.77826564215148208</v>
      </c>
      <c r="Q314">
        <f t="shared" si="965"/>
        <v>-176917.21672447864</v>
      </c>
      <c r="R314">
        <f t="shared" si="966"/>
        <v>-2477913.4410332744</v>
      </c>
      <c r="S314">
        <f t="shared" si="967"/>
        <v>-24.779134410332745</v>
      </c>
      <c r="T314">
        <f t="shared" si="968"/>
        <v>-2.4779134410332745E-2</v>
      </c>
    </row>
    <row r="315" spans="1:20" x14ac:dyDescent="0.25">
      <c r="A315" s="5">
        <v>44278</v>
      </c>
      <c r="B315">
        <v>7.5289999999999999</v>
      </c>
      <c r="C315">
        <v>8.1999999999999993</v>
      </c>
      <c r="D315">
        <v>7.282</v>
      </c>
      <c r="E315">
        <v>7.6420000000000003</v>
      </c>
      <c r="F315">
        <v>270499.42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-0.2156862745098026</v>
      </c>
      <c r="Q315">
        <f t="shared" si="965"/>
        <v>-58343.012156862387</v>
      </c>
      <c r="R315">
        <f t="shared" si="966"/>
        <v>-2300996.2243087958</v>
      </c>
      <c r="S315">
        <f t="shared" si="967"/>
        <v>-23.009962243087958</v>
      </c>
      <c r="T315">
        <f t="shared" si="968"/>
        <v>-2.3009962243087958E-2</v>
      </c>
    </row>
    <row r="316" spans="1:20" x14ac:dyDescent="0.25">
      <c r="A316" s="5">
        <v>44277</v>
      </c>
      <c r="B316">
        <v>8.1</v>
      </c>
      <c r="C316">
        <v>8.4600000000000009</v>
      </c>
      <c r="D316">
        <v>7.4020000000000001</v>
      </c>
      <c r="E316">
        <v>7.532</v>
      </c>
      <c r="F316">
        <v>244286.08799999999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-0.75425330812854474</v>
      </c>
      <c r="Q316">
        <f t="shared" si="965"/>
        <v>-184253.59000378079</v>
      </c>
      <c r="R316">
        <f t="shared" si="966"/>
        <v>-2242653.2121519335</v>
      </c>
      <c r="S316">
        <f t="shared" si="967"/>
        <v>-22.426532121519333</v>
      </c>
      <c r="T316">
        <f t="shared" si="968"/>
        <v>-2.2426532121519332E-2</v>
      </c>
    </row>
    <row r="317" spans="1:20" x14ac:dyDescent="0.25">
      <c r="A317" s="5">
        <v>44276</v>
      </c>
      <c r="B317">
        <v>7.7190000000000003</v>
      </c>
      <c r="C317">
        <v>8.5500000000000007</v>
      </c>
      <c r="D317">
        <v>7.5839999999999996</v>
      </c>
      <c r="E317">
        <v>8.1</v>
      </c>
      <c r="F317">
        <v>297970.245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6.8322981366458466E-2</v>
      </c>
      <c r="Q317">
        <f t="shared" si="965"/>
        <v>20358.215496894063</v>
      </c>
      <c r="R317">
        <f t="shared" si="966"/>
        <v>-2058399.6221481529</v>
      </c>
      <c r="S317">
        <f t="shared" si="967"/>
        <v>-20.583996221481527</v>
      </c>
      <c r="T317">
        <f t="shared" si="968"/>
        <v>-2.0583996221481528E-2</v>
      </c>
    </row>
    <row r="318" spans="1:20" x14ac:dyDescent="0.25">
      <c r="A318" s="5">
        <v>44275</v>
      </c>
      <c r="B318">
        <v>7.9210000000000003</v>
      </c>
      <c r="C318">
        <v>8.4949999999999992</v>
      </c>
      <c r="D318">
        <v>7.7069999999999999</v>
      </c>
      <c r="E318">
        <v>7.7069999999999999</v>
      </c>
      <c r="F318">
        <v>330009.14399999997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-1</v>
      </c>
      <c r="Q318">
        <f t="shared" si="965"/>
        <v>-330009.14399999997</v>
      </c>
      <c r="R318">
        <f t="shared" si="966"/>
        <v>-2078757.8376450469</v>
      </c>
      <c r="S318">
        <f t="shared" si="967"/>
        <v>-20.787578376450469</v>
      </c>
      <c r="T318">
        <f t="shared" si="968"/>
        <v>-2.0787578376450469E-2</v>
      </c>
    </row>
    <row r="319" spans="1:20" x14ac:dyDescent="0.25">
      <c r="A319" s="5">
        <v>44274</v>
      </c>
      <c r="B319">
        <v>8.0459999999999994</v>
      </c>
      <c r="C319">
        <v>8.1669999999999998</v>
      </c>
      <c r="D319">
        <v>7.7610000000000001</v>
      </c>
      <c r="E319">
        <v>7.9189999999999996</v>
      </c>
      <c r="F319">
        <v>219680.348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-0.22167487684729265</v>
      </c>
      <c r="Q319">
        <f t="shared" si="965"/>
        <v>-48697.614088670394</v>
      </c>
      <c r="R319">
        <f t="shared" si="966"/>
        <v>-1748748.693645047</v>
      </c>
      <c r="S319">
        <f t="shared" si="967"/>
        <v>-17.48748693645047</v>
      </c>
      <c r="T319">
        <f t="shared" si="968"/>
        <v>-1.7487486936450469E-2</v>
      </c>
    </row>
    <row r="320" spans="1:20" x14ac:dyDescent="0.25">
      <c r="A320" s="5">
        <v>44273</v>
      </c>
      <c r="B320">
        <v>8.44</v>
      </c>
      <c r="C320">
        <v>8.5180000000000007</v>
      </c>
      <c r="D320">
        <v>7.9029999999999996</v>
      </c>
      <c r="E320">
        <v>8.0500000000000007</v>
      </c>
      <c r="F320">
        <v>255321.57699999999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-0.52195121951219225</v>
      </c>
      <c r="Q320">
        <f t="shared" si="965"/>
        <v>-133265.40848292608</v>
      </c>
      <c r="R320">
        <f t="shared" si="966"/>
        <v>-1700051.0795563767</v>
      </c>
      <c r="S320">
        <f t="shared" si="967"/>
        <v>-17.000510795563766</v>
      </c>
      <c r="T320">
        <f t="shared" si="968"/>
        <v>-1.7000510795563768E-2</v>
      </c>
    </row>
    <row r="321" spans="1:20" x14ac:dyDescent="0.25">
      <c r="A321" s="5">
        <v>44272</v>
      </c>
      <c r="B321">
        <v>8.7189999999999994</v>
      </c>
      <c r="C321">
        <v>8.7579999999999991</v>
      </c>
      <c r="D321">
        <v>7.9290000000000003</v>
      </c>
      <c r="E321">
        <v>8.4489999999999998</v>
      </c>
      <c r="F321">
        <v>356597.61099999998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0.25452352231604414</v>
      </c>
      <c r="Q321">
        <f t="shared" si="965"/>
        <v>90762.480001206524</v>
      </c>
      <c r="R321">
        <f t="shared" si="966"/>
        <v>-1566785.6710734507</v>
      </c>
      <c r="S321">
        <f t="shared" si="967"/>
        <v>-15.667856710734506</v>
      </c>
      <c r="T321">
        <f t="shared" si="968"/>
        <v>-1.5667856710734507E-2</v>
      </c>
    </row>
    <row r="322" spans="1:20" x14ac:dyDescent="0.25">
      <c r="A322" s="5">
        <v>44271</v>
      </c>
      <c r="B322">
        <v>7.9279999999999999</v>
      </c>
      <c r="C322">
        <v>8.9499999999999993</v>
      </c>
      <c r="D322">
        <v>7.5010000000000003</v>
      </c>
      <c r="E322">
        <v>8.7230000000000008</v>
      </c>
      <c r="F322">
        <v>526428.02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0.68668046928916671</v>
      </c>
      <c r="Q322">
        <f t="shared" si="965"/>
        <v>361487.83982056688</v>
      </c>
      <c r="R322">
        <f t="shared" si="966"/>
        <v>-1657548.1510746572</v>
      </c>
      <c r="S322">
        <f t="shared" si="967"/>
        <v>-16.575481510746574</v>
      </c>
      <c r="T322">
        <f t="shared" si="968"/>
        <v>-1.6575481510746573E-2</v>
      </c>
    </row>
    <row r="323" spans="1:20" x14ac:dyDescent="0.25">
      <c r="A323" s="5">
        <v>44270</v>
      </c>
      <c r="B323">
        <v>8.5310000000000006</v>
      </c>
      <c r="C323">
        <v>9.5</v>
      </c>
      <c r="D323">
        <v>7.7</v>
      </c>
      <c r="E323">
        <v>7.9290000000000003</v>
      </c>
      <c r="F323">
        <v>731482.88699999999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-0.74555555555555542</v>
      </c>
      <c r="Q323">
        <f t="shared" si="965"/>
        <v>-545361.13019666658</v>
      </c>
      <c r="R323">
        <f t="shared" si="966"/>
        <v>-2019035.990895224</v>
      </c>
      <c r="S323">
        <f t="shared" si="967"/>
        <v>-20.190359908952239</v>
      </c>
      <c r="T323">
        <f t="shared" si="968"/>
        <v>-2.0190359908952238E-2</v>
      </c>
    </row>
    <row r="324" spans="1:20" x14ac:dyDescent="0.25">
      <c r="A324" s="5">
        <v>44269</v>
      </c>
      <c r="B324">
        <v>7.73</v>
      </c>
      <c r="C324">
        <v>8.6999999999999993</v>
      </c>
      <c r="D324">
        <v>7.532</v>
      </c>
      <c r="E324">
        <v>8.52</v>
      </c>
      <c r="F324">
        <v>487448.89199999999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0.69178082191780854</v>
      </c>
      <c r="Q324">
        <f t="shared" si="965"/>
        <v>337207.79515068507</v>
      </c>
      <c r="R324">
        <f t="shared" si="966"/>
        <v>-1473674.8606985575</v>
      </c>
      <c r="S324">
        <f t="shared" si="967"/>
        <v>-14.736748606985575</v>
      </c>
      <c r="T324">
        <f t="shared" si="968"/>
        <v>-1.4736748606985576E-2</v>
      </c>
    </row>
    <row r="325" spans="1:20" x14ac:dyDescent="0.25">
      <c r="A325" s="5">
        <v>44268</v>
      </c>
      <c r="B325">
        <v>7.4580000000000002</v>
      </c>
      <c r="C325">
        <v>8.093</v>
      </c>
      <c r="D325">
        <v>7.1760000000000002</v>
      </c>
      <c r="E325">
        <v>7.7270000000000003</v>
      </c>
      <c r="F325">
        <v>407439.70400000003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0.20174482006543135</v>
      </c>
      <c r="Q325">
        <f t="shared" si="965"/>
        <v>82198.849770992616</v>
      </c>
      <c r="R325">
        <f t="shared" si="966"/>
        <v>-1810882.6558492426</v>
      </c>
      <c r="S325">
        <f t="shared" si="967"/>
        <v>-18.108826558492424</v>
      </c>
      <c r="T325">
        <f t="shared" si="968"/>
        <v>-1.8108826558492424E-2</v>
      </c>
    </row>
    <row r="326" spans="1:20" x14ac:dyDescent="0.25">
      <c r="A326" s="5">
        <v>44267</v>
      </c>
      <c r="B326">
        <v>7.7380000000000004</v>
      </c>
      <c r="C326">
        <v>8.6</v>
      </c>
      <c r="D326">
        <v>7.165</v>
      </c>
      <c r="E326">
        <v>7.4349999999999996</v>
      </c>
      <c r="F326">
        <v>672107.63199999998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-0.6236933797909413</v>
      </c>
      <c r="Q326">
        <f t="shared" ref="Q326:Q389" si="970">F326*P326</f>
        <v>-419189.08058536623</v>
      </c>
      <c r="R326">
        <f t="shared" ref="R326:R389" si="971">R327+Q326</f>
        <v>-1893081.5056202351</v>
      </c>
      <c r="S326">
        <f t="shared" ref="S326:S389" si="972">R326/100000</f>
        <v>-18.930815056202352</v>
      </c>
      <c r="T326">
        <f t="shared" ref="T326:T389" si="973">S326/1000</f>
        <v>-1.8930815056202352E-2</v>
      </c>
    </row>
    <row r="327" spans="1:20" x14ac:dyDescent="0.25">
      <c r="A327" s="5">
        <v>44266</v>
      </c>
      <c r="B327">
        <v>7.7549999999999999</v>
      </c>
      <c r="C327">
        <v>9</v>
      </c>
      <c r="D327">
        <v>7.6079999999999997</v>
      </c>
      <c r="E327">
        <v>7.7069999999999999</v>
      </c>
      <c r="F327">
        <v>1316033.8259999999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-0.85775862068965492</v>
      </c>
      <c r="Q327">
        <f t="shared" si="970"/>
        <v>-1128839.3593706891</v>
      </c>
      <c r="R327">
        <f t="shared" si="971"/>
        <v>-1473892.425034869</v>
      </c>
      <c r="S327">
        <f t="shared" si="972"/>
        <v>-14.73892425034869</v>
      </c>
      <c r="T327">
        <f t="shared" si="973"/>
        <v>-1.473892425034869E-2</v>
      </c>
    </row>
    <row r="328" spans="1:20" x14ac:dyDescent="0.25">
      <c r="A328" s="5">
        <v>44265</v>
      </c>
      <c r="B328">
        <v>6.6989999999999998</v>
      </c>
      <c r="C328">
        <v>8.74</v>
      </c>
      <c r="D328">
        <v>6.25</v>
      </c>
      <c r="E328">
        <v>7.7549999999999999</v>
      </c>
      <c r="F328">
        <v>1907812.3189999999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0.20883534136546167</v>
      </c>
      <c r="Q328">
        <f t="shared" si="970"/>
        <v>398418.63689959806</v>
      </c>
      <c r="R328">
        <f t="shared" si="971"/>
        <v>-345053.06566417997</v>
      </c>
      <c r="S328">
        <f t="shared" si="972"/>
        <v>-3.4505306566417997</v>
      </c>
      <c r="T328">
        <f t="shared" si="973"/>
        <v>-3.4505306566417998E-3</v>
      </c>
    </row>
    <row r="329" spans="1:20" x14ac:dyDescent="0.25">
      <c r="A329" s="5">
        <v>44264</v>
      </c>
      <c r="B329">
        <v>6.6959999999999997</v>
      </c>
      <c r="C329">
        <v>6.843</v>
      </c>
      <c r="D329">
        <v>6.5449999999999999</v>
      </c>
      <c r="E329">
        <v>6.6970000000000001</v>
      </c>
      <c r="F329">
        <v>350456.66700000002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2.0134228187920222E-2</v>
      </c>
      <c r="Q329">
        <f t="shared" si="970"/>
        <v>7056.174503355971</v>
      </c>
      <c r="R329">
        <f t="shared" si="971"/>
        <v>-743471.70256377803</v>
      </c>
      <c r="S329">
        <f t="shared" si="972"/>
        <v>-7.4347170256377799</v>
      </c>
      <c r="T329">
        <f t="shared" si="973"/>
        <v>-7.4347170256377796E-3</v>
      </c>
    </row>
    <row r="330" spans="1:20" x14ac:dyDescent="0.25">
      <c r="A330" s="5">
        <v>44263</v>
      </c>
      <c r="B330">
        <v>6.4169999999999998</v>
      </c>
      <c r="C330">
        <v>7</v>
      </c>
      <c r="D330">
        <v>6.29</v>
      </c>
      <c r="E330">
        <v>6.6959999999999997</v>
      </c>
      <c r="F330">
        <v>408061.375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0.14366197183098511</v>
      </c>
      <c r="Q330">
        <f t="shared" si="970"/>
        <v>58622.901760563051</v>
      </c>
      <c r="R330">
        <f t="shared" si="971"/>
        <v>-750527.87706713402</v>
      </c>
      <c r="S330">
        <f t="shared" si="972"/>
        <v>-7.5052787706713397</v>
      </c>
      <c r="T330">
        <f t="shared" si="973"/>
        <v>-7.5052787706713399E-3</v>
      </c>
    </row>
    <row r="331" spans="1:20" x14ac:dyDescent="0.25">
      <c r="A331" s="5">
        <v>44262</v>
      </c>
      <c r="B331">
        <v>6.2489999999999997</v>
      </c>
      <c r="C331">
        <v>6.4870000000000001</v>
      </c>
      <c r="D331">
        <v>6.1520000000000001</v>
      </c>
      <c r="E331">
        <v>6.4020000000000001</v>
      </c>
      <c r="F331">
        <v>249918.978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0.49253731343283597</v>
      </c>
      <c r="Q331">
        <f t="shared" si="970"/>
        <v>123094.42200000004</v>
      </c>
      <c r="R331">
        <f t="shared" si="971"/>
        <v>-809150.77882769704</v>
      </c>
      <c r="S331">
        <f t="shared" si="972"/>
        <v>-8.0915077882769708</v>
      </c>
      <c r="T331">
        <f t="shared" si="973"/>
        <v>-8.091507788276971E-3</v>
      </c>
    </row>
    <row r="332" spans="1:20" x14ac:dyDescent="0.25">
      <c r="A332" s="5">
        <v>44261</v>
      </c>
      <c r="B332">
        <v>6.6479999999999997</v>
      </c>
      <c r="C332">
        <v>6.782</v>
      </c>
      <c r="D332">
        <v>6.1669999999999998</v>
      </c>
      <c r="E332">
        <v>6.2229999999999999</v>
      </c>
      <c r="F332">
        <v>258556.342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-0.81788617886178849</v>
      </c>
      <c r="Q332">
        <f t="shared" si="970"/>
        <v>-211469.65857886177</v>
      </c>
      <c r="R332">
        <f t="shared" si="971"/>
        <v>-932245.20082769706</v>
      </c>
      <c r="S332">
        <f t="shared" si="972"/>
        <v>-9.3224520082769704</v>
      </c>
      <c r="T332">
        <f t="shared" si="973"/>
        <v>-9.3224520082769696E-3</v>
      </c>
    </row>
    <row r="333" spans="1:20" x14ac:dyDescent="0.25">
      <c r="A333" s="5">
        <v>44260</v>
      </c>
      <c r="B333">
        <v>6.04</v>
      </c>
      <c r="C333">
        <v>6.8079999999999998</v>
      </c>
      <c r="D333">
        <v>5.75</v>
      </c>
      <c r="E333">
        <v>6.6219999999999999</v>
      </c>
      <c r="F333">
        <v>502292.56800000003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0.64839319470699441</v>
      </c>
      <c r="Q333">
        <f t="shared" si="970"/>
        <v>325683.08284310024</v>
      </c>
      <c r="R333">
        <f t="shared" si="971"/>
        <v>-720775.54224883532</v>
      </c>
      <c r="S333">
        <f t="shared" si="972"/>
        <v>-7.2077554224883533</v>
      </c>
      <c r="T333">
        <f t="shared" si="973"/>
        <v>-7.207755422488353E-3</v>
      </c>
    </row>
    <row r="334" spans="1:20" x14ac:dyDescent="0.25">
      <c r="A334" s="5">
        <v>44259</v>
      </c>
      <c r="B334">
        <v>6.1909999999999998</v>
      </c>
      <c r="C334">
        <v>6.3780000000000001</v>
      </c>
      <c r="D334">
        <v>5.65</v>
      </c>
      <c r="E334">
        <v>6.0490000000000004</v>
      </c>
      <c r="F334">
        <v>543377.16299999994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9.6153846153846576E-2</v>
      </c>
      <c r="Q334">
        <f t="shared" si="970"/>
        <v>52247.80413461561</v>
      </c>
      <c r="R334">
        <f t="shared" si="971"/>
        <v>-1046458.6250919356</v>
      </c>
      <c r="S334">
        <f t="shared" si="972"/>
        <v>-10.464586250919357</v>
      </c>
      <c r="T334">
        <f t="shared" si="973"/>
        <v>-1.0464586250919356E-2</v>
      </c>
    </row>
    <row r="335" spans="1:20" x14ac:dyDescent="0.25">
      <c r="A335" s="5">
        <v>44258</v>
      </c>
      <c r="B335">
        <v>5.3559999999999999</v>
      </c>
      <c r="C335">
        <v>7.49</v>
      </c>
      <c r="D335">
        <v>5.2990000000000004</v>
      </c>
      <c r="E335">
        <v>6.1929999999999996</v>
      </c>
      <c r="F335">
        <v>1838629.233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-0.1839342765860344</v>
      </c>
      <c r="Q335">
        <f t="shared" si="970"/>
        <v>-338186.93788179028</v>
      </c>
      <c r="R335">
        <f t="shared" si="971"/>
        <v>-1098706.4292265512</v>
      </c>
      <c r="S335">
        <f t="shared" si="972"/>
        <v>-10.987064292265512</v>
      </c>
      <c r="T335">
        <f t="shared" si="973"/>
        <v>-1.0987064292265512E-2</v>
      </c>
    </row>
    <row r="336" spans="1:20" x14ac:dyDescent="0.25">
      <c r="A336" s="5">
        <v>44257</v>
      </c>
      <c r="B336">
        <v>5.4770000000000003</v>
      </c>
      <c r="C336">
        <v>5.6970000000000001</v>
      </c>
      <c r="D336">
        <v>5.2</v>
      </c>
      <c r="E336">
        <v>5.3559999999999999</v>
      </c>
      <c r="F336">
        <v>274966.12400000001</v>
      </c>
      <c r="G336">
        <v>0</v>
      </c>
      <c r="L336" t="s">
        <v>8</v>
      </c>
      <c r="M336" t="s">
        <v>7</v>
      </c>
      <c r="N336" t="s">
        <v>7</v>
      </c>
      <c r="P336">
        <f t="shared" si="969"/>
        <v>-0.37223340040241559</v>
      </c>
      <c r="Q336">
        <f t="shared" si="970"/>
        <v>-102351.57533199227</v>
      </c>
      <c r="R336">
        <f t="shared" si="971"/>
        <v>-760519.49134476099</v>
      </c>
      <c r="S336">
        <f t="shared" si="972"/>
        <v>-7.60519491344761</v>
      </c>
      <c r="T336">
        <f t="shared" si="973"/>
        <v>-7.6051949134476101E-3</v>
      </c>
    </row>
    <row r="337" spans="1:20" x14ac:dyDescent="0.25">
      <c r="A337" s="5">
        <v>44256</v>
      </c>
      <c r="B337">
        <v>5.19</v>
      </c>
      <c r="C337">
        <v>5.5510000000000002</v>
      </c>
      <c r="D337">
        <v>5.1360000000000001</v>
      </c>
      <c r="E337">
        <v>5.4980000000000002</v>
      </c>
      <c r="F337">
        <v>126272.061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0.74457831325301238</v>
      </c>
      <c r="Q337">
        <f t="shared" si="970"/>
        <v>94019.438190361485</v>
      </c>
      <c r="R337">
        <f t="shared" si="971"/>
        <v>-658167.91601276875</v>
      </c>
      <c r="S337">
        <f t="shared" si="972"/>
        <v>-6.5816791601276874</v>
      </c>
      <c r="T337">
        <f t="shared" si="973"/>
        <v>-6.5816791601276872E-3</v>
      </c>
    </row>
    <row r="338" spans="1:20" x14ac:dyDescent="0.25">
      <c r="A338" s="5">
        <v>44255</v>
      </c>
      <c r="B338">
        <v>5.5789999999999997</v>
      </c>
      <c r="C338">
        <v>5.7</v>
      </c>
      <c r="D338">
        <v>4.8929999999999998</v>
      </c>
      <c r="E338">
        <v>5.1870000000000003</v>
      </c>
      <c r="F338">
        <v>225842.13500000001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-0.27137546468401402</v>
      </c>
      <c r="Q338">
        <f t="shared" si="970"/>
        <v>-61288.014330854829</v>
      </c>
      <c r="R338">
        <f t="shared" si="971"/>
        <v>-752187.35420313023</v>
      </c>
      <c r="S338">
        <f t="shared" si="972"/>
        <v>-7.5218735420313028</v>
      </c>
      <c r="T338">
        <f t="shared" si="973"/>
        <v>-7.5218735420313028E-3</v>
      </c>
    </row>
    <row r="339" spans="1:20" x14ac:dyDescent="0.25">
      <c r="A339" s="5">
        <v>44254</v>
      </c>
      <c r="B339">
        <v>4.87</v>
      </c>
      <c r="C339">
        <v>6</v>
      </c>
      <c r="D339">
        <v>4.843</v>
      </c>
      <c r="E339">
        <v>5.6109999999999998</v>
      </c>
      <c r="F339">
        <v>297289.25699999998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0.32757130509939458</v>
      </c>
      <c r="Q339">
        <f t="shared" si="970"/>
        <v>97383.429907519327</v>
      </c>
      <c r="R339">
        <f t="shared" si="971"/>
        <v>-690899.33987227536</v>
      </c>
      <c r="S339">
        <f t="shared" si="972"/>
        <v>-6.9089933987227532</v>
      </c>
      <c r="T339">
        <f t="shared" si="973"/>
        <v>-6.9089933987227532E-3</v>
      </c>
    </row>
    <row r="340" spans="1:20" x14ac:dyDescent="0.25">
      <c r="A340" s="5">
        <v>44253</v>
      </c>
      <c r="B340">
        <v>4.968</v>
      </c>
      <c r="C340">
        <v>5.1159999999999997</v>
      </c>
      <c r="D340">
        <v>4.633</v>
      </c>
      <c r="E340">
        <v>4.87</v>
      </c>
      <c r="F340">
        <v>159091.68700000001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-1.8633540372669687E-2</v>
      </c>
      <c r="Q340">
        <f t="shared" si="970"/>
        <v>-2964.4413726706293</v>
      </c>
      <c r="R340">
        <f t="shared" si="971"/>
        <v>-788282.76977979473</v>
      </c>
      <c r="S340">
        <f t="shared" si="972"/>
        <v>-7.8828276977979472</v>
      </c>
      <c r="T340">
        <f t="shared" si="973"/>
        <v>-7.8828276977979464E-3</v>
      </c>
    </row>
    <row r="341" spans="1:20" x14ac:dyDescent="0.25">
      <c r="A341" s="5">
        <v>44252</v>
      </c>
      <c r="B341">
        <v>5.3840000000000003</v>
      </c>
      <c r="C341">
        <v>5.94</v>
      </c>
      <c r="D341">
        <v>4.9219999999999997</v>
      </c>
      <c r="E341">
        <v>4.968</v>
      </c>
      <c r="F341">
        <v>276842.47200000001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-0.90962671905697401</v>
      </c>
      <c r="Q341">
        <f t="shared" si="970"/>
        <v>-251823.3095009822</v>
      </c>
      <c r="R341">
        <f t="shared" si="971"/>
        <v>-785318.32840712415</v>
      </c>
      <c r="S341">
        <f t="shared" si="972"/>
        <v>-7.8531832840712417</v>
      </c>
      <c r="T341">
        <f t="shared" si="973"/>
        <v>-7.8531832840712419E-3</v>
      </c>
    </row>
    <row r="342" spans="1:20" x14ac:dyDescent="0.25">
      <c r="A342" s="5">
        <v>44251</v>
      </c>
      <c r="B342">
        <v>5.0049999999999999</v>
      </c>
      <c r="C342">
        <v>5.65</v>
      </c>
      <c r="D342">
        <v>4.8330000000000002</v>
      </c>
      <c r="E342">
        <v>5.3840000000000003</v>
      </c>
      <c r="F342">
        <v>255714.878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0.3488372093023257</v>
      </c>
      <c r="Q342">
        <f t="shared" si="970"/>
        <v>89202.864418604688</v>
      </c>
      <c r="R342">
        <f t="shared" si="971"/>
        <v>-533495.01890614198</v>
      </c>
      <c r="S342">
        <f t="shared" si="972"/>
        <v>-5.3349501890614199</v>
      </c>
      <c r="T342">
        <f t="shared" si="973"/>
        <v>-5.3349501890614199E-3</v>
      </c>
    </row>
    <row r="343" spans="1:20" x14ac:dyDescent="0.25">
      <c r="A343" s="5">
        <v>44250</v>
      </c>
      <c r="B343">
        <v>6.1689999999999996</v>
      </c>
      <c r="C343">
        <v>6.17</v>
      </c>
      <c r="D343">
        <v>4.5999999999999996</v>
      </c>
      <c r="E343">
        <v>5.0010000000000003</v>
      </c>
      <c r="F343">
        <v>346669.1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-0.48917197452229222</v>
      </c>
      <c r="Q343">
        <f t="shared" si="970"/>
        <v>-169580.80815286597</v>
      </c>
      <c r="R343">
        <f t="shared" si="971"/>
        <v>-622697.88332474662</v>
      </c>
      <c r="S343">
        <f t="shared" si="972"/>
        <v>-6.2269788332474665</v>
      </c>
      <c r="T343">
        <f t="shared" si="973"/>
        <v>-6.2269788332474669E-3</v>
      </c>
    </row>
    <row r="344" spans="1:20" x14ac:dyDescent="0.25">
      <c r="A344" s="5">
        <v>44249</v>
      </c>
      <c r="B344">
        <v>6.9130000000000003</v>
      </c>
      <c r="C344">
        <v>6.9130000000000003</v>
      </c>
      <c r="D344">
        <v>5.66</v>
      </c>
      <c r="E344">
        <v>6.1520000000000001</v>
      </c>
      <c r="F344">
        <v>385466.038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-0.214684756584198</v>
      </c>
      <c r="Q344">
        <f t="shared" si="970"/>
        <v>-82753.682539505215</v>
      </c>
      <c r="R344">
        <f t="shared" si="971"/>
        <v>-453117.07517188066</v>
      </c>
      <c r="S344">
        <f t="shared" si="972"/>
        <v>-4.5311707517188067</v>
      </c>
      <c r="T344">
        <f t="shared" si="973"/>
        <v>-4.5311707517188063E-3</v>
      </c>
    </row>
    <row r="345" spans="1:20" x14ac:dyDescent="0.25">
      <c r="A345" s="5">
        <v>44248</v>
      </c>
      <c r="B345">
        <v>6.18</v>
      </c>
      <c r="C345">
        <v>7.1</v>
      </c>
      <c r="D345">
        <v>6.1</v>
      </c>
      <c r="E345">
        <v>6.89</v>
      </c>
      <c r="F345">
        <v>337034.12099999998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0.58000000000000007</v>
      </c>
      <c r="Q345">
        <f t="shared" si="970"/>
        <v>195479.79018000001</v>
      </c>
      <c r="R345">
        <f t="shared" si="971"/>
        <v>-370363.39263237547</v>
      </c>
      <c r="S345">
        <f t="shared" si="972"/>
        <v>-3.7036339263237545</v>
      </c>
      <c r="T345">
        <f t="shared" si="973"/>
        <v>-3.7036339263237547E-3</v>
      </c>
    </row>
    <row r="346" spans="1:20" x14ac:dyDescent="0.25">
      <c r="A346" s="5">
        <v>44247</v>
      </c>
      <c r="B346">
        <v>6.8019999999999996</v>
      </c>
      <c r="C346">
        <v>7.069</v>
      </c>
      <c r="D346">
        <v>6.0270000000000001</v>
      </c>
      <c r="E346">
        <v>6.181</v>
      </c>
      <c r="F346">
        <v>355911.86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-0.70441458733205387</v>
      </c>
      <c r="Q346">
        <f t="shared" si="970"/>
        <v>-250709.50598848372</v>
      </c>
      <c r="R346">
        <f t="shared" si="971"/>
        <v>-565843.18281237548</v>
      </c>
      <c r="S346">
        <f t="shared" si="972"/>
        <v>-5.6584318281237547</v>
      </c>
      <c r="T346">
        <f t="shared" si="973"/>
        <v>-5.6584318281237547E-3</v>
      </c>
    </row>
    <row r="347" spans="1:20" x14ac:dyDescent="0.25">
      <c r="A347" s="5">
        <v>44246</v>
      </c>
      <c r="B347">
        <v>6.6870000000000003</v>
      </c>
      <c r="C347">
        <v>7.35</v>
      </c>
      <c r="D347">
        <v>6.2930000000000001</v>
      </c>
      <c r="E347">
        <v>6.8019999999999996</v>
      </c>
      <c r="F347">
        <v>301679.48499999999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-3.6896877956481181E-2</v>
      </c>
      <c r="Q347">
        <f t="shared" si="970"/>
        <v>-11131.031140019095</v>
      </c>
      <c r="R347">
        <f t="shared" si="971"/>
        <v>-315133.67682389176</v>
      </c>
      <c r="S347">
        <f t="shared" si="972"/>
        <v>-3.1513367682389175</v>
      </c>
      <c r="T347">
        <f t="shared" si="973"/>
        <v>-3.1513367682389176E-3</v>
      </c>
    </row>
    <row r="348" spans="1:20" x14ac:dyDescent="0.25">
      <c r="A348" s="5">
        <v>44245</v>
      </c>
      <c r="B348">
        <v>6.7060000000000004</v>
      </c>
      <c r="C348">
        <v>7.274</v>
      </c>
      <c r="D348">
        <v>6.4669999999999996</v>
      </c>
      <c r="E348">
        <v>6.7110000000000003</v>
      </c>
      <c r="F348">
        <v>286985.72700000001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-0.39529120198265044</v>
      </c>
      <c r="Q348">
        <f t="shared" si="970"/>
        <v>-113442.93297769479</v>
      </c>
      <c r="R348">
        <f t="shared" si="971"/>
        <v>-304002.64568387269</v>
      </c>
      <c r="S348">
        <f t="shared" si="972"/>
        <v>-3.040026456838727</v>
      </c>
      <c r="T348">
        <f t="shared" si="973"/>
        <v>-3.0400264568387269E-3</v>
      </c>
    </row>
    <row r="349" spans="1:20" x14ac:dyDescent="0.25">
      <c r="A349" s="5">
        <v>44244</v>
      </c>
      <c r="B349">
        <v>5.95</v>
      </c>
      <c r="C349">
        <v>7.0060000000000002</v>
      </c>
      <c r="D349">
        <v>5.59</v>
      </c>
      <c r="E349">
        <v>6.734</v>
      </c>
      <c r="F349">
        <v>366257.07299999997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0.61581920903954779</v>
      </c>
      <c r="Q349">
        <f t="shared" si="970"/>
        <v>225548.14099999989</v>
      </c>
      <c r="R349">
        <f t="shared" si="971"/>
        <v>-190559.7127061779</v>
      </c>
      <c r="S349">
        <f t="shared" si="972"/>
        <v>-1.9055971270617791</v>
      </c>
      <c r="T349">
        <f t="shared" si="973"/>
        <v>-1.905597127061779E-3</v>
      </c>
    </row>
    <row r="350" spans="1:20" x14ac:dyDescent="0.25">
      <c r="A350" s="5">
        <v>44243</v>
      </c>
      <c r="B350">
        <v>6.1420000000000003</v>
      </c>
      <c r="C350">
        <v>6.34</v>
      </c>
      <c r="D350">
        <v>5.7190000000000003</v>
      </c>
      <c r="E350">
        <v>5.9530000000000003</v>
      </c>
      <c r="F350">
        <v>379782.52</v>
      </c>
      <c r="G350">
        <v>0</v>
      </c>
      <c r="L350" t="s">
        <v>8</v>
      </c>
      <c r="M350" t="s">
        <v>7</v>
      </c>
      <c r="N350" t="s">
        <v>7</v>
      </c>
      <c r="P350">
        <f t="shared" si="969"/>
        <v>-0.24637681159420241</v>
      </c>
      <c r="Q350">
        <f t="shared" si="970"/>
        <v>-93569.606376811411</v>
      </c>
      <c r="R350">
        <f t="shared" si="971"/>
        <v>-416107.85370617779</v>
      </c>
      <c r="S350">
        <f t="shared" si="972"/>
        <v>-4.161078537061778</v>
      </c>
      <c r="T350">
        <f t="shared" si="973"/>
        <v>-4.1610785370617782E-3</v>
      </c>
    </row>
    <row r="351" spans="1:20" x14ac:dyDescent="0.25">
      <c r="A351" s="5">
        <v>44242</v>
      </c>
      <c r="B351">
        <v>6.4210000000000003</v>
      </c>
      <c r="C351">
        <v>6.7359999999999998</v>
      </c>
      <c r="D351">
        <v>5.3810000000000002</v>
      </c>
      <c r="E351">
        <v>6.1</v>
      </c>
      <c r="F351">
        <v>347736.17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6.1254612546124965E-2</v>
      </c>
      <c r="Q351">
        <f t="shared" si="970"/>
        <v>21300.444361623442</v>
      </c>
      <c r="R351">
        <f t="shared" si="971"/>
        <v>-322538.24732936639</v>
      </c>
      <c r="S351">
        <f t="shared" si="972"/>
        <v>-3.225382473293664</v>
      </c>
      <c r="T351">
        <f t="shared" si="973"/>
        <v>-3.225382473293664E-3</v>
      </c>
    </row>
    <row r="352" spans="1:20" x14ac:dyDescent="0.25">
      <c r="A352" s="5">
        <v>44241</v>
      </c>
      <c r="B352">
        <v>7.4969999999999999</v>
      </c>
      <c r="C352">
        <v>7.5830000000000002</v>
      </c>
      <c r="D352">
        <v>6.1639999999999997</v>
      </c>
      <c r="E352">
        <v>6.4210000000000003</v>
      </c>
      <c r="F352">
        <v>451260.29200000002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-0.63777307963354413</v>
      </c>
      <c r="Q352">
        <f t="shared" si="970"/>
        <v>-287801.66614517238</v>
      </c>
      <c r="R352">
        <f t="shared" si="971"/>
        <v>-343838.69169098983</v>
      </c>
      <c r="S352">
        <f t="shared" si="972"/>
        <v>-3.4383869169098982</v>
      </c>
      <c r="T352">
        <f t="shared" si="973"/>
        <v>-3.4383869169098981E-3</v>
      </c>
    </row>
    <row r="353" spans="1:20" x14ac:dyDescent="0.25">
      <c r="A353" s="5">
        <v>44240</v>
      </c>
      <c r="B353">
        <v>6.0170000000000003</v>
      </c>
      <c r="C353">
        <v>8.3000000000000007</v>
      </c>
      <c r="D353">
        <v>5.9379999999999997</v>
      </c>
      <c r="E353">
        <v>7.4509999999999996</v>
      </c>
      <c r="F353">
        <v>959388.52300000004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0.28111769686706117</v>
      </c>
      <c r="Q353">
        <f t="shared" si="970"/>
        <v>269701.09198645153</v>
      </c>
      <c r="R353">
        <f t="shared" si="971"/>
        <v>-56037.025545817451</v>
      </c>
      <c r="S353">
        <f t="shared" si="972"/>
        <v>-0.56037025545817454</v>
      </c>
      <c r="T353">
        <f t="shared" si="973"/>
        <v>-5.603702554581745E-4</v>
      </c>
    </row>
    <row r="354" spans="1:20" x14ac:dyDescent="0.25">
      <c r="A354" s="5">
        <v>44239</v>
      </c>
      <c r="B354">
        <v>5.9630000000000001</v>
      </c>
      <c r="C354">
        <v>6.2859999999999996</v>
      </c>
      <c r="D354">
        <v>5.6260000000000003</v>
      </c>
      <c r="E354">
        <v>6.0549999999999997</v>
      </c>
      <c r="F354">
        <v>269175.98599999998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0.2999999999999996</v>
      </c>
      <c r="Q354">
        <f t="shared" si="970"/>
        <v>80752.795799999891</v>
      </c>
      <c r="R354">
        <f t="shared" si="971"/>
        <v>-325738.11753226898</v>
      </c>
      <c r="S354">
        <f t="shared" si="972"/>
        <v>-3.2573811753226898</v>
      </c>
      <c r="T354">
        <f t="shared" si="973"/>
        <v>-3.2573811753226897E-3</v>
      </c>
    </row>
    <row r="355" spans="1:20" x14ac:dyDescent="0.25">
      <c r="A355" s="5">
        <v>44238</v>
      </c>
      <c r="B355">
        <v>5.0570000000000004</v>
      </c>
      <c r="C355">
        <v>6.25</v>
      </c>
      <c r="D355">
        <v>5.0069999999999997</v>
      </c>
      <c r="E355">
        <v>5.9619999999999997</v>
      </c>
      <c r="F355">
        <v>625502.65899999999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0.53660498793242128</v>
      </c>
      <c r="Q355">
        <f t="shared" si="970"/>
        <v>335647.84678439243</v>
      </c>
      <c r="R355">
        <f t="shared" si="971"/>
        <v>-406490.91333226889</v>
      </c>
      <c r="S355">
        <f t="shared" si="972"/>
        <v>-4.064909133322689</v>
      </c>
      <c r="T355">
        <f t="shared" si="973"/>
        <v>-4.0649091333226891E-3</v>
      </c>
    </row>
    <row r="356" spans="1:20" x14ac:dyDescent="0.25">
      <c r="A356" s="5">
        <v>44237</v>
      </c>
      <c r="B356">
        <v>5.2089999999999996</v>
      </c>
      <c r="C356">
        <v>5.399</v>
      </c>
      <c r="D356">
        <v>4.8</v>
      </c>
      <c r="E356">
        <v>5.0570000000000004</v>
      </c>
      <c r="F356">
        <v>433339.32199999999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-0.14190317195325383</v>
      </c>
      <c r="Q356">
        <f t="shared" si="970"/>
        <v>-61492.224323872426</v>
      </c>
      <c r="R356">
        <f t="shared" si="971"/>
        <v>-742138.76011666132</v>
      </c>
      <c r="S356">
        <f t="shared" si="972"/>
        <v>-7.4213876011666136</v>
      </c>
      <c r="T356">
        <f t="shared" si="973"/>
        <v>-7.4213876011666137E-3</v>
      </c>
    </row>
    <row r="357" spans="1:20" x14ac:dyDescent="0.25">
      <c r="A357" s="5">
        <v>44236</v>
      </c>
      <c r="B357">
        <v>4.97</v>
      </c>
      <c r="C357">
        <v>5.6559999999999997</v>
      </c>
      <c r="D357">
        <v>4.601</v>
      </c>
      <c r="E357">
        <v>5.2</v>
      </c>
      <c r="F357">
        <v>542602.19099999999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0.13554502369668314</v>
      </c>
      <c r="Q357">
        <f t="shared" si="970"/>
        <v>73547.026836967198</v>
      </c>
      <c r="R357">
        <f t="shared" si="971"/>
        <v>-680646.53579278884</v>
      </c>
      <c r="S357">
        <f t="shared" si="972"/>
        <v>-6.8064653579278884</v>
      </c>
      <c r="T357">
        <f t="shared" si="973"/>
        <v>-6.8064653579278881E-3</v>
      </c>
    </row>
    <row r="358" spans="1:20" x14ac:dyDescent="0.25">
      <c r="A358" s="5">
        <v>44235</v>
      </c>
      <c r="B358">
        <v>4.5880000000000001</v>
      </c>
      <c r="C358">
        <v>5.0110000000000001</v>
      </c>
      <c r="D358">
        <v>4.5540000000000003</v>
      </c>
      <c r="E358">
        <v>4.9950000000000001</v>
      </c>
      <c r="F358">
        <v>273579.99599999998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0.92997811816192555</v>
      </c>
      <c r="Q358">
        <f t="shared" si="970"/>
        <v>254423.4098468271</v>
      </c>
      <c r="R358">
        <f t="shared" si="971"/>
        <v>-754193.56262975605</v>
      </c>
      <c r="S358">
        <f t="shared" si="972"/>
        <v>-7.5419356262975601</v>
      </c>
      <c r="T358">
        <f t="shared" si="973"/>
        <v>-7.5419356262975603E-3</v>
      </c>
    </row>
    <row r="359" spans="1:20" x14ac:dyDescent="0.25">
      <c r="A359" s="5">
        <v>44234</v>
      </c>
      <c r="B359">
        <v>4.8499999999999996</v>
      </c>
      <c r="C359">
        <v>5.2080000000000002</v>
      </c>
      <c r="D359">
        <v>4.4000000000000004</v>
      </c>
      <c r="E359">
        <v>4.5720000000000001</v>
      </c>
      <c r="F359">
        <v>351719.304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-0.57425742574257488</v>
      </c>
      <c r="Q359">
        <f t="shared" si="970"/>
        <v>-201977.42209901012</v>
      </c>
      <c r="R359">
        <f t="shared" si="971"/>
        <v>-1008616.9724765832</v>
      </c>
      <c r="S359">
        <f t="shared" si="972"/>
        <v>-10.086169724765831</v>
      </c>
      <c r="T359">
        <f t="shared" si="973"/>
        <v>-1.0086169724765831E-2</v>
      </c>
    </row>
    <row r="360" spans="1:20" x14ac:dyDescent="0.25">
      <c r="A360" s="5">
        <v>44233</v>
      </c>
      <c r="B360">
        <v>4.702</v>
      </c>
      <c r="C360">
        <v>5.4</v>
      </c>
      <c r="D360">
        <v>4.343</v>
      </c>
      <c r="E360">
        <v>4.8499999999999996</v>
      </c>
      <c r="F360">
        <v>578932.75300000003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-4.0681173131505224E-2</v>
      </c>
      <c r="Q360">
        <f t="shared" si="970"/>
        <v>-23551.663556291951</v>
      </c>
      <c r="R360">
        <f t="shared" si="971"/>
        <v>-806639.55037757312</v>
      </c>
      <c r="S360">
        <f t="shared" si="972"/>
        <v>-8.0663955037757304</v>
      </c>
      <c r="T360">
        <f t="shared" si="973"/>
        <v>-8.06639550377573E-3</v>
      </c>
    </row>
    <row r="361" spans="1:20" x14ac:dyDescent="0.25">
      <c r="A361" s="5">
        <v>44232</v>
      </c>
      <c r="B361">
        <v>3.9620000000000002</v>
      </c>
      <c r="C361">
        <v>4.9000000000000004</v>
      </c>
      <c r="D361">
        <v>3.9020000000000001</v>
      </c>
      <c r="E361">
        <v>4.702</v>
      </c>
      <c r="F361">
        <v>594421.15300000005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0.60320641282565057</v>
      </c>
      <c r="Q361">
        <f t="shared" si="970"/>
        <v>358558.65140881721</v>
      </c>
      <c r="R361">
        <f t="shared" si="971"/>
        <v>-783087.88682128116</v>
      </c>
      <c r="S361">
        <f t="shared" si="972"/>
        <v>-7.8308788682128112</v>
      </c>
      <c r="T361">
        <f t="shared" si="973"/>
        <v>-7.8308788682128119E-3</v>
      </c>
    </row>
    <row r="362" spans="1:20" x14ac:dyDescent="0.25">
      <c r="A362" s="5">
        <v>44231</v>
      </c>
      <c r="B362">
        <v>4.1500000000000004</v>
      </c>
      <c r="C362">
        <v>4.47</v>
      </c>
      <c r="D362">
        <v>3.8639999999999999</v>
      </c>
      <c r="E362">
        <v>3.9620000000000002</v>
      </c>
      <c r="F362">
        <v>270367.40500000003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-0.67656765676567543</v>
      </c>
      <c r="Q362">
        <f t="shared" si="970"/>
        <v>-182921.84166666638</v>
      </c>
      <c r="R362">
        <f t="shared" si="971"/>
        <v>-1141646.5382300983</v>
      </c>
      <c r="S362">
        <f t="shared" si="972"/>
        <v>-11.416465382300983</v>
      </c>
      <c r="T362">
        <f t="shared" si="973"/>
        <v>-1.1416465382300983E-2</v>
      </c>
    </row>
    <row r="363" spans="1:20" x14ac:dyDescent="0.25">
      <c r="A363" s="5">
        <v>44230</v>
      </c>
      <c r="B363">
        <v>4.1429999999999998</v>
      </c>
      <c r="C363">
        <v>4.2300000000000004</v>
      </c>
      <c r="D363">
        <v>3.9809999999999999</v>
      </c>
      <c r="E363">
        <v>4.1609999999999996</v>
      </c>
      <c r="F363">
        <v>177168.174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0.44578313253011498</v>
      </c>
      <c r="Q363">
        <f t="shared" si="970"/>
        <v>78978.583590360475</v>
      </c>
      <c r="R363">
        <f t="shared" si="971"/>
        <v>-958724.69656343199</v>
      </c>
      <c r="S363">
        <f t="shared" si="972"/>
        <v>-9.5872469656343196</v>
      </c>
      <c r="T363">
        <f t="shared" si="973"/>
        <v>-9.5872469656343197E-3</v>
      </c>
    </row>
    <row r="364" spans="1:20" x14ac:dyDescent="0.25">
      <c r="A364" s="5">
        <v>44229</v>
      </c>
      <c r="B364">
        <v>3.726</v>
      </c>
      <c r="C364">
        <v>4.2</v>
      </c>
      <c r="D364">
        <v>3.6880000000000002</v>
      </c>
      <c r="E364">
        <v>4.1500000000000004</v>
      </c>
      <c r="F364">
        <v>205086.30799999999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0.80468750000000067</v>
      </c>
      <c r="Q364">
        <f t="shared" si="970"/>
        <v>165030.38846875014</v>
      </c>
      <c r="R364">
        <f t="shared" si="971"/>
        <v>-1037703.2801537925</v>
      </c>
      <c r="S364">
        <f t="shared" si="972"/>
        <v>-10.377032801537924</v>
      </c>
      <c r="T364">
        <f t="shared" si="973"/>
        <v>-1.0377032801537924E-2</v>
      </c>
    </row>
    <row r="365" spans="1:20" x14ac:dyDescent="0.25">
      <c r="A365" s="5">
        <v>44228</v>
      </c>
      <c r="B365">
        <v>3.9569999999999999</v>
      </c>
      <c r="C365">
        <v>4.0739999999999998</v>
      </c>
      <c r="D365">
        <v>3.645</v>
      </c>
      <c r="E365">
        <v>3.726</v>
      </c>
      <c r="F365">
        <v>233017.402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-0.6223776223776224</v>
      </c>
      <c r="Q365">
        <f t="shared" si="970"/>
        <v>-145024.81662937065</v>
      </c>
      <c r="R365">
        <f t="shared" si="971"/>
        <v>-1202733.6686225426</v>
      </c>
      <c r="S365">
        <f t="shared" si="972"/>
        <v>-12.027336686225427</v>
      </c>
      <c r="T365">
        <f t="shared" si="973"/>
        <v>-1.2027336686225427E-2</v>
      </c>
    </row>
    <row r="366" spans="1:20" x14ac:dyDescent="0.25">
      <c r="A366" s="5">
        <v>44227</v>
      </c>
      <c r="B366">
        <v>4.1260000000000003</v>
      </c>
      <c r="C366">
        <v>4.1989999999999998</v>
      </c>
      <c r="D366">
        <v>3.86</v>
      </c>
      <c r="E366">
        <v>3.9569999999999999</v>
      </c>
      <c r="F366">
        <v>185776.03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-0.42772861356932163</v>
      </c>
      <c r="Q366">
        <f t="shared" si="970"/>
        <v>-79461.723746312695</v>
      </c>
      <c r="R366">
        <f t="shared" si="971"/>
        <v>-1057708.851993172</v>
      </c>
      <c r="S366">
        <f t="shared" si="972"/>
        <v>-10.577088519931719</v>
      </c>
      <c r="T366">
        <f t="shared" si="973"/>
        <v>-1.0577088519931719E-2</v>
      </c>
    </row>
    <row r="367" spans="1:20" x14ac:dyDescent="0.25">
      <c r="A367" s="5">
        <v>44226</v>
      </c>
      <c r="B367">
        <v>4.3170000000000002</v>
      </c>
      <c r="C367">
        <v>4.54</v>
      </c>
      <c r="D367">
        <v>4.0999999999999996</v>
      </c>
      <c r="E367">
        <v>4.1260000000000003</v>
      </c>
      <c r="F367">
        <v>278483.83600000001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-0.88181818181817884</v>
      </c>
      <c r="Q367">
        <f t="shared" si="970"/>
        <v>-245572.1099272719</v>
      </c>
      <c r="R367">
        <f t="shared" si="971"/>
        <v>-978247.12824685918</v>
      </c>
      <c r="S367">
        <f t="shared" si="972"/>
        <v>-9.7824712824685918</v>
      </c>
      <c r="T367">
        <f t="shared" si="973"/>
        <v>-9.7824712824685911E-3</v>
      </c>
    </row>
    <row r="368" spans="1:20" x14ac:dyDescent="0.25">
      <c r="A368" s="5">
        <v>44225</v>
      </c>
      <c r="B368">
        <v>4.4459999999999997</v>
      </c>
      <c r="C368">
        <v>6.38</v>
      </c>
      <c r="D368">
        <v>4.0519999999999996</v>
      </c>
      <c r="E368">
        <v>4.3170000000000002</v>
      </c>
      <c r="F368">
        <v>948647.076</v>
      </c>
      <c r="G368">
        <v>0</v>
      </c>
      <c r="P368">
        <f t="shared" si="969"/>
        <v>-0.77233676975944976</v>
      </c>
      <c r="Q368">
        <f t="shared" si="970"/>
        <v>-732675.01831958722</v>
      </c>
      <c r="R368">
        <f t="shared" si="971"/>
        <v>-732675.01831958722</v>
      </c>
      <c r="S368">
        <f t="shared" si="972"/>
        <v>-7.3267501831958723</v>
      </c>
      <c r="T368">
        <f t="shared" si="973"/>
        <v>-7.3267501831958725E-3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01" priority="193" operator="lessThan">
      <formula>$A$2</formula>
    </cfRule>
  </conditionalFormatting>
  <conditionalFormatting sqref="C196">
    <cfRule type="cellIs" dxfId="200" priority="192" operator="equal">
      <formula>0</formula>
    </cfRule>
  </conditionalFormatting>
  <conditionalFormatting sqref="C195">
    <cfRule type="cellIs" dxfId="199" priority="191" operator="equal">
      <formula>0</formula>
    </cfRule>
  </conditionalFormatting>
  <conditionalFormatting sqref="C194">
    <cfRule type="cellIs" dxfId="198" priority="190" operator="equal">
      <formula>0</formula>
    </cfRule>
  </conditionalFormatting>
  <conditionalFormatting sqref="C193">
    <cfRule type="cellIs" dxfId="197" priority="189" operator="equal">
      <formula>0</formula>
    </cfRule>
  </conditionalFormatting>
  <conditionalFormatting sqref="C192">
    <cfRule type="cellIs" dxfId="196" priority="188" operator="equal">
      <formula>0</formula>
    </cfRule>
  </conditionalFormatting>
  <conditionalFormatting sqref="C191">
    <cfRule type="cellIs" dxfId="195" priority="187" operator="equal">
      <formula>0</formula>
    </cfRule>
  </conditionalFormatting>
  <conditionalFormatting sqref="C190">
    <cfRule type="cellIs" dxfId="194" priority="186" operator="equal">
      <formula>0</formula>
    </cfRule>
  </conditionalFormatting>
  <conditionalFormatting sqref="C189">
    <cfRule type="cellIs" dxfId="193" priority="185" operator="equal">
      <formula>0</formula>
    </cfRule>
  </conditionalFormatting>
  <conditionalFormatting sqref="C188">
    <cfRule type="cellIs" dxfId="192" priority="184" operator="equal">
      <formula>0</formula>
    </cfRule>
  </conditionalFormatting>
  <conditionalFormatting sqref="C187">
    <cfRule type="cellIs" dxfId="191" priority="183" operator="equal">
      <formula>0</formula>
    </cfRule>
  </conditionalFormatting>
  <conditionalFormatting sqref="C186">
    <cfRule type="cellIs" dxfId="190" priority="182" operator="equal">
      <formula>0</formula>
    </cfRule>
  </conditionalFormatting>
  <conditionalFormatting sqref="C185">
    <cfRule type="cellIs" dxfId="189" priority="181" operator="equal">
      <formula>0</formula>
    </cfRule>
  </conditionalFormatting>
  <conditionalFormatting sqref="C184">
    <cfRule type="cellIs" dxfId="188" priority="180" operator="equal">
      <formula>0</formula>
    </cfRule>
  </conditionalFormatting>
  <conditionalFormatting sqref="C183">
    <cfRule type="cellIs" dxfId="187" priority="179" operator="equal">
      <formula>0</formula>
    </cfRule>
  </conditionalFormatting>
  <conditionalFormatting sqref="C182">
    <cfRule type="cellIs" dxfId="186" priority="178" operator="equal">
      <formula>0</formula>
    </cfRule>
  </conditionalFormatting>
  <conditionalFormatting sqref="C181">
    <cfRule type="cellIs" dxfId="185" priority="177" operator="equal">
      <formula>0</formula>
    </cfRule>
  </conditionalFormatting>
  <conditionalFormatting sqref="C180">
    <cfRule type="cellIs" dxfId="184" priority="176" operator="equal">
      <formula>0</formula>
    </cfRule>
  </conditionalFormatting>
  <conditionalFormatting sqref="C179">
    <cfRule type="cellIs" dxfId="183" priority="175" operator="equal">
      <formula>0</formula>
    </cfRule>
  </conditionalFormatting>
  <conditionalFormatting sqref="C178">
    <cfRule type="cellIs" dxfId="182" priority="174" operator="equal">
      <formula>0</formula>
    </cfRule>
  </conditionalFormatting>
  <conditionalFormatting sqref="C177">
    <cfRule type="cellIs" dxfId="181" priority="173" operator="equal">
      <formula>0</formula>
    </cfRule>
  </conditionalFormatting>
  <conditionalFormatting sqref="C176">
    <cfRule type="cellIs" dxfId="180" priority="172" operator="equal">
      <formula>0</formula>
    </cfRule>
  </conditionalFormatting>
  <conditionalFormatting sqref="C175">
    <cfRule type="cellIs" dxfId="179" priority="171" operator="equal">
      <formula>0</formula>
    </cfRule>
  </conditionalFormatting>
  <conditionalFormatting sqref="C174">
    <cfRule type="cellIs" dxfId="178" priority="170" operator="equal">
      <formula>0</formula>
    </cfRule>
  </conditionalFormatting>
  <conditionalFormatting sqref="C173">
    <cfRule type="cellIs" dxfId="177" priority="169" operator="equal">
      <formula>0</formula>
    </cfRule>
  </conditionalFormatting>
  <conditionalFormatting sqref="C172">
    <cfRule type="cellIs" dxfId="176" priority="168" operator="equal">
      <formula>0</formula>
    </cfRule>
  </conditionalFormatting>
  <conditionalFormatting sqref="C171">
    <cfRule type="cellIs" dxfId="175" priority="167" operator="equal">
      <formula>0</formula>
    </cfRule>
  </conditionalFormatting>
  <conditionalFormatting sqref="C170">
    <cfRule type="cellIs" dxfId="174" priority="166" operator="equal">
      <formula>0</formula>
    </cfRule>
  </conditionalFormatting>
  <conditionalFormatting sqref="C169">
    <cfRule type="cellIs" dxfId="173" priority="165" operator="equal">
      <formula>0</formula>
    </cfRule>
  </conditionalFormatting>
  <conditionalFormatting sqref="C168">
    <cfRule type="cellIs" dxfId="172" priority="164" operator="equal">
      <formula>0</formula>
    </cfRule>
  </conditionalFormatting>
  <conditionalFormatting sqref="C167">
    <cfRule type="cellIs" dxfId="171" priority="163" operator="equal">
      <formula>0</formula>
    </cfRule>
  </conditionalFormatting>
  <conditionalFormatting sqref="C166">
    <cfRule type="cellIs" dxfId="170" priority="162" operator="equal">
      <formula>0</formula>
    </cfRule>
  </conditionalFormatting>
  <conditionalFormatting sqref="C165">
    <cfRule type="cellIs" dxfId="169" priority="161" operator="equal">
      <formula>0</formula>
    </cfRule>
  </conditionalFormatting>
  <conditionalFormatting sqref="C164">
    <cfRule type="cellIs" dxfId="168" priority="160" operator="equal">
      <formula>0</formula>
    </cfRule>
  </conditionalFormatting>
  <conditionalFormatting sqref="C163">
    <cfRule type="cellIs" dxfId="167" priority="159" operator="equal">
      <formula>0</formula>
    </cfRule>
  </conditionalFormatting>
  <conditionalFormatting sqref="C162">
    <cfRule type="cellIs" dxfId="166" priority="158" operator="equal">
      <formula>0</formula>
    </cfRule>
  </conditionalFormatting>
  <conditionalFormatting sqref="C161">
    <cfRule type="cellIs" dxfId="165" priority="157" operator="equal">
      <formula>0</formula>
    </cfRule>
  </conditionalFormatting>
  <conditionalFormatting sqref="C160">
    <cfRule type="cellIs" dxfId="164" priority="156" operator="equal">
      <formula>0</formula>
    </cfRule>
  </conditionalFormatting>
  <conditionalFormatting sqref="C159">
    <cfRule type="cellIs" dxfId="163" priority="155" operator="equal">
      <formula>0</formula>
    </cfRule>
  </conditionalFormatting>
  <conditionalFormatting sqref="C158">
    <cfRule type="cellIs" dxfId="162" priority="154" operator="equal">
      <formula>0</formula>
    </cfRule>
  </conditionalFormatting>
  <conditionalFormatting sqref="C157">
    <cfRule type="cellIs" dxfId="161" priority="153" operator="equal">
      <formula>0</formula>
    </cfRule>
  </conditionalFormatting>
  <conditionalFormatting sqref="C156">
    <cfRule type="cellIs" dxfId="160" priority="152" operator="equal">
      <formula>0</formula>
    </cfRule>
  </conditionalFormatting>
  <conditionalFormatting sqref="C155">
    <cfRule type="cellIs" dxfId="159" priority="151" operator="equal">
      <formula>0</formula>
    </cfRule>
  </conditionalFormatting>
  <conditionalFormatting sqref="C154">
    <cfRule type="cellIs" dxfId="158" priority="150" operator="equal">
      <formula>0</formula>
    </cfRule>
  </conditionalFormatting>
  <conditionalFormatting sqref="C153">
    <cfRule type="cellIs" dxfId="157" priority="149" operator="equal">
      <formula>0</formula>
    </cfRule>
  </conditionalFormatting>
  <conditionalFormatting sqref="C152">
    <cfRule type="cellIs" dxfId="156" priority="148" operator="equal">
      <formula>0</formula>
    </cfRule>
  </conditionalFormatting>
  <conditionalFormatting sqref="C151">
    <cfRule type="cellIs" dxfId="155" priority="147" operator="equal">
      <formula>0</formula>
    </cfRule>
  </conditionalFormatting>
  <conditionalFormatting sqref="C150">
    <cfRule type="cellIs" dxfId="154" priority="146" operator="equal">
      <formula>0</formula>
    </cfRule>
  </conditionalFormatting>
  <conditionalFormatting sqref="C149">
    <cfRule type="cellIs" dxfId="153" priority="145" operator="equal">
      <formula>0</formula>
    </cfRule>
  </conditionalFormatting>
  <conditionalFormatting sqref="C148">
    <cfRule type="cellIs" dxfId="152" priority="144" operator="equal">
      <formula>0</formula>
    </cfRule>
  </conditionalFormatting>
  <conditionalFormatting sqref="C147">
    <cfRule type="cellIs" dxfId="151" priority="143" operator="equal">
      <formula>0</formula>
    </cfRule>
  </conditionalFormatting>
  <conditionalFormatting sqref="C146">
    <cfRule type="cellIs" dxfId="150" priority="142" operator="equal">
      <formula>0</formula>
    </cfRule>
  </conditionalFormatting>
  <conditionalFormatting sqref="C145">
    <cfRule type="cellIs" dxfId="149" priority="141" operator="equal">
      <formula>0</formula>
    </cfRule>
  </conditionalFormatting>
  <conditionalFormatting sqref="C144">
    <cfRule type="cellIs" dxfId="148" priority="140" operator="equal">
      <formula>0</formula>
    </cfRule>
  </conditionalFormatting>
  <conditionalFormatting sqref="C143">
    <cfRule type="cellIs" dxfId="147" priority="139" operator="equal">
      <formula>0</formula>
    </cfRule>
  </conditionalFormatting>
  <conditionalFormatting sqref="C142">
    <cfRule type="cellIs" dxfId="146" priority="138" operator="equal">
      <formula>0</formula>
    </cfRule>
  </conditionalFormatting>
  <conditionalFormatting sqref="C141">
    <cfRule type="cellIs" dxfId="145" priority="137" operator="equal">
      <formula>0</formula>
    </cfRule>
  </conditionalFormatting>
  <conditionalFormatting sqref="C140">
    <cfRule type="cellIs" dxfId="144" priority="136" operator="equal">
      <formula>0</formula>
    </cfRule>
  </conditionalFormatting>
  <conditionalFormatting sqref="C139">
    <cfRule type="cellIs" dxfId="143" priority="135" operator="equal">
      <formula>0</formula>
    </cfRule>
  </conditionalFormatting>
  <conditionalFormatting sqref="C138">
    <cfRule type="cellIs" dxfId="142" priority="134" operator="equal">
      <formula>0</formula>
    </cfRule>
  </conditionalFormatting>
  <conditionalFormatting sqref="C137">
    <cfRule type="cellIs" dxfId="141" priority="133" operator="equal">
      <formula>0</formula>
    </cfRule>
  </conditionalFormatting>
  <conditionalFormatting sqref="C136">
    <cfRule type="cellIs" dxfId="140" priority="132" operator="equal">
      <formula>0</formula>
    </cfRule>
  </conditionalFormatting>
  <conditionalFormatting sqref="C135">
    <cfRule type="cellIs" dxfId="139" priority="131" operator="equal">
      <formula>0</formula>
    </cfRule>
  </conditionalFormatting>
  <conditionalFormatting sqref="C134">
    <cfRule type="cellIs" dxfId="138" priority="130" operator="equal">
      <formula>0</formula>
    </cfRule>
  </conditionalFormatting>
  <conditionalFormatting sqref="C133">
    <cfRule type="cellIs" dxfId="137" priority="129" operator="equal">
      <formula>0</formula>
    </cfRule>
  </conditionalFormatting>
  <conditionalFormatting sqref="C132">
    <cfRule type="cellIs" dxfId="136" priority="128" operator="equal">
      <formula>0</formula>
    </cfRule>
  </conditionalFormatting>
  <conditionalFormatting sqref="C131">
    <cfRule type="cellIs" dxfId="135" priority="127" operator="equal">
      <formula>0</formula>
    </cfRule>
  </conditionalFormatting>
  <conditionalFormatting sqref="C130">
    <cfRule type="cellIs" dxfId="134" priority="126" operator="equal">
      <formula>0</formula>
    </cfRule>
  </conditionalFormatting>
  <conditionalFormatting sqref="C129">
    <cfRule type="cellIs" dxfId="133" priority="125" operator="equal">
      <formula>0</formula>
    </cfRule>
  </conditionalFormatting>
  <conditionalFormatting sqref="C128">
    <cfRule type="cellIs" dxfId="132" priority="124" operator="equal">
      <formula>0</formula>
    </cfRule>
  </conditionalFormatting>
  <conditionalFormatting sqref="C127">
    <cfRule type="cellIs" dxfId="131" priority="123" operator="equal">
      <formula>0</formula>
    </cfRule>
  </conditionalFormatting>
  <conditionalFormatting sqref="C126">
    <cfRule type="cellIs" dxfId="130" priority="122" operator="equal">
      <formula>0</formula>
    </cfRule>
  </conditionalFormatting>
  <conditionalFormatting sqref="C125">
    <cfRule type="cellIs" dxfId="129" priority="121" operator="equal">
      <formula>0</formula>
    </cfRule>
  </conditionalFormatting>
  <conditionalFormatting sqref="C124">
    <cfRule type="cellIs" dxfId="128" priority="120" operator="equal">
      <formula>0</formula>
    </cfRule>
  </conditionalFormatting>
  <conditionalFormatting sqref="C123">
    <cfRule type="cellIs" dxfId="127" priority="119" operator="equal">
      <formula>0</formula>
    </cfRule>
  </conditionalFormatting>
  <conditionalFormatting sqref="C122">
    <cfRule type="cellIs" dxfId="126" priority="118" operator="equal">
      <formula>0</formula>
    </cfRule>
  </conditionalFormatting>
  <conditionalFormatting sqref="C121">
    <cfRule type="cellIs" dxfId="125" priority="117" operator="equal">
      <formula>0</formula>
    </cfRule>
  </conditionalFormatting>
  <conditionalFormatting sqref="C120">
    <cfRule type="cellIs" dxfId="124" priority="116" operator="equal">
      <formula>0</formula>
    </cfRule>
  </conditionalFormatting>
  <conditionalFormatting sqref="C119">
    <cfRule type="cellIs" dxfId="123" priority="115" operator="equal">
      <formula>0</formula>
    </cfRule>
  </conditionalFormatting>
  <conditionalFormatting sqref="C118">
    <cfRule type="cellIs" dxfId="122" priority="114" operator="equal">
      <formula>0</formula>
    </cfRule>
  </conditionalFormatting>
  <conditionalFormatting sqref="C117">
    <cfRule type="cellIs" dxfId="121" priority="113" operator="equal">
      <formula>0</formula>
    </cfRule>
  </conditionalFormatting>
  <conditionalFormatting sqref="C116">
    <cfRule type="cellIs" dxfId="120" priority="112" operator="equal">
      <formula>0</formula>
    </cfRule>
  </conditionalFormatting>
  <conditionalFormatting sqref="C115">
    <cfRule type="cellIs" dxfId="119" priority="111" operator="equal">
      <formula>0</formula>
    </cfRule>
  </conditionalFormatting>
  <conditionalFormatting sqref="C114">
    <cfRule type="cellIs" dxfId="118" priority="110" operator="equal">
      <formula>0</formula>
    </cfRule>
  </conditionalFormatting>
  <conditionalFormatting sqref="C113">
    <cfRule type="cellIs" dxfId="117" priority="109" operator="equal">
      <formula>0</formula>
    </cfRule>
  </conditionalFormatting>
  <conditionalFormatting sqref="C112">
    <cfRule type="cellIs" dxfId="116" priority="108" operator="equal">
      <formula>0</formula>
    </cfRule>
  </conditionalFormatting>
  <conditionalFormatting sqref="C111">
    <cfRule type="cellIs" dxfId="115" priority="107" operator="equal">
      <formula>0</formula>
    </cfRule>
  </conditionalFormatting>
  <conditionalFormatting sqref="C110">
    <cfRule type="cellIs" dxfId="114" priority="106" operator="equal">
      <formula>0</formula>
    </cfRule>
  </conditionalFormatting>
  <conditionalFormatting sqref="C109">
    <cfRule type="cellIs" dxfId="113" priority="105" operator="equal">
      <formula>0</formula>
    </cfRule>
  </conditionalFormatting>
  <conditionalFormatting sqref="C108">
    <cfRule type="cellIs" dxfId="112" priority="104" operator="equal">
      <formula>0</formula>
    </cfRule>
  </conditionalFormatting>
  <conditionalFormatting sqref="C107">
    <cfRule type="cellIs" dxfId="111" priority="103" operator="equal">
      <formula>0</formula>
    </cfRule>
  </conditionalFormatting>
  <conditionalFormatting sqref="C106">
    <cfRule type="cellIs" dxfId="110" priority="102" operator="equal">
      <formula>0</formula>
    </cfRule>
  </conditionalFormatting>
  <conditionalFormatting sqref="C105">
    <cfRule type="cellIs" dxfId="109" priority="101" operator="equal">
      <formula>0</formula>
    </cfRule>
  </conditionalFormatting>
  <conditionalFormatting sqref="C104">
    <cfRule type="cellIs" dxfId="108" priority="100" operator="equal">
      <formula>0</formula>
    </cfRule>
  </conditionalFormatting>
  <conditionalFormatting sqref="C103">
    <cfRule type="cellIs" dxfId="107" priority="99" operator="equal">
      <formula>0</formula>
    </cfRule>
  </conditionalFormatting>
  <conditionalFormatting sqref="C102">
    <cfRule type="cellIs" dxfId="106" priority="98" operator="equal">
      <formula>0</formula>
    </cfRule>
  </conditionalFormatting>
  <conditionalFormatting sqref="C101">
    <cfRule type="cellIs" dxfId="105" priority="97" operator="equal">
      <formula>0</formula>
    </cfRule>
  </conditionalFormatting>
  <conditionalFormatting sqref="C100">
    <cfRule type="cellIs" dxfId="104" priority="96" operator="equal">
      <formula>0</formula>
    </cfRule>
  </conditionalFormatting>
  <conditionalFormatting sqref="C99">
    <cfRule type="cellIs" dxfId="103" priority="95" operator="equal">
      <formula>0</formula>
    </cfRule>
  </conditionalFormatting>
  <conditionalFormatting sqref="C98">
    <cfRule type="cellIs" dxfId="102" priority="94" operator="equal">
      <formula>0</formula>
    </cfRule>
  </conditionalFormatting>
  <conditionalFormatting sqref="C97">
    <cfRule type="cellIs" dxfId="101" priority="93" operator="equal">
      <formula>0</formula>
    </cfRule>
  </conditionalFormatting>
  <conditionalFormatting sqref="C96">
    <cfRule type="cellIs" dxfId="100" priority="92" operator="equal">
      <formula>0</formula>
    </cfRule>
  </conditionalFormatting>
  <conditionalFormatting sqref="C95">
    <cfRule type="cellIs" dxfId="99" priority="91" operator="equal">
      <formula>0</formula>
    </cfRule>
  </conditionalFormatting>
  <conditionalFormatting sqref="C94">
    <cfRule type="cellIs" dxfId="98" priority="90" operator="equal">
      <formula>0</formula>
    </cfRule>
  </conditionalFormatting>
  <conditionalFormatting sqref="C93">
    <cfRule type="cellIs" dxfId="97" priority="89" operator="equal">
      <formula>0</formula>
    </cfRule>
  </conditionalFormatting>
  <conditionalFormatting sqref="C92">
    <cfRule type="cellIs" dxfId="96" priority="88" operator="equal">
      <formula>0</formula>
    </cfRule>
  </conditionalFormatting>
  <conditionalFormatting sqref="C91">
    <cfRule type="cellIs" dxfId="95" priority="87" operator="equal">
      <formula>0</formula>
    </cfRule>
  </conditionalFormatting>
  <conditionalFormatting sqref="C90">
    <cfRule type="cellIs" dxfId="94" priority="86" operator="equal">
      <formula>0</formula>
    </cfRule>
  </conditionalFormatting>
  <conditionalFormatting sqref="C89">
    <cfRule type="cellIs" dxfId="93" priority="85" operator="equal">
      <formula>0</formula>
    </cfRule>
  </conditionalFormatting>
  <conditionalFormatting sqref="C88">
    <cfRule type="cellIs" dxfId="92" priority="84" operator="equal">
      <formula>0</formula>
    </cfRule>
  </conditionalFormatting>
  <conditionalFormatting sqref="C87">
    <cfRule type="cellIs" dxfId="91" priority="83" operator="equal">
      <formula>0</formula>
    </cfRule>
  </conditionalFormatting>
  <conditionalFormatting sqref="C86">
    <cfRule type="cellIs" dxfId="90" priority="82" operator="equal">
      <formula>0</formula>
    </cfRule>
  </conditionalFormatting>
  <conditionalFormatting sqref="C85">
    <cfRule type="cellIs" dxfId="89" priority="81" operator="equal">
      <formula>0</formula>
    </cfRule>
  </conditionalFormatting>
  <conditionalFormatting sqref="C84">
    <cfRule type="cellIs" dxfId="88" priority="80" operator="equal">
      <formula>0</formula>
    </cfRule>
  </conditionalFormatting>
  <conditionalFormatting sqref="C83">
    <cfRule type="cellIs" dxfId="87" priority="79" operator="equal">
      <formula>0</formula>
    </cfRule>
  </conditionalFormatting>
  <conditionalFormatting sqref="C82">
    <cfRule type="cellIs" dxfId="86" priority="78" operator="equal">
      <formula>0</formula>
    </cfRule>
  </conditionalFormatting>
  <conditionalFormatting sqref="C81">
    <cfRule type="cellIs" dxfId="85" priority="77" operator="equal">
      <formula>0</formula>
    </cfRule>
  </conditionalFormatting>
  <conditionalFormatting sqref="C80">
    <cfRule type="cellIs" dxfId="84" priority="76" operator="equal">
      <formula>0</formula>
    </cfRule>
  </conditionalFormatting>
  <conditionalFormatting sqref="C79">
    <cfRule type="cellIs" dxfId="83" priority="75" operator="equal">
      <formula>0</formula>
    </cfRule>
  </conditionalFormatting>
  <conditionalFormatting sqref="C78">
    <cfRule type="cellIs" dxfId="82" priority="74" operator="equal">
      <formula>0</formula>
    </cfRule>
  </conditionalFormatting>
  <conditionalFormatting sqref="C77">
    <cfRule type="cellIs" dxfId="81" priority="73" operator="equal">
      <formula>0</formula>
    </cfRule>
  </conditionalFormatting>
  <conditionalFormatting sqref="C76">
    <cfRule type="cellIs" dxfId="80" priority="72" operator="equal">
      <formula>0</formula>
    </cfRule>
  </conditionalFormatting>
  <conditionalFormatting sqref="C75">
    <cfRule type="cellIs" dxfId="79" priority="71" operator="equal">
      <formula>0</formula>
    </cfRule>
  </conditionalFormatting>
  <conditionalFormatting sqref="C74">
    <cfRule type="cellIs" dxfId="78" priority="70" operator="equal">
      <formula>0</formula>
    </cfRule>
  </conditionalFormatting>
  <conditionalFormatting sqref="C73">
    <cfRule type="cellIs" dxfId="77" priority="69" operator="equal">
      <formula>0</formula>
    </cfRule>
  </conditionalFormatting>
  <conditionalFormatting sqref="C72">
    <cfRule type="cellIs" dxfId="76" priority="68" operator="equal">
      <formula>0</formula>
    </cfRule>
  </conditionalFormatting>
  <conditionalFormatting sqref="C71">
    <cfRule type="cellIs" dxfId="75" priority="67" operator="equal">
      <formula>0</formula>
    </cfRule>
  </conditionalFormatting>
  <conditionalFormatting sqref="C70">
    <cfRule type="cellIs" dxfId="74" priority="66" operator="equal">
      <formula>0</formula>
    </cfRule>
  </conditionalFormatting>
  <conditionalFormatting sqref="C69">
    <cfRule type="cellIs" dxfId="73" priority="65" operator="equal">
      <formula>0</formula>
    </cfRule>
  </conditionalFormatting>
  <conditionalFormatting sqref="C68">
    <cfRule type="cellIs" dxfId="72" priority="64" operator="equal">
      <formula>0</formula>
    </cfRule>
  </conditionalFormatting>
  <conditionalFormatting sqref="C67">
    <cfRule type="cellIs" dxfId="71" priority="63" operator="equal">
      <formula>0</formula>
    </cfRule>
  </conditionalFormatting>
  <conditionalFormatting sqref="C66">
    <cfRule type="cellIs" dxfId="70" priority="62" operator="equal">
      <formula>0</formula>
    </cfRule>
  </conditionalFormatting>
  <conditionalFormatting sqref="C65">
    <cfRule type="cellIs" dxfId="69" priority="61" operator="equal">
      <formula>0</formula>
    </cfRule>
  </conditionalFormatting>
  <conditionalFormatting sqref="C64">
    <cfRule type="cellIs" dxfId="68" priority="60" operator="equal">
      <formula>0</formula>
    </cfRule>
  </conditionalFormatting>
  <conditionalFormatting sqref="C63">
    <cfRule type="cellIs" dxfId="67" priority="59" operator="equal">
      <formula>0</formula>
    </cfRule>
  </conditionalFormatting>
  <conditionalFormatting sqref="C62">
    <cfRule type="cellIs" dxfId="66" priority="58" operator="equal">
      <formula>0</formula>
    </cfRule>
  </conditionalFormatting>
  <conditionalFormatting sqref="C61">
    <cfRule type="cellIs" dxfId="65" priority="57" operator="equal">
      <formula>0</formula>
    </cfRule>
  </conditionalFormatting>
  <conditionalFormatting sqref="C60">
    <cfRule type="cellIs" dxfId="64" priority="56" operator="equal">
      <formula>0</formula>
    </cfRule>
  </conditionalFormatting>
  <conditionalFormatting sqref="C59">
    <cfRule type="cellIs" dxfId="63" priority="55" operator="equal">
      <formula>0</formula>
    </cfRule>
  </conditionalFormatting>
  <conditionalFormatting sqref="C58">
    <cfRule type="cellIs" dxfId="62" priority="54" operator="equal">
      <formula>0</formula>
    </cfRule>
  </conditionalFormatting>
  <conditionalFormatting sqref="C57">
    <cfRule type="cellIs" dxfId="61" priority="53" operator="equal">
      <formula>0</formula>
    </cfRule>
  </conditionalFormatting>
  <conditionalFormatting sqref="C56">
    <cfRule type="cellIs" dxfId="60" priority="52" operator="equal">
      <formula>0</formula>
    </cfRule>
  </conditionalFormatting>
  <conditionalFormatting sqref="C55">
    <cfRule type="cellIs" dxfId="59" priority="51" operator="equal">
      <formula>0</formula>
    </cfRule>
  </conditionalFormatting>
  <conditionalFormatting sqref="C54">
    <cfRule type="cellIs" dxfId="58" priority="50" operator="equal">
      <formula>0</formula>
    </cfRule>
  </conditionalFormatting>
  <conditionalFormatting sqref="C53">
    <cfRule type="cellIs" dxfId="57" priority="49" operator="equal">
      <formula>0</formula>
    </cfRule>
  </conditionalFormatting>
  <conditionalFormatting sqref="C52">
    <cfRule type="cellIs" dxfId="56" priority="48" operator="equal">
      <formula>0</formula>
    </cfRule>
  </conditionalFormatting>
  <conditionalFormatting sqref="C51">
    <cfRule type="cellIs" dxfId="55" priority="47" operator="equal">
      <formula>0</formula>
    </cfRule>
  </conditionalFormatting>
  <conditionalFormatting sqref="C50">
    <cfRule type="cellIs" dxfId="54" priority="46" operator="equal">
      <formula>0</formula>
    </cfRule>
  </conditionalFormatting>
  <conditionalFormatting sqref="C49">
    <cfRule type="cellIs" dxfId="53" priority="45" operator="equal">
      <formula>0</formula>
    </cfRule>
  </conditionalFormatting>
  <conditionalFormatting sqref="C48">
    <cfRule type="cellIs" dxfId="52" priority="44" operator="equal">
      <formula>0</formula>
    </cfRule>
  </conditionalFormatting>
  <conditionalFormatting sqref="C47">
    <cfRule type="cellIs" dxfId="51" priority="43" operator="equal">
      <formula>0</formula>
    </cfRule>
  </conditionalFormatting>
  <conditionalFormatting sqref="C46">
    <cfRule type="cellIs" dxfId="50" priority="42" operator="equal">
      <formula>0</formula>
    </cfRule>
  </conditionalFormatting>
  <conditionalFormatting sqref="C45">
    <cfRule type="cellIs" dxfId="49" priority="41" operator="equal">
      <formula>0</formula>
    </cfRule>
  </conditionalFormatting>
  <conditionalFormatting sqref="C44">
    <cfRule type="cellIs" dxfId="48" priority="40" operator="equal">
      <formula>0</formula>
    </cfRule>
  </conditionalFormatting>
  <conditionalFormatting sqref="C43">
    <cfRule type="cellIs" dxfId="47" priority="39" operator="equal">
      <formula>0</formula>
    </cfRule>
  </conditionalFormatting>
  <conditionalFormatting sqref="C42">
    <cfRule type="cellIs" dxfId="46" priority="38" operator="equal">
      <formula>0</formula>
    </cfRule>
  </conditionalFormatting>
  <conditionalFormatting sqref="C41">
    <cfRule type="cellIs" dxfId="45" priority="37" operator="equal">
      <formula>0</formula>
    </cfRule>
  </conditionalFormatting>
  <conditionalFormatting sqref="C40">
    <cfRule type="cellIs" dxfId="44" priority="36" operator="equal">
      <formula>0</formula>
    </cfRule>
  </conditionalFormatting>
  <conditionalFormatting sqref="C39">
    <cfRule type="cellIs" dxfId="43" priority="35" operator="equal">
      <formula>0</formula>
    </cfRule>
  </conditionalFormatting>
  <conditionalFormatting sqref="C38">
    <cfRule type="cellIs" dxfId="42" priority="34" operator="equal">
      <formula>0</formula>
    </cfRule>
  </conditionalFormatting>
  <conditionalFormatting sqref="C37">
    <cfRule type="cellIs" dxfId="41" priority="33" operator="equal">
      <formula>0</formula>
    </cfRule>
  </conditionalFormatting>
  <conditionalFormatting sqref="C36">
    <cfRule type="cellIs" dxfId="40" priority="32" operator="equal">
      <formula>0</formula>
    </cfRule>
  </conditionalFormatting>
  <conditionalFormatting sqref="C35">
    <cfRule type="cellIs" dxfId="39" priority="31" operator="equal">
      <formula>0</formula>
    </cfRule>
  </conditionalFormatting>
  <conditionalFormatting sqref="C34">
    <cfRule type="cellIs" dxfId="38" priority="30" operator="equal">
      <formula>0</formula>
    </cfRule>
  </conditionalFormatting>
  <conditionalFormatting sqref="C33">
    <cfRule type="cellIs" dxfId="37" priority="29" operator="equal">
      <formula>0</formula>
    </cfRule>
  </conditionalFormatting>
  <conditionalFormatting sqref="C32">
    <cfRule type="cellIs" dxfId="36" priority="28" operator="equal">
      <formula>0</formula>
    </cfRule>
  </conditionalFormatting>
  <conditionalFormatting sqref="C31">
    <cfRule type="cellIs" dxfId="35" priority="27" operator="equal">
      <formula>0</formula>
    </cfRule>
  </conditionalFormatting>
  <conditionalFormatting sqref="C30">
    <cfRule type="cellIs" dxfId="34" priority="26" operator="equal">
      <formula>0</formula>
    </cfRule>
  </conditionalFormatting>
  <conditionalFormatting sqref="C29">
    <cfRule type="cellIs" dxfId="33" priority="25" operator="equal">
      <formula>0</formula>
    </cfRule>
  </conditionalFormatting>
  <conditionalFormatting sqref="C28">
    <cfRule type="cellIs" dxfId="32" priority="24" operator="equal">
      <formula>0</formula>
    </cfRule>
  </conditionalFormatting>
  <conditionalFormatting sqref="C27">
    <cfRule type="cellIs" dxfId="31" priority="23" operator="equal">
      <formula>0</formula>
    </cfRule>
  </conditionalFormatting>
  <conditionalFormatting sqref="C26">
    <cfRule type="cellIs" dxfId="30" priority="22" operator="equal">
      <formula>0</formula>
    </cfRule>
  </conditionalFormatting>
  <conditionalFormatting sqref="C25">
    <cfRule type="cellIs" dxfId="29" priority="21" operator="equal">
      <formula>0</formula>
    </cfRule>
  </conditionalFormatting>
  <conditionalFormatting sqref="C24">
    <cfRule type="cellIs" dxfId="28" priority="20" operator="equal">
      <formula>0</formula>
    </cfRule>
  </conditionalFormatting>
  <conditionalFormatting sqref="C23">
    <cfRule type="cellIs" dxfId="27" priority="19" operator="equal">
      <formula>0</formula>
    </cfRule>
  </conditionalFormatting>
  <conditionalFormatting sqref="C22">
    <cfRule type="cellIs" dxfId="26" priority="18" operator="equal">
      <formula>0</formula>
    </cfRule>
  </conditionalFormatting>
  <conditionalFormatting sqref="C21">
    <cfRule type="cellIs" dxfId="25" priority="17" operator="equal">
      <formula>0</formula>
    </cfRule>
  </conditionalFormatting>
  <conditionalFormatting sqref="C20">
    <cfRule type="cellIs" dxfId="24" priority="16" operator="equal">
      <formula>0</formula>
    </cfRule>
  </conditionalFormatting>
  <conditionalFormatting sqref="C19">
    <cfRule type="cellIs" dxfId="23" priority="15" operator="equal">
      <formula>0</formula>
    </cfRule>
  </conditionalFormatting>
  <conditionalFormatting sqref="C18">
    <cfRule type="cellIs" dxfId="22" priority="14" operator="equal">
      <formula>0</formula>
    </cfRule>
  </conditionalFormatting>
  <conditionalFormatting sqref="C17">
    <cfRule type="cellIs" dxfId="21" priority="13" operator="equal">
      <formula>0</formula>
    </cfRule>
  </conditionalFormatting>
  <conditionalFormatting sqref="C16">
    <cfRule type="cellIs" dxfId="20" priority="12" operator="equal">
      <formula>0</formula>
    </cfRule>
  </conditionalFormatting>
  <conditionalFormatting sqref="C15">
    <cfRule type="cellIs" dxfId="19" priority="11" operator="equal">
      <formula>0</formula>
    </cfRule>
  </conditionalFormatting>
  <conditionalFormatting sqref="C14">
    <cfRule type="cellIs" dxfId="18" priority="10" operator="equal">
      <formula>0</formula>
    </cfRule>
  </conditionalFormatting>
  <conditionalFormatting sqref="C13">
    <cfRule type="cellIs" dxfId="17" priority="9" operator="equal">
      <formula>0</formula>
    </cfRule>
  </conditionalFormatting>
  <conditionalFormatting sqref="C12">
    <cfRule type="cellIs" dxfId="16" priority="8" operator="equal">
      <formula>0</formula>
    </cfRule>
  </conditionalFormatting>
  <conditionalFormatting sqref="C11">
    <cfRule type="cellIs" dxfId="15" priority="7" operator="equal">
      <formula>0</formula>
    </cfRule>
  </conditionalFormatting>
  <conditionalFormatting sqref="C10">
    <cfRule type="cellIs" dxfId="14" priority="6" operator="equal">
      <formula>0</formula>
    </cfRule>
  </conditionalFormatting>
  <conditionalFormatting sqref="C9">
    <cfRule type="cellIs" dxfId="13" priority="5" operator="equal">
      <formula>0</formula>
    </cfRule>
  </conditionalFormatting>
  <conditionalFormatting sqref="C8">
    <cfRule type="cellIs" dxfId="12" priority="4" operator="equal">
      <formula>0</formula>
    </cfRule>
  </conditionalFormatting>
  <conditionalFormatting sqref="C7">
    <cfRule type="cellIs" dxfId="11" priority="3" operator="equal">
      <formula>0</formula>
    </cfRule>
  </conditionalFormatting>
  <conditionalFormatting sqref="C6">
    <cfRule type="cellIs" dxfId="10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1%</vt:lpstr>
      <vt:lpstr>2%</vt:lpstr>
      <vt:lpstr>5%</vt:lpstr>
      <vt:lpstr>10%</vt:lpstr>
      <vt:lpstr>INVEST</vt:lpstr>
      <vt:lpstr>TEMP</vt:lpstr>
      <vt:lpstr>table (1)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2022-01-28T01:16:37Z</dcterms:modified>
</cp:coreProperties>
</file>