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D1E9665F-9E71-488C-8F9F-08084B16CD7A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S766" i="1" s="1"/>
  <c r="T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122" i="5"/>
  <c r="C133" i="5" s="1"/>
  <c r="C118" i="5"/>
  <c r="C2" i="1" l="1"/>
  <c r="D2" i="1"/>
  <c r="C122" i="4"/>
  <c r="C133" i="4" s="1"/>
  <c r="C136" i="4" s="1"/>
  <c r="C116" i="4"/>
  <c r="D136" i="5"/>
  <c r="C136" i="5"/>
  <c r="C122" i="3"/>
  <c r="C133" i="3" s="1"/>
  <c r="D136" i="3" s="1"/>
  <c r="C116" i="3"/>
  <c r="C118" i="3"/>
  <c r="R765" i="1"/>
  <c r="D136" i="4" l="1"/>
  <c r="C138" i="4" s="1"/>
  <c r="C138" i="5"/>
  <c r="C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S144" i="1" l="1"/>
  <c r="T144" i="1" s="1"/>
  <c r="R143" i="1"/>
  <c r="S143" i="1" l="1"/>
  <c r="T143" i="1" s="1"/>
  <c r="R142" i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S120" i="1" l="1"/>
  <c r="T120" i="1" s="1"/>
  <c r="R119" i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S115" i="1" l="1"/>
  <c r="T115" i="1" s="1"/>
  <c r="R114" i="1"/>
  <c r="R113" i="1" l="1"/>
  <c r="S114" i="1"/>
  <c r="T114" i="1" s="1"/>
  <c r="R112" i="1" l="1"/>
  <c r="S113" i="1"/>
  <c r="T113" i="1" s="1"/>
  <c r="S112" i="1" l="1"/>
  <c r="T112" i="1" s="1"/>
  <c r="R111" i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S104" i="1" l="1"/>
  <c r="T104" i="1" s="1"/>
  <c r="R103" i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S96" i="1" l="1"/>
  <c r="T96" i="1" s="1"/>
  <c r="R95" i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S89" i="1" l="1"/>
  <c r="T89" i="1" s="1"/>
  <c r="R88" i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S84" i="1" l="1"/>
  <c r="T84" i="1" s="1"/>
  <c r="R83" i="1"/>
  <c r="S83" i="1" l="1"/>
  <c r="T83" i="1" s="1"/>
  <c r="R82" i="1"/>
  <c r="S82" i="1" l="1"/>
  <c r="T82" i="1" s="1"/>
  <c r="R81" i="1"/>
  <c r="S81" i="1" l="1"/>
  <c r="T81" i="1" s="1"/>
  <c r="R80" i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S66" i="1" l="1"/>
  <c r="T66" i="1" s="1"/>
  <c r="R65" i="1"/>
  <c r="S65" i="1" l="1"/>
  <c r="T65" i="1" s="1"/>
  <c r="R64" i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S60" i="1" l="1"/>
  <c r="T60" i="1" s="1"/>
  <c r="R59" i="1"/>
  <c r="S59" i="1" l="1"/>
  <c r="T59" i="1" s="1"/>
  <c r="R58" i="1"/>
  <c r="S58" i="1" l="1"/>
  <c r="T58" i="1" s="1"/>
  <c r="R57" i="1"/>
  <c r="S57" i="1" l="1"/>
  <c r="T57" i="1" s="1"/>
  <c r="R56" i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<sst xmlns="http://schemas.openxmlformats.org/spreadsheetml/2006/main" count="4332" uniqueCount="34">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</sst>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0.42249999999999999</c:v>
                </c:pt>
                <c:pt idx="1">
                  <c:v>0.42899999999999999</c:v>
                </c:pt>
                <c:pt idx="2">
                  <c:v>0.42799999999999999</c:v>
                </c:pt>
                <c:pt idx="3">
                  <c:v>0.42309999999999998</c:v>
                </c:pt>
                <c:pt idx="4">
                  <c:v>0.4395</c:v>
                </c:pt>
                <c:pt idx="5">
                  <c:v>0.4173</c:v>
                </c:pt>
                <c:pt idx="6">
                  <c:v>0.44490000000000002</c:v>
                </c:pt>
                <c:pt idx="7">
                  <c:v>0.5222</c:v>
                </c:pt>
                <c:pt idx="8">
                  <c:v>0.53990000000000005</c:v>
                </c:pt>
                <c:pt idx="9">
                  <c:v>0.55310000000000004</c:v>
                </c:pt>
                <c:pt idx="10">
                  <c:v>0.55759999999999998</c:v>
                </c:pt>
                <c:pt idx="11">
                  <c:v>0.5827</c:v>
                </c:pt>
                <c:pt idx="12">
                  <c:v>0.57969999999999999</c:v>
                </c:pt>
                <c:pt idx="13">
                  <c:v>0.58069999999999999</c:v>
                </c:pt>
                <c:pt idx="14">
                  <c:v>0.56989999999999996</c:v>
                </c:pt>
                <c:pt idx="15">
                  <c:v>0.62029999999999996</c:v>
                </c:pt>
                <c:pt idx="16">
                  <c:v>0.55959999999999999</c:v>
                </c:pt>
                <c:pt idx="17">
                  <c:v>0.53300000000000003</c:v>
                </c:pt>
                <c:pt idx="18">
                  <c:v>0.55059999999999998</c:v>
                </c:pt>
                <c:pt idx="19">
                  <c:v>0.53469999999999995</c:v>
                </c:pt>
                <c:pt idx="20">
                  <c:v>0.55689999999999995</c:v>
                </c:pt>
                <c:pt idx="21">
                  <c:v>0.5827</c:v>
                </c:pt>
                <c:pt idx="22">
                  <c:v>0.60099999999999998</c:v>
                </c:pt>
                <c:pt idx="23">
                  <c:v>0.64190000000000003</c:v>
                </c:pt>
                <c:pt idx="24">
                  <c:v>0.63870000000000005</c:v>
                </c:pt>
                <c:pt idx="25">
                  <c:v>0.63560000000000005</c:v>
                </c:pt>
                <c:pt idx="26">
                  <c:v>0.64139999999999997</c:v>
                </c:pt>
                <c:pt idx="27">
                  <c:v>0.62370000000000003</c:v>
                </c:pt>
                <c:pt idx="28">
                  <c:v>0.628</c:v>
                </c:pt>
                <c:pt idx="29">
                  <c:v>0.62839999999999996</c:v>
                </c:pt>
                <c:pt idx="30">
                  <c:v>0.63780000000000003</c:v>
                </c:pt>
                <c:pt idx="31">
                  <c:v>0.70940000000000003</c:v>
                </c:pt>
                <c:pt idx="32">
                  <c:v>0.70699999999999996</c:v>
                </c:pt>
                <c:pt idx="33">
                  <c:v>0.67969999999999997</c:v>
                </c:pt>
                <c:pt idx="34">
                  <c:v>0.67800000000000005</c:v>
                </c:pt>
                <c:pt idx="35">
                  <c:v>0.69210000000000005</c:v>
                </c:pt>
                <c:pt idx="36">
                  <c:v>0.66539999999999999</c:v>
                </c:pt>
                <c:pt idx="37">
                  <c:v>0.64600000000000002</c:v>
                </c:pt>
                <c:pt idx="38">
                  <c:v>0.65029999999999999</c:v>
                </c:pt>
                <c:pt idx="39">
                  <c:v>0.67230000000000001</c:v>
                </c:pt>
                <c:pt idx="40">
                  <c:v>0.65990000000000004</c:v>
                </c:pt>
                <c:pt idx="41">
                  <c:v>0.58179999999999998</c:v>
                </c:pt>
                <c:pt idx="42">
                  <c:v>0.63490000000000002</c:v>
                </c:pt>
                <c:pt idx="43">
                  <c:v>0.66020000000000001</c:v>
                </c:pt>
                <c:pt idx="44">
                  <c:v>0.63160000000000005</c:v>
                </c:pt>
                <c:pt idx="45">
                  <c:v>0.64770000000000005</c:v>
                </c:pt>
                <c:pt idx="46">
                  <c:v>0.65739999999999998</c:v>
                </c:pt>
                <c:pt idx="47">
                  <c:v>0.66200000000000003</c:v>
                </c:pt>
                <c:pt idx="48">
                  <c:v>0.66020000000000001</c:v>
                </c:pt>
                <c:pt idx="49">
                  <c:v>0.68540000000000001</c:v>
                </c:pt>
                <c:pt idx="50">
                  <c:v>0.74119999999999997</c:v>
                </c:pt>
                <c:pt idx="51">
                  <c:v>0.74180000000000001</c:v>
                </c:pt>
                <c:pt idx="52">
                  <c:v>0.77200000000000002</c:v>
                </c:pt>
                <c:pt idx="53">
                  <c:v>0.74199999999999999</c:v>
                </c:pt>
                <c:pt idx="54">
                  <c:v>0.77459999999999996</c:v>
                </c:pt>
                <c:pt idx="55">
                  <c:v>0.84340000000000004</c:v>
                </c:pt>
                <c:pt idx="56">
                  <c:v>0.8599</c:v>
                </c:pt>
                <c:pt idx="57">
                  <c:v>0.86299999999999999</c:v>
                </c:pt>
                <c:pt idx="58">
                  <c:v>0.86680000000000001</c:v>
                </c:pt>
                <c:pt idx="59">
                  <c:v>0.87770000000000004</c:v>
                </c:pt>
                <c:pt idx="60">
                  <c:v>0.86729999999999996</c:v>
                </c:pt>
                <c:pt idx="61">
                  <c:v>0.86990000000000001</c:v>
                </c:pt>
                <c:pt idx="62">
                  <c:v>0.85870000000000002</c:v>
                </c:pt>
                <c:pt idx="63">
                  <c:v>0.97250000000000003</c:v>
                </c:pt>
                <c:pt idx="64">
                  <c:v>0.92</c:v>
                </c:pt>
                <c:pt idx="65">
                  <c:v>0.93059999999999998</c:v>
                </c:pt>
                <c:pt idx="66">
                  <c:v>0.94899999999999995</c:v>
                </c:pt>
                <c:pt idx="67">
                  <c:v>1</c:v>
                </c:pt>
                <c:pt idx="68">
                  <c:v>0.92579999999999996</c:v>
                </c:pt>
                <c:pt idx="69">
                  <c:v>0.88619999999999999</c:v>
                </c:pt>
                <c:pt idx="70">
                  <c:v>0.88190000000000002</c:v>
                </c:pt>
                <c:pt idx="71">
                  <c:v>0.85519999999999996</c:v>
                </c:pt>
                <c:pt idx="72">
                  <c:v>0.85950000000000004</c:v>
                </c:pt>
                <c:pt idx="73">
                  <c:v>0.9083</c:v>
                </c:pt>
                <c:pt idx="74">
                  <c:v>0.93830000000000002</c:v>
                </c:pt>
                <c:pt idx="75">
                  <c:v>0.91249999999999998</c:v>
                </c:pt>
                <c:pt idx="76">
                  <c:v>0.92589999999999995</c:v>
                </c:pt>
                <c:pt idx="77">
                  <c:v>0.98399999999999999</c:v>
                </c:pt>
                <c:pt idx="78">
                  <c:v>0.95199999999999996</c:v>
                </c:pt>
                <c:pt idx="79">
                  <c:v>0.98750000000000004</c:v>
                </c:pt>
                <c:pt idx="80">
                  <c:v>1.0025999999999999</c:v>
                </c:pt>
                <c:pt idx="81">
                  <c:v>0.99909999999999999</c:v>
                </c:pt>
                <c:pt idx="82">
                  <c:v>0.99929999999999997</c:v>
                </c:pt>
                <c:pt idx="83">
                  <c:v>1.0058</c:v>
                </c:pt>
                <c:pt idx="84">
                  <c:v>1.0145999999999999</c:v>
                </c:pt>
                <c:pt idx="85">
                  <c:v>1.0450999999999999</c:v>
                </c:pt>
                <c:pt idx="86">
                  <c:v>1.0355000000000001</c:v>
                </c:pt>
                <c:pt idx="87">
                  <c:v>1.0089999999999999</c:v>
                </c:pt>
                <c:pt idx="88">
                  <c:v>0.99980000000000002</c:v>
                </c:pt>
                <c:pt idx="89">
                  <c:v>0.97629999999999995</c:v>
                </c:pt>
                <c:pt idx="90">
                  <c:v>1.0224</c:v>
                </c:pt>
                <c:pt idx="91">
                  <c:v>0.99380000000000002</c:v>
                </c:pt>
                <c:pt idx="92">
                  <c:v>0.97099999999999997</c:v>
                </c:pt>
                <c:pt idx="93">
                  <c:v>1.0479000000000001</c:v>
                </c:pt>
                <c:pt idx="94">
                  <c:v>1.0457000000000001</c:v>
                </c:pt>
                <c:pt idx="95">
                  <c:v>1.0410999999999999</c:v>
                </c:pt>
                <c:pt idx="96">
                  <c:v>1.0658000000000001</c:v>
                </c:pt>
                <c:pt idx="97">
                  <c:v>1.0470999999999999</c:v>
                </c:pt>
                <c:pt idx="98">
                  <c:v>1.0470999999999999</c:v>
                </c:pt>
                <c:pt idx="99">
                  <c:v>1.0589</c:v>
                </c:pt>
                <c:pt idx="100">
                  <c:v>1.0291999999999999</c:v>
                </c:pt>
                <c:pt idx="101">
                  <c:v>1.0548999999999999</c:v>
                </c:pt>
                <c:pt idx="102">
                  <c:v>1.0642</c:v>
                </c:pt>
                <c:pt idx="103">
                  <c:v>1.1160000000000001</c:v>
                </c:pt>
                <c:pt idx="104">
                  <c:v>1.0418000000000001</c:v>
                </c:pt>
                <c:pt idx="105">
                  <c:v>1.0472999999999999</c:v>
                </c:pt>
                <c:pt idx="106">
                  <c:v>1.04</c:v>
                </c:pt>
                <c:pt idx="107">
                  <c:v>1.0407</c:v>
                </c:pt>
                <c:pt idx="108">
                  <c:v>1.0785</c:v>
                </c:pt>
                <c:pt idx="109">
                  <c:v>1.0059</c:v>
                </c:pt>
                <c:pt idx="110">
                  <c:v>1.054</c:v>
                </c:pt>
                <c:pt idx="111">
                  <c:v>1.0347999999999999</c:v>
                </c:pt>
                <c:pt idx="112">
                  <c:v>1.0248999999999999</c:v>
                </c:pt>
                <c:pt idx="113">
                  <c:v>1.0379</c:v>
                </c:pt>
                <c:pt idx="114">
                  <c:v>1.0879000000000001</c:v>
                </c:pt>
                <c:pt idx="115">
                  <c:v>1.0246999999999999</c:v>
                </c:pt>
                <c:pt idx="116">
                  <c:v>1.0529999999999999</c:v>
                </c:pt>
                <c:pt idx="117">
                  <c:v>1.0406</c:v>
                </c:pt>
                <c:pt idx="118">
                  <c:v>1.0333000000000001</c:v>
                </c:pt>
                <c:pt idx="119">
                  <c:v>0.90190000000000003</c:v>
                </c:pt>
                <c:pt idx="120">
                  <c:v>0.91279999999999994</c:v>
                </c:pt>
                <c:pt idx="121">
                  <c:v>0.9244</c:v>
                </c:pt>
                <c:pt idx="122">
                  <c:v>0.99909999999999999</c:v>
                </c:pt>
                <c:pt idx="123">
                  <c:v>1.1051</c:v>
                </c:pt>
                <c:pt idx="124">
                  <c:v>0.86070000000000002</c:v>
                </c:pt>
                <c:pt idx="125">
                  <c:v>0.87290000000000001</c:v>
                </c:pt>
                <c:pt idx="126">
                  <c:v>0.9597</c:v>
                </c:pt>
                <c:pt idx="127">
                  <c:v>0.93400000000000005</c:v>
                </c:pt>
                <c:pt idx="128">
                  <c:v>0.84370000000000001</c:v>
                </c:pt>
                <c:pt idx="129">
                  <c:v>1.0221</c:v>
                </c:pt>
                <c:pt idx="130">
                  <c:v>1.1471</c:v>
                </c:pt>
                <c:pt idx="131">
                  <c:v>1.143</c:v>
                </c:pt>
                <c:pt idx="132">
                  <c:v>1.1429</c:v>
                </c:pt>
                <c:pt idx="133">
                  <c:v>1.1479999999999999</c:v>
                </c:pt>
                <c:pt idx="134">
                  <c:v>1.1887000000000001</c:v>
                </c:pt>
                <c:pt idx="135">
                  <c:v>1.1627000000000001</c:v>
                </c:pt>
                <c:pt idx="136">
                  <c:v>1.1075999999999999</c:v>
                </c:pt>
                <c:pt idx="137">
                  <c:v>1.1964999999999999</c:v>
                </c:pt>
                <c:pt idx="138">
                  <c:v>1.1900999999999999</c:v>
                </c:pt>
                <c:pt idx="139">
                  <c:v>1.1499999999999999</c:v>
                </c:pt>
                <c:pt idx="140">
                  <c:v>1.2635000000000001</c:v>
                </c:pt>
                <c:pt idx="141">
                  <c:v>1.3932</c:v>
                </c:pt>
                <c:pt idx="142">
                  <c:v>1.0661</c:v>
                </c:pt>
                <c:pt idx="143">
                  <c:v>1.2672000000000001</c:v>
                </c:pt>
                <c:pt idx="144">
                  <c:v>1.2101</c:v>
                </c:pt>
                <c:pt idx="145">
                  <c:v>1.2062999999999999</c:v>
                </c:pt>
                <c:pt idx="146">
                  <c:v>1.2225999999999999</c:v>
                </c:pt>
                <c:pt idx="147">
                  <c:v>1.2665999999999999</c:v>
                </c:pt>
                <c:pt idx="148">
                  <c:v>1.1284000000000001</c:v>
                </c:pt>
                <c:pt idx="149">
                  <c:v>1.0986</c:v>
                </c:pt>
                <c:pt idx="150">
                  <c:v>1.0441</c:v>
                </c:pt>
                <c:pt idx="151">
                  <c:v>1.107</c:v>
                </c:pt>
                <c:pt idx="152">
                  <c:v>1.1027</c:v>
                </c:pt>
                <c:pt idx="153">
                  <c:v>1.1200000000000001</c:v>
                </c:pt>
                <c:pt idx="154">
                  <c:v>1.0958000000000001</c:v>
                </c:pt>
                <c:pt idx="155">
                  <c:v>1.1835</c:v>
                </c:pt>
                <c:pt idx="156">
                  <c:v>1.147</c:v>
                </c:pt>
                <c:pt idx="157">
                  <c:v>1.2601</c:v>
                </c:pt>
                <c:pt idx="158">
                  <c:v>1.2177</c:v>
                </c:pt>
                <c:pt idx="159">
                  <c:v>1.22</c:v>
                </c:pt>
                <c:pt idx="160">
                  <c:v>1.2708999999999999</c:v>
                </c:pt>
                <c:pt idx="161">
                  <c:v>1.2591000000000001</c:v>
                </c:pt>
                <c:pt idx="162">
                  <c:v>1.2367999999999999</c:v>
                </c:pt>
                <c:pt idx="163">
                  <c:v>1.1315999999999999</c:v>
                </c:pt>
                <c:pt idx="164">
                  <c:v>1.2310000000000001</c:v>
                </c:pt>
                <c:pt idx="165">
                  <c:v>1.1746000000000001</c:v>
                </c:pt>
                <c:pt idx="166">
                  <c:v>1.1825000000000001</c:v>
                </c:pt>
                <c:pt idx="167">
                  <c:v>1.2514000000000001</c:v>
                </c:pt>
                <c:pt idx="168">
                  <c:v>1.3501000000000001</c:v>
                </c:pt>
                <c:pt idx="169">
                  <c:v>0.92800000000000005</c:v>
                </c:pt>
                <c:pt idx="170">
                  <c:v>0.87649999999999995</c:v>
                </c:pt>
                <c:pt idx="171">
                  <c:v>0.87380000000000002</c:v>
                </c:pt>
                <c:pt idx="172">
                  <c:v>0.8327</c:v>
                </c:pt>
                <c:pt idx="173">
                  <c:v>0.93230000000000002</c:v>
                </c:pt>
                <c:pt idx="174">
                  <c:v>0.91120000000000001</c:v>
                </c:pt>
                <c:pt idx="175">
                  <c:v>0.77649999999999997</c:v>
                </c:pt>
                <c:pt idx="176">
                  <c:v>0.66710000000000003</c:v>
                </c:pt>
                <c:pt idx="177">
                  <c:v>0.63049999999999995</c:v>
                </c:pt>
                <c:pt idx="178">
                  <c:v>0.66720000000000002</c:v>
                </c:pt>
                <c:pt idx="179">
                  <c:v>0.66869999999999996</c:v>
                </c:pt>
                <c:pt idx="180">
                  <c:v>0.65780000000000005</c:v>
                </c:pt>
                <c:pt idx="181">
                  <c:v>0.66869999999999996</c:v>
                </c:pt>
                <c:pt idx="182">
                  <c:v>0.64939999999999998</c:v>
                </c:pt>
                <c:pt idx="183">
                  <c:v>0.62180000000000002</c:v>
                </c:pt>
                <c:pt idx="184">
                  <c:v>0.61180000000000001</c:v>
                </c:pt>
                <c:pt idx="185">
                  <c:v>0.6381</c:v>
                </c:pt>
                <c:pt idx="186">
                  <c:v>0.65110000000000001</c:v>
                </c:pt>
                <c:pt idx="187">
                  <c:v>0.62480000000000002</c:v>
                </c:pt>
                <c:pt idx="188">
                  <c:v>0.62460000000000004</c:v>
                </c:pt>
                <c:pt idx="189">
                  <c:v>0.49180000000000001</c:v>
                </c:pt>
                <c:pt idx="190">
                  <c:v>0.47789999999999999</c:v>
                </c:pt>
                <c:pt idx="191">
                  <c:v>0.44550000000000001</c:v>
                </c:pt>
                <c:pt idx="192">
                  <c:v>0.49149999999999999</c:v>
                </c:pt>
                <c:pt idx="193">
                  <c:v>0.56659999999999999</c:v>
                </c:pt>
                <c:pt idx="194">
                  <c:v>0.55000000000000004</c:v>
                </c:pt>
                <c:pt idx="195">
                  <c:v>0.55420000000000003</c:v>
                </c:pt>
                <c:pt idx="196">
                  <c:v>0.58750000000000002</c:v>
                </c:pt>
                <c:pt idx="197">
                  <c:v>0.61299999999999999</c:v>
                </c:pt>
                <c:pt idx="198">
                  <c:v>0.62009999999999998</c:v>
                </c:pt>
                <c:pt idx="199">
                  <c:v>0.64390000000000003</c:v>
                </c:pt>
                <c:pt idx="200">
                  <c:v>0.67869999999999997</c:v>
                </c:pt>
                <c:pt idx="201">
                  <c:v>0.6663</c:v>
                </c:pt>
                <c:pt idx="202">
                  <c:v>0.69899999999999995</c:v>
                </c:pt>
                <c:pt idx="203">
                  <c:v>0.71440000000000003</c:v>
                </c:pt>
                <c:pt idx="204">
                  <c:v>0.81299999999999994</c:v>
                </c:pt>
                <c:pt idx="205">
                  <c:v>0.76359999999999995</c:v>
                </c:pt>
                <c:pt idx="206">
                  <c:v>0.74680000000000002</c:v>
                </c:pt>
                <c:pt idx="207">
                  <c:v>0.77549999999999997</c:v>
                </c:pt>
                <c:pt idx="208">
                  <c:v>0.72699999999999998</c:v>
                </c:pt>
                <c:pt idx="209">
                  <c:v>0.71319999999999995</c:v>
                </c:pt>
                <c:pt idx="210">
                  <c:v>0.70199999999999996</c:v>
                </c:pt>
                <c:pt idx="211">
                  <c:v>0.75439999999999996</c:v>
                </c:pt>
                <c:pt idx="212">
                  <c:v>0.77100000000000002</c:v>
                </c:pt>
                <c:pt idx="213">
                  <c:v>0.69699999999999995</c:v>
                </c:pt>
                <c:pt idx="214">
                  <c:v>0.67010000000000003</c:v>
                </c:pt>
                <c:pt idx="215">
                  <c:v>0.63009999999999999</c:v>
                </c:pt>
                <c:pt idx="216">
                  <c:v>0.63390000000000002</c:v>
                </c:pt>
                <c:pt idx="217">
                  <c:v>0.70240000000000002</c:v>
                </c:pt>
                <c:pt idx="218">
                  <c:v>0.68859999999999999</c:v>
                </c:pt>
                <c:pt idx="219">
                  <c:v>0.63009999999999999</c:v>
                </c:pt>
                <c:pt idx="220">
                  <c:v>0.70030000000000003</c:v>
                </c:pt>
                <c:pt idx="221">
                  <c:v>0.93259999999999998</c:v>
                </c:pt>
                <c:pt idx="222">
                  <c:v>0.89139999999999997</c:v>
                </c:pt>
                <c:pt idx="223">
                  <c:v>0.92390000000000005</c:v>
                </c:pt>
                <c:pt idx="224">
                  <c:v>0.98089999999999999</c:v>
                </c:pt>
                <c:pt idx="225">
                  <c:v>0.98309999999999997</c:v>
                </c:pt>
                <c:pt idx="226">
                  <c:v>1.0953999999999999</c:v>
                </c:pt>
                <c:pt idx="227">
                  <c:v>1.0434000000000001</c:v>
                </c:pt>
                <c:pt idx="228">
                  <c:v>1.0333000000000001</c:v>
                </c:pt>
                <c:pt idx="229">
                  <c:v>0.92830000000000001</c:v>
                </c:pt>
                <c:pt idx="230">
                  <c:v>0.98070000000000002</c:v>
                </c:pt>
                <c:pt idx="231">
                  <c:v>1.1516999999999999</c:v>
                </c:pt>
                <c:pt idx="232">
                  <c:v>1.1762999999999999</c:v>
                </c:pt>
                <c:pt idx="233">
                  <c:v>1.1281000000000001</c:v>
                </c:pt>
                <c:pt idx="234">
                  <c:v>1.1568000000000001</c:v>
                </c:pt>
                <c:pt idx="235">
                  <c:v>1.3937999999999999</c:v>
                </c:pt>
                <c:pt idx="236">
                  <c:v>1.462</c:v>
                </c:pt>
                <c:pt idx="237">
                  <c:v>1.3564000000000001</c:v>
                </c:pt>
                <c:pt idx="238">
                  <c:v>1.5589999999999999</c:v>
                </c:pt>
                <c:pt idx="239">
                  <c:v>1.2195</c:v>
                </c:pt>
                <c:pt idx="240">
                  <c:v>1.2226999999999999</c:v>
                </c:pt>
                <c:pt idx="241">
                  <c:v>0.91949999999999998</c:v>
                </c:pt>
                <c:pt idx="242">
                  <c:v>0.84960000000000002</c:v>
                </c:pt>
                <c:pt idx="243">
                  <c:v>0.79730000000000001</c:v>
                </c:pt>
                <c:pt idx="244">
                  <c:v>0.83299999999999996</c:v>
                </c:pt>
                <c:pt idx="245">
                  <c:v>0.97540000000000004</c:v>
                </c:pt>
                <c:pt idx="246">
                  <c:v>1.0229999999999999</c:v>
                </c:pt>
                <c:pt idx="247">
                  <c:v>0.88180000000000003</c:v>
                </c:pt>
                <c:pt idx="248">
                  <c:v>0.8992</c:v>
                </c:pt>
                <c:pt idx="249">
                  <c:v>0.6</c:v>
                </c:pt>
                <c:pt idx="250">
                  <c:v>0.70779999999999998</c:v>
                </c:pt>
                <c:pt idx="251">
                  <c:v>0.81169999999999998</c:v>
                </c:pt>
                <c:pt idx="252">
                  <c:v>1.0156000000000001</c:v>
                </c:pt>
                <c:pt idx="253">
                  <c:v>0.95520000000000005</c:v>
                </c:pt>
                <c:pt idx="254">
                  <c:v>1.4212</c:v>
                </c:pt>
                <c:pt idx="255">
                  <c:v>1.2599</c:v>
                </c:pt>
                <c:pt idx="256">
                  <c:v>1.335</c:v>
                </c:pt>
                <c:pt idx="257">
                  <c:v>1.3418000000000001</c:v>
                </c:pt>
                <c:pt idx="258">
                  <c:v>1.4999</c:v>
                </c:pt>
                <c:pt idx="259">
                  <c:v>1.4044000000000001</c:v>
                </c:pt>
                <c:pt idx="260">
                  <c:v>1.4071</c:v>
                </c:pt>
                <c:pt idx="261">
                  <c:v>1.7121999999999999</c:v>
                </c:pt>
                <c:pt idx="262">
                  <c:v>1.6990000000000001</c:v>
                </c:pt>
                <c:pt idx="263">
                  <c:v>1.6600999999999999</c:v>
                </c:pt>
                <c:pt idx="264">
                  <c:v>1.6698</c:v>
                </c:pt>
                <c:pt idx="265">
                  <c:v>1.6758</c:v>
                </c:pt>
                <c:pt idx="266">
                  <c:v>1.6241000000000001</c:v>
                </c:pt>
                <c:pt idx="267">
                  <c:v>1.7092000000000001</c:v>
                </c:pt>
                <c:pt idx="268">
                  <c:v>1.6980999999999999</c:v>
                </c:pt>
                <c:pt idx="269">
                  <c:v>1.9390000000000001</c:v>
                </c:pt>
                <c:pt idx="270">
                  <c:v>1.8787</c:v>
                </c:pt>
                <c:pt idx="271">
                  <c:v>1.9118999999999999</c:v>
                </c:pt>
                <c:pt idx="272">
                  <c:v>1.9919</c:v>
                </c:pt>
                <c:pt idx="273">
                  <c:v>2.0585</c:v>
                </c:pt>
                <c:pt idx="274">
                  <c:v>1.3703000000000001</c:v>
                </c:pt>
                <c:pt idx="275">
                  <c:v>1.4262999999999999</c:v>
                </c:pt>
                <c:pt idx="276">
                  <c:v>1.3154999999999999</c:v>
                </c:pt>
                <c:pt idx="277">
                  <c:v>1.1332</c:v>
                </c:pt>
                <c:pt idx="278">
                  <c:v>1.1277999999999999</c:v>
                </c:pt>
                <c:pt idx="279">
                  <c:v>1.1372</c:v>
                </c:pt>
                <c:pt idx="280">
                  <c:v>1.2464999999999999</c:v>
                </c:pt>
                <c:pt idx="281">
                  <c:v>1.2996000000000001</c:v>
                </c:pt>
                <c:pt idx="282">
                  <c:v>1.3889</c:v>
                </c:pt>
                <c:pt idx="283">
                  <c:v>1.4819</c:v>
                </c:pt>
                <c:pt idx="284">
                  <c:v>1.69</c:v>
                </c:pt>
                <c:pt idx="285">
                  <c:v>1.8211999999999999</c:v>
                </c:pt>
                <c:pt idx="286">
                  <c:v>1.9499</c:v>
                </c:pt>
                <c:pt idx="287">
                  <c:v>2.3340000000000001</c:v>
                </c:pt>
                <c:pt idx="288">
                  <c:v>2.3889</c:v>
                </c:pt>
                <c:pt idx="289">
                  <c:v>2.2355</c:v>
                </c:pt>
                <c:pt idx="290">
                  <c:v>2.3332999999999999</c:v>
                </c:pt>
                <c:pt idx="291">
                  <c:v>2.4135</c:v>
                </c:pt>
                <c:pt idx="292">
                  <c:v>2.4662000000000002</c:v>
                </c:pt>
                <c:pt idx="293">
                  <c:v>2.4925999999999999</c:v>
                </c:pt>
                <c:pt idx="294">
                  <c:v>2.6572</c:v>
                </c:pt>
                <c:pt idx="295">
                  <c:v>2.7696999999999998</c:v>
                </c:pt>
                <c:pt idx="296">
                  <c:v>2.5105</c:v>
                </c:pt>
                <c:pt idx="297">
                  <c:v>2.5341</c:v>
                </c:pt>
                <c:pt idx="298">
                  <c:v>2.3675000000000002</c:v>
                </c:pt>
                <c:pt idx="299">
                  <c:v>2.2858000000000001</c:v>
                </c:pt>
                <c:pt idx="300">
                  <c:v>2.5110000000000001</c:v>
                </c:pt>
                <c:pt idx="301">
                  <c:v>2.4714</c:v>
                </c:pt>
                <c:pt idx="302">
                  <c:v>2.8247</c:v>
                </c:pt>
                <c:pt idx="303">
                  <c:v>2.8201000000000001</c:v>
                </c:pt>
                <c:pt idx="304">
                  <c:v>3.0322</c:v>
                </c:pt>
                <c:pt idx="305">
                  <c:v>3.077</c:v>
                </c:pt>
                <c:pt idx="306">
                  <c:v>3.1303000000000001</c:v>
                </c:pt>
                <c:pt idx="307">
                  <c:v>2.9474</c:v>
                </c:pt>
                <c:pt idx="308">
                  <c:v>2.6713</c:v>
                </c:pt>
                <c:pt idx="309">
                  <c:v>2.7</c:v>
                </c:pt>
                <c:pt idx="310">
                  <c:v>2.9350000000000001</c:v>
                </c:pt>
                <c:pt idx="311">
                  <c:v>2.5365000000000002</c:v>
                </c:pt>
                <c:pt idx="312">
                  <c:v>2.8</c:v>
                </c:pt>
                <c:pt idx="313">
                  <c:v>3.0072000000000001</c:v>
                </c:pt>
                <c:pt idx="314">
                  <c:v>3.2214999999999998</c:v>
                </c:pt>
                <c:pt idx="315">
                  <c:v>3.2549999999999999</c:v>
                </c:pt>
                <c:pt idx="316">
                  <c:v>3.2324000000000002</c:v>
                </c:pt>
                <c:pt idx="317">
                  <c:v>3.2521</c:v>
                </c:pt>
                <c:pt idx="318">
                  <c:v>3.3986999999999998</c:v>
                </c:pt>
                <c:pt idx="319">
                  <c:v>3.7416</c:v>
                </c:pt>
                <c:pt idx="320">
                  <c:v>3.7742</c:v>
                </c:pt>
                <c:pt idx="321">
                  <c:v>3.4117000000000002</c:v>
                </c:pt>
                <c:pt idx="322">
                  <c:v>3.6791</c:v>
                </c:pt>
                <c:pt idx="323">
                  <c:v>2.8801999999999999</c:v>
                </c:pt>
                <c:pt idx="324">
                  <c:v>2.9329000000000001</c:v>
                </c:pt>
                <c:pt idx="325">
                  <c:v>2.9129999999999998</c:v>
                </c:pt>
                <c:pt idx="326">
                  <c:v>2.9946999999999999</c:v>
                </c:pt>
                <c:pt idx="327">
                  <c:v>2.6274999999999999</c:v>
                </c:pt>
                <c:pt idx="328">
                  <c:v>2.5886999999999998</c:v>
                </c:pt>
                <c:pt idx="329">
                  <c:v>2.8178999999999998</c:v>
                </c:pt>
                <c:pt idx="330">
                  <c:v>2.8313999999999999</c:v>
                </c:pt>
                <c:pt idx="331">
                  <c:v>2.8624000000000001</c:v>
                </c:pt>
                <c:pt idx="332">
                  <c:v>3.0939000000000001</c:v>
                </c:pt>
                <c:pt idx="333">
                  <c:v>2.1375999999999999</c:v>
                </c:pt>
                <c:pt idx="334">
                  <c:v>2.3702000000000001</c:v>
                </c:pt>
                <c:pt idx="335">
                  <c:v>1.9665999999999999</c:v>
                </c:pt>
                <c:pt idx="336">
                  <c:v>2.0106999999999999</c:v>
                </c:pt>
                <c:pt idx="337">
                  <c:v>2.6482999999999999</c:v>
                </c:pt>
                <c:pt idx="338">
                  <c:v>3.1897000000000002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3C-416C-931D-3572EA0756A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-1.1908483108236709</c:v>
                </c:pt>
                <c:pt idx="1">
                  <c:v>-1.190397643943671</c:v>
                </c:pt>
                <c:pt idx="2">
                  <c:v>-1.1807256033999818</c:v>
                </c:pt>
                <c:pt idx="3">
                  <c:v>-1.1845195328605624</c:v>
                </c:pt>
                <c:pt idx="4">
                  <c:v>-1.1914549519828197</c:v>
                </c:pt>
                <c:pt idx="5">
                  <c:v>-1.197374447816153</c:v>
                </c:pt>
                <c:pt idx="6">
                  <c:v>-1.1904147850119202</c:v>
                </c:pt>
                <c:pt idx="7">
                  <c:v>-1.1676600204512506</c:v>
                </c:pt>
                <c:pt idx="8">
                  <c:v>-1.1565337404512506</c:v>
                </c:pt>
                <c:pt idx="9">
                  <c:v>-1.1552868686715896</c:v>
                </c:pt>
                <c:pt idx="10">
                  <c:v>-1.1582206277159584</c:v>
                </c:pt>
                <c:pt idx="11">
                  <c:v>-1.1538015750554078</c:v>
                </c:pt>
                <c:pt idx="12">
                  <c:v>-1.1556675091213418</c:v>
                </c:pt>
                <c:pt idx="13">
                  <c:v>-1.1552698979738008</c:v>
                </c:pt>
                <c:pt idx="14">
                  <c:v>-1.1648408128996168</c:v>
                </c:pt>
                <c:pt idx="15">
                  <c:v>-1.1576186258209653</c:v>
                </c:pt>
                <c:pt idx="16">
                  <c:v>-1.1684164664876318</c:v>
                </c:pt>
                <c:pt idx="17">
                  <c:v>-1.1728325465153324</c:v>
                </c:pt>
                <c:pt idx="18">
                  <c:v>-1.1723893366890299</c:v>
                </c:pt>
                <c:pt idx="19">
                  <c:v>-1.17372106308903</c:v>
                </c:pt>
                <c:pt idx="20">
                  <c:v>-1.1389801704671811</c:v>
                </c:pt>
                <c:pt idx="21">
                  <c:v>-1.1384659849569769</c:v>
                </c:pt>
                <c:pt idx="22">
                  <c:v>-1.1361984671444767</c:v>
                </c:pt>
                <c:pt idx="23">
                  <c:v>-1.1204153405687947</c:v>
                </c:pt>
                <c:pt idx="24">
                  <c:v>-1.1188508392960672</c:v>
                </c:pt>
                <c:pt idx="25">
                  <c:v>-1.111901053917006</c:v>
                </c:pt>
                <c:pt idx="26">
                  <c:v>-1.1132252328643744</c:v>
                </c:pt>
                <c:pt idx="27">
                  <c:v>-1.1169811154053579</c:v>
                </c:pt>
                <c:pt idx="28">
                  <c:v>-1.1129263499186322</c:v>
                </c:pt>
                <c:pt idx="29">
                  <c:v>-1.1073546255366098</c:v>
                </c:pt>
                <c:pt idx="30">
                  <c:v>-1.0984402692126223</c:v>
                </c:pt>
                <c:pt idx="31">
                  <c:v>-1.0873243620898152</c:v>
                </c:pt>
                <c:pt idx="32">
                  <c:v>-1.0805269451135733</c:v>
                </c:pt>
                <c:pt idx="33">
                  <c:v>-1.086236219984422</c:v>
                </c:pt>
                <c:pt idx="34">
                  <c:v>-1.0849666378682394</c:v>
                </c:pt>
                <c:pt idx="35">
                  <c:v>-1.0828946027193032</c:v>
                </c:pt>
                <c:pt idx="36">
                  <c:v>-1.08544992644964</c:v>
                </c:pt>
                <c:pt idx="37">
                  <c:v>-1.0847704897951611</c:v>
                </c:pt>
                <c:pt idx="38">
                  <c:v>-1.082389089044556</c:v>
                </c:pt>
                <c:pt idx="39">
                  <c:v>-1.0843056927518731</c:v>
                </c:pt>
                <c:pt idx="40">
                  <c:v>-1.056773088231187</c:v>
                </c:pt>
                <c:pt idx="41">
                  <c:v>-1.0621509227451282</c:v>
                </c:pt>
                <c:pt idx="42">
                  <c:v>-1.0585127485146815</c:v>
                </c:pt>
                <c:pt idx="43">
                  <c:v>-1.0556546427135767</c:v>
                </c:pt>
                <c:pt idx="44">
                  <c:v>-1.058467105240213</c:v>
                </c:pt>
                <c:pt idx="45">
                  <c:v>-1.0534644201770993</c:v>
                </c:pt>
                <c:pt idx="46">
                  <c:v>-1.0567253181199565</c:v>
                </c:pt>
                <c:pt idx="47">
                  <c:v>-1.0529864781199565</c:v>
                </c:pt>
                <c:pt idx="48">
                  <c:v>-1.0529704028511393</c:v>
                </c:pt>
                <c:pt idx="49">
                  <c:v>-1.0468920709954694</c:v>
                </c:pt>
                <c:pt idx="50">
                  <c:v>-1.0404234090353364</c:v>
                </c:pt>
                <c:pt idx="51">
                  <c:v>-1.0417376073824438</c:v>
                </c:pt>
                <c:pt idx="52">
                  <c:v>-1.0370035606765613</c:v>
                </c:pt>
                <c:pt idx="53">
                  <c:v>-1.0453554466316828</c:v>
                </c:pt>
                <c:pt idx="54">
                  <c:v>-1.0438787266316827</c:v>
                </c:pt>
                <c:pt idx="55">
                  <c:v>-1.0432875036100471</c:v>
                </c:pt>
                <c:pt idx="56">
                  <c:v>-1.0366140929962364</c:v>
                </c:pt>
                <c:pt idx="57">
                  <c:v>-1.0363626678282778</c:v>
                </c:pt>
                <c:pt idx="58">
                  <c:v>-1.0329535800051486</c:v>
                </c:pt>
                <c:pt idx="59">
                  <c:v>-1.0298707944334231</c:v>
                </c:pt>
                <c:pt idx="60">
                  <c:v>-1.0272250723679317</c:v>
                </c:pt>
                <c:pt idx="61">
                  <c:v>-1.0319576755679316</c:v>
                </c:pt>
                <c:pt idx="62">
                  <c:v>-1.0326167772264683</c:v>
                </c:pt>
                <c:pt idx="63">
                  <c:v>-1.0261123910305685</c:v>
                </c:pt>
                <c:pt idx="64">
                  <c:v>-1.0331947978487503</c:v>
                </c:pt>
                <c:pt idx="65">
                  <c:v>-1.0338293218185994</c:v>
                </c:pt>
                <c:pt idx="66">
                  <c:v>-1.0313011200384947</c:v>
                </c:pt>
                <c:pt idx="67">
                  <c:v>-1.0296932862343944</c:v>
                </c:pt>
                <c:pt idx="68">
                  <c:v>-1.030478099627848</c:v>
                </c:pt>
                <c:pt idx="69">
                  <c:v>-1.037239449768693</c:v>
                </c:pt>
                <c:pt idx="70">
                  <c:v>-1.0404755150620082</c:v>
                </c:pt>
                <c:pt idx="71">
                  <c:v>-0.98891630509675466</c:v>
                </c:pt>
                <c:pt idx="72">
                  <c:v>-0.99223386660935964</c:v>
                </c:pt>
                <c:pt idx="73">
                  <c:v>-0.99112360891350715</c:v>
                </c:pt>
                <c:pt idx="74">
                  <c:v>-0.98746130014011835</c:v>
                </c:pt>
                <c:pt idx="75">
                  <c:v>-0.99057832115706757</c:v>
                </c:pt>
                <c:pt idx="76">
                  <c:v>-0.98465881552006929</c:v>
                </c:pt>
                <c:pt idx="77">
                  <c:v>-0.98181762677291662</c:v>
                </c:pt>
                <c:pt idx="78">
                  <c:v>-0.98738275578526224</c:v>
                </c:pt>
                <c:pt idx="79">
                  <c:v>-0.98189451693175911</c:v>
                </c:pt>
                <c:pt idx="80">
                  <c:v>-0.97869987191910091</c:v>
                </c:pt>
                <c:pt idx="81">
                  <c:v>-0.97583661661297849</c:v>
                </c:pt>
                <c:pt idx="82">
                  <c:v>-0.97668281452114158</c:v>
                </c:pt>
                <c:pt idx="83">
                  <c:v>-0.97786588879907088</c:v>
                </c:pt>
                <c:pt idx="84">
                  <c:v>-0.97530186183389678</c:v>
                </c:pt>
                <c:pt idx="85">
                  <c:v>-0.96877983841926263</c:v>
                </c:pt>
                <c:pt idx="86">
                  <c:v>-0.97608764248039803</c:v>
                </c:pt>
                <c:pt idx="87">
                  <c:v>-0.97740919090536094</c:v>
                </c:pt>
                <c:pt idx="88">
                  <c:v>-0.97945060168458165</c:v>
                </c:pt>
                <c:pt idx="89">
                  <c:v>-0.98030556636914534</c:v>
                </c:pt>
                <c:pt idx="90">
                  <c:v>-0.97324800447499504</c:v>
                </c:pt>
                <c:pt idx="91">
                  <c:v>-0.97765246360542979</c:v>
                </c:pt>
                <c:pt idx="92">
                  <c:v>-0.98091583158345175</c:v>
                </c:pt>
                <c:pt idx="93">
                  <c:v>-0.96856594416085762</c:v>
                </c:pt>
                <c:pt idx="94">
                  <c:v>-0.95864301186434608</c:v>
                </c:pt>
                <c:pt idx="95">
                  <c:v>-0.96112474731628295</c:v>
                </c:pt>
                <c:pt idx="96">
                  <c:v>-0.95864220272168821</c:v>
                </c:pt>
                <c:pt idx="97">
                  <c:v>-0.96182195894743794</c:v>
                </c:pt>
                <c:pt idx="98">
                  <c:v>-0.95415635631832996</c:v>
                </c:pt>
                <c:pt idx="99">
                  <c:v>-0.93744565928648271</c:v>
                </c:pt>
                <c:pt idx="100">
                  <c:v>-0.9448508063826716</c:v>
                </c:pt>
                <c:pt idx="101">
                  <c:v>-0.93546950010898733</c:v>
                </c:pt>
                <c:pt idx="102">
                  <c:v>-0.91790685790435866</c:v>
                </c:pt>
                <c:pt idx="103">
                  <c:v>-0.88564754757877728</c:v>
                </c:pt>
                <c:pt idx="104">
                  <c:v>-0.9052351965250367</c:v>
                </c:pt>
                <c:pt idx="105">
                  <c:v>-0.8963273566260469</c:v>
                </c:pt>
                <c:pt idx="106">
                  <c:v>-0.89311180571300341</c:v>
                </c:pt>
                <c:pt idx="107">
                  <c:v>-0.90177572816583373</c:v>
                </c:pt>
                <c:pt idx="108">
                  <c:v>-0.89593498627394175</c:v>
                </c:pt>
                <c:pt idx="109">
                  <c:v>-0.88296259362394169</c:v>
                </c:pt>
                <c:pt idx="110">
                  <c:v>-0.86559014466073092</c:v>
                </c:pt>
                <c:pt idx="111">
                  <c:v>-0.83175817776575389</c:v>
                </c:pt>
                <c:pt idx="112">
                  <c:v>-0.82797144376575382</c:v>
                </c:pt>
                <c:pt idx="113">
                  <c:v>-0.81904995673837433</c:v>
                </c:pt>
                <c:pt idx="114">
                  <c:v>-0.81824525696668493</c:v>
                </c:pt>
                <c:pt idx="115">
                  <c:v>-0.81347466710418492</c:v>
                </c:pt>
                <c:pt idx="116">
                  <c:v>-0.81212384095603674</c:v>
                </c:pt>
                <c:pt idx="117">
                  <c:v>-0.81942550803407666</c:v>
                </c:pt>
                <c:pt idx="118">
                  <c:v>-0.81891961317693385</c:v>
                </c:pt>
                <c:pt idx="119">
                  <c:v>-0.83665389690574754</c:v>
                </c:pt>
                <c:pt idx="120">
                  <c:v>-0.83012326975864503</c:v>
                </c:pt>
                <c:pt idx="121">
                  <c:v>-0.86182456265472684</c:v>
                </c:pt>
                <c:pt idx="122">
                  <c:v>-0.8024827367300692</c:v>
                </c:pt>
                <c:pt idx="123">
                  <c:v>-0.72120698608340605</c:v>
                </c:pt>
                <c:pt idx="124">
                  <c:v>-0.70730237843358923</c:v>
                </c:pt>
                <c:pt idx="125">
                  <c:v>-0.69589293676692254</c:v>
                </c:pt>
                <c:pt idx="126">
                  <c:v>-0.69124411928284601</c:v>
                </c:pt>
                <c:pt idx="127">
                  <c:v>-0.68640586529269831</c:v>
                </c:pt>
                <c:pt idx="128">
                  <c:v>-0.69362464149872838</c:v>
                </c:pt>
                <c:pt idx="129">
                  <c:v>-0.66891375495998573</c:v>
                </c:pt>
                <c:pt idx="130">
                  <c:v>-0.6578309359844845</c:v>
                </c:pt>
                <c:pt idx="131">
                  <c:v>-0.60931798646385582</c:v>
                </c:pt>
                <c:pt idx="132">
                  <c:v>-0.59707271503528447</c:v>
                </c:pt>
                <c:pt idx="133">
                  <c:v>-0.57187350972176498</c:v>
                </c:pt>
                <c:pt idx="134">
                  <c:v>-0.55631045586564987</c:v>
                </c:pt>
                <c:pt idx="135">
                  <c:v>-0.55742307141281955</c:v>
                </c:pt>
                <c:pt idx="136">
                  <c:v>-0.55342580193230018</c:v>
                </c:pt>
                <c:pt idx="137">
                  <c:v>-0.54522252196616983</c:v>
                </c:pt>
                <c:pt idx="138">
                  <c:v>-0.53749028070301186</c:v>
                </c:pt>
                <c:pt idx="139">
                  <c:v>-0.53718144493606768</c:v>
                </c:pt>
                <c:pt idx="140">
                  <c:v>-0.53046951243606766</c:v>
                </c:pt>
                <c:pt idx="141">
                  <c:v>-0.50474175148152234</c:v>
                </c:pt>
                <c:pt idx="142">
                  <c:v>-0.5252326437418835</c:v>
                </c:pt>
                <c:pt idx="143">
                  <c:v>-0.50379142744779271</c:v>
                </c:pt>
                <c:pt idx="144">
                  <c:v>-0.51125395851078481</c:v>
                </c:pt>
                <c:pt idx="145">
                  <c:v>-0.51431605855944651</c:v>
                </c:pt>
                <c:pt idx="146">
                  <c:v>-0.49524121543010019</c:v>
                </c:pt>
                <c:pt idx="147">
                  <c:v>-0.42629111030916855</c:v>
                </c:pt>
                <c:pt idx="148">
                  <c:v>-0.3813658854857146</c:v>
                </c:pt>
                <c:pt idx="149">
                  <c:v>-0.38949643662857175</c:v>
                </c:pt>
                <c:pt idx="150">
                  <c:v>-0.39413763019866521</c:v>
                </c:pt>
                <c:pt idx="151">
                  <c:v>-0.38611164539921844</c:v>
                </c:pt>
                <c:pt idx="152">
                  <c:v>-0.38556945873255177</c:v>
                </c:pt>
                <c:pt idx="153">
                  <c:v>-0.38046709200065348</c:v>
                </c:pt>
                <c:pt idx="154">
                  <c:v>-0.38252002677198454</c:v>
                </c:pt>
                <c:pt idx="155">
                  <c:v>-0.36868994390687454</c:v>
                </c:pt>
                <c:pt idx="156">
                  <c:v>-0.37745069606336445</c:v>
                </c:pt>
                <c:pt idx="157">
                  <c:v>-0.36270069534863336</c:v>
                </c:pt>
                <c:pt idx="158">
                  <c:v>-0.36881393958592157</c:v>
                </c:pt>
                <c:pt idx="159">
                  <c:v>-0.36840062634721188</c:v>
                </c:pt>
                <c:pt idx="160">
                  <c:v>-0.36156036051362989</c:v>
                </c:pt>
                <c:pt idx="161">
                  <c:v>-0.3556500881767084</c:v>
                </c:pt>
                <c:pt idx="162">
                  <c:v>-0.332181931354874</c:v>
                </c:pt>
                <c:pt idx="163">
                  <c:v>-0.33255059991552705</c:v>
                </c:pt>
                <c:pt idx="164">
                  <c:v>-0.31548844345254473</c:v>
                </c:pt>
                <c:pt idx="165">
                  <c:v>-0.32494112328257163</c:v>
                </c:pt>
                <c:pt idx="166">
                  <c:v>-0.3309131235145778</c:v>
                </c:pt>
                <c:pt idx="167">
                  <c:v>-0.32298307348588218</c:v>
                </c:pt>
                <c:pt idx="168">
                  <c:v>-0.29537991813398995</c:v>
                </c:pt>
                <c:pt idx="169">
                  <c:v>-0.36354517556244392</c:v>
                </c:pt>
                <c:pt idx="170">
                  <c:v>-0.37386366206492233</c:v>
                </c:pt>
                <c:pt idx="171">
                  <c:v>-0.38576880203460157</c:v>
                </c:pt>
                <c:pt idx="172">
                  <c:v>-0.39338050998900159</c:v>
                </c:pt>
                <c:pt idx="173">
                  <c:v>-0.38717818737609833</c:v>
                </c:pt>
                <c:pt idx="174">
                  <c:v>-0.39672992109043009</c:v>
                </c:pt>
                <c:pt idx="175">
                  <c:v>-0.41492960697359932</c:v>
                </c:pt>
                <c:pt idx="176">
                  <c:v>-0.38966754637475981</c:v>
                </c:pt>
                <c:pt idx="177">
                  <c:v>-0.39657005072932094</c:v>
                </c:pt>
                <c:pt idx="178">
                  <c:v>-0.38947141093214283</c:v>
                </c:pt>
                <c:pt idx="179">
                  <c:v>-0.38998482833458181</c:v>
                </c:pt>
                <c:pt idx="180">
                  <c:v>-0.38945925197632936</c:v>
                </c:pt>
                <c:pt idx="181">
                  <c:v>-0.39137755183771777</c:v>
                </c:pt>
                <c:pt idx="182">
                  <c:v>-0.39845191895834559</c:v>
                </c:pt>
                <c:pt idx="183">
                  <c:v>-0.40607943199143909</c:v>
                </c:pt>
                <c:pt idx="184">
                  <c:v>-0.40328981195845476</c:v>
                </c:pt>
                <c:pt idx="185">
                  <c:v>-0.39843058851322866</c:v>
                </c:pt>
                <c:pt idx="186">
                  <c:v>-0.39108127868497256</c:v>
                </c:pt>
                <c:pt idx="187">
                  <c:v>-0.40144277259697259</c:v>
                </c:pt>
                <c:pt idx="188">
                  <c:v>-0.34941891972591121</c:v>
                </c:pt>
                <c:pt idx="189">
                  <c:v>-0.35744321818581049</c:v>
                </c:pt>
                <c:pt idx="190">
                  <c:v>-0.35334008681135165</c:v>
                </c:pt>
                <c:pt idx="191">
                  <c:v>-0.35518509288961247</c:v>
                </c:pt>
                <c:pt idx="192">
                  <c:v>-0.34473165882697154</c:v>
                </c:pt>
                <c:pt idx="193">
                  <c:v>-0.34225585890045307</c:v>
                </c:pt>
                <c:pt idx="194">
                  <c:v>-0.32452696283299631</c:v>
                </c:pt>
                <c:pt idx="195">
                  <c:v>-0.32519684362917467</c:v>
                </c:pt>
                <c:pt idx="196">
                  <c:v>-0.32374446872575419</c:v>
                </c:pt>
                <c:pt idx="197">
                  <c:v>-0.32217300599806187</c:v>
                </c:pt>
                <c:pt idx="198">
                  <c:v>-0.32368479851551152</c:v>
                </c:pt>
                <c:pt idx="199">
                  <c:v>-0.32069853620684635</c:v>
                </c:pt>
                <c:pt idx="200">
                  <c:v>-0.31889756194777052</c:v>
                </c:pt>
                <c:pt idx="201">
                  <c:v>-0.31880518111205619</c:v>
                </c:pt>
                <c:pt idx="202">
                  <c:v>-0.3161007982722257</c:v>
                </c:pt>
                <c:pt idx="203">
                  <c:v>-0.31502940912554633</c:v>
                </c:pt>
                <c:pt idx="204">
                  <c:v>-0.31184048172797685</c:v>
                </c:pt>
                <c:pt idx="205">
                  <c:v>-0.31437332537906798</c:v>
                </c:pt>
                <c:pt idx="206">
                  <c:v>-0.30581897524177065</c:v>
                </c:pt>
                <c:pt idx="207">
                  <c:v>-0.30593828762653252</c:v>
                </c:pt>
                <c:pt idx="208">
                  <c:v>-0.31024476236319926</c:v>
                </c:pt>
                <c:pt idx="209">
                  <c:v>-0.31227572725208813</c:v>
                </c:pt>
                <c:pt idx="210">
                  <c:v>-0.31912202146765695</c:v>
                </c:pt>
                <c:pt idx="211">
                  <c:v>-0.31292661209036299</c:v>
                </c:pt>
                <c:pt idx="212">
                  <c:v>-0.30651002811232875</c:v>
                </c:pt>
                <c:pt idx="213">
                  <c:v>-0.31245963769979318</c:v>
                </c:pt>
                <c:pt idx="214">
                  <c:v>-0.31449676492025519</c:v>
                </c:pt>
                <c:pt idx="215">
                  <c:v>-0.32111036467946263</c:v>
                </c:pt>
                <c:pt idx="216">
                  <c:v>-0.32243487798840575</c:v>
                </c:pt>
                <c:pt idx="217">
                  <c:v>-0.31527202951117</c:v>
                </c:pt>
                <c:pt idx="218">
                  <c:v>-0.31734500371343133</c:v>
                </c:pt>
                <c:pt idx="219">
                  <c:v>-0.31665538724035835</c:v>
                </c:pt>
                <c:pt idx="220">
                  <c:v>-0.31620815851068024</c:v>
                </c:pt>
                <c:pt idx="221">
                  <c:v>-0.31124259321253284</c:v>
                </c:pt>
                <c:pt idx="222">
                  <c:v>-0.31522259970594807</c:v>
                </c:pt>
                <c:pt idx="223">
                  <c:v>-0.31248458672153245</c:v>
                </c:pt>
                <c:pt idx="224">
                  <c:v>-0.30942702460565263</c:v>
                </c:pt>
                <c:pt idx="225">
                  <c:v>-0.30810309071977415</c:v>
                </c:pt>
                <c:pt idx="226">
                  <c:v>-0.30409995410387458</c:v>
                </c:pt>
                <c:pt idx="227">
                  <c:v>-0.30335326937012463</c:v>
                </c:pt>
                <c:pt idx="228">
                  <c:v>-0.29415087423882735</c:v>
                </c:pt>
                <c:pt idx="229">
                  <c:v>-0.29789953094723853</c:v>
                </c:pt>
                <c:pt idx="230">
                  <c:v>-0.29809869229212738</c:v>
                </c:pt>
                <c:pt idx="231">
                  <c:v>-0.29332153250181403</c:v>
                </c:pt>
                <c:pt idx="232">
                  <c:v>-0.29356517215241645</c:v>
                </c:pt>
                <c:pt idx="233">
                  <c:v>-0.29731855151308939</c:v>
                </c:pt>
                <c:pt idx="234">
                  <c:v>-0.30142632058334395</c:v>
                </c:pt>
                <c:pt idx="235">
                  <c:v>-0.29453512203391097</c:v>
                </c:pt>
                <c:pt idx="236">
                  <c:v>-0.29086891365843692</c:v>
                </c:pt>
                <c:pt idx="237">
                  <c:v>-0.28327473619709059</c:v>
                </c:pt>
                <c:pt idx="238">
                  <c:v>-0.27161464267377605</c:v>
                </c:pt>
                <c:pt idx="239">
                  <c:v>-0.2795400955129887</c:v>
                </c:pt>
                <c:pt idx="240">
                  <c:v>-0.27405414783776427</c:v>
                </c:pt>
                <c:pt idx="241">
                  <c:v>-0.28700439080906298</c:v>
                </c:pt>
                <c:pt idx="242">
                  <c:v>-0.29004569650180173</c:v>
                </c:pt>
                <c:pt idx="243">
                  <c:v>-0.29076039727105502</c:v>
                </c:pt>
                <c:pt idx="244">
                  <c:v>-0.2881598154169141</c:v>
                </c:pt>
                <c:pt idx="245">
                  <c:v>-0.28361474564064554</c:v>
                </c:pt>
                <c:pt idx="246">
                  <c:v>-0.27470813640266895</c:v>
                </c:pt>
                <c:pt idx="247">
                  <c:v>-0.28329244638396828</c:v>
                </c:pt>
                <c:pt idx="248">
                  <c:v>-0.27684322111508469</c:v>
                </c:pt>
                <c:pt idx="249">
                  <c:v>-0.27833181345631147</c:v>
                </c:pt>
                <c:pt idx="250">
                  <c:v>-0.27741885841693992</c:v>
                </c:pt>
                <c:pt idx="251">
                  <c:v>-0.26884791092850063</c:v>
                </c:pt>
                <c:pt idx="252">
                  <c:v>-0.26295231821315135</c:v>
                </c:pt>
                <c:pt idx="253">
                  <c:v>-0.26579511904486797</c:v>
                </c:pt>
                <c:pt idx="254">
                  <c:v>-0.25953880678741348</c:v>
                </c:pt>
                <c:pt idx="255">
                  <c:v>-0.26494147126057688</c:v>
                </c:pt>
                <c:pt idx="256">
                  <c:v>-0.26298225108915718</c:v>
                </c:pt>
                <c:pt idx="257">
                  <c:v>-0.26186663482143457</c:v>
                </c:pt>
                <c:pt idx="258">
                  <c:v>-0.25513687088521136</c:v>
                </c:pt>
                <c:pt idx="259">
                  <c:v>-0.25389082022423481</c:v>
                </c:pt>
                <c:pt idx="260">
                  <c:v>-0.24964251538704113</c:v>
                </c:pt>
                <c:pt idx="261">
                  <c:v>-0.23865881463465405</c:v>
                </c:pt>
                <c:pt idx="262">
                  <c:v>-0.24043253682660401</c:v>
                </c:pt>
                <c:pt idx="263">
                  <c:v>-0.19386550957462692</c:v>
                </c:pt>
                <c:pt idx="264">
                  <c:v>-0.1998690943203269</c:v>
                </c:pt>
                <c:pt idx="265">
                  <c:v>-0.19830663986799041</c:v>
                </c:pt>
                <c:pt idx="266">
                  <c:v>-0.19932550057246101</c:v>
                </c:pt>
                <c:pt idx="267">
                  <c:v>-0.18930576852542569</c:v>
                </c:pt>
                <c:pt idx="268">
                  <c:v>-0.18261343748872011</c:v>
                </c:pt>
                <c:pt idx="269">
                  <c:v>-0.17269563191432563</c:v>
                </c:pt>
                <c:pt idx="270">
                  <c:v>-0.16244005402410108</c:v>
                </c:pt>
                <c:pt idx="271">
                  <c:v>-0.16577431219342381</c:v>
                </c:pt>
                <c:pt idx="272">
                  <c:v>-0.15696582611524554</c:v>
                </c:pt>
                <c:pt idx="273">
                  <c:v>-0.11690639422838398</c:v>
                </c:pt>
                <c:pt idx="274">
                  <c:v>-0.16214404114093386</c:v>
                </c:pt>
                <c:pt idx="275">
                  <c:v>-0.16858438270672338</c:v>
                </c:pt>
                <c:pt idx="276">
                  <c:v>-0.17720284622155227</c:v>
                </c:pt>
                <c:pt idx="277">
                  <c:v>-0.17919115797458152</c:v>
                </c:pt>
                <c:pt idx="278">
                  <c:v>-0.17931324025058154</c:v>
                </c:pt>
                <c:pt idx="279">
                  <c:v>-0.17867925466706974</c:v>
                </c:pt>
                <c:pt idx="280">
                  <c:v>-0.17890237217378263</c:v>
                </c:pt>
                <c:pt idx="281">
                  <c:v>-0.17387609998600898</c:v>
                </c:pt>
                <c:pt idx="282">
                  <c:v>-0.16676310058324581</c:v>
                </c:pt>
                <c:pt idx="283">
                  <c:v>-0.16583823125024919</c:v>
                </c:pt>
                <c:pt idx="284">
                  <c:v>-0.15751346667995733</c:v>
                </c:pt>
                <c:pt idx="285">
                  <c:v>-0.15227987460123571</c:v>
                </c:pt>
                <c:pt idx="286">
                  <c:v>-0.14359562678042281</c:v>
                </c:pt>
                <c:pt idx="287">
                  <c:v>-0.1323348595712123</c:v>
                </c:pt>
                <c:pt idx="288">
                  <c:v>-0.12870030621670184</c:v>
                </c:pt>
                <c:pt idx="289">
                  <c:v>-0.13312127670632287</c:v>
                </c:pt>
                <c:pt idx="290">
                  <c:v>-0.12777830711251423</c:v>
                </c:pt>
                <c:pt idx="291">
                  <c:v>-0.12357408726552768</c:v>
                </c:pt>
                <c:pt idx="292">
                  <c:v>-0.1254358261305433</c:v>
                </c:pt>
                <c:pt idx="293">
                  <c:v>-0.12323824723954716</c:v>
                </c:pt>
                <c:pt idx="294">
                  <c:v>-0.11872902172122859</c:v>
                </c:pt>
                <c:pt idx="295">
                  <c:v>-0.1112058426896279</c:v>
                </c:pt>
                <c:pt idx="296">
                  <c:v>-0.12241806886139947</c:v>
                </c:pt>
                <c:pt idx="297">
                  <c:v>-0.12315202474732402</c:v>
                </c:pt>
                <c:pt idx="298">
                  <c:v>-0.12776314238939562</c:v>
                </c:pt>
                <c:pt idx="299">
                  <c:v>-0.12934978441179124</c:v>
                </c:pt>
                <c:pt idx="300">
                  <c:v>-0.12402761907831236</c:v>
                </c:pt>
                <c:pt idx="301">
                  <c:v>-0.11839663774090459</c:v>
                </c:pt>
                <c:pt idx="302">
                  <c:v>-0.11369961586947602</c:v>
                </c:pt>
                <c:pt idx="303">
                  <c:v>-0.11939346385718111</c:v>
                </c:pt>
                <c:pt idx="304">
                  <c:v>-0.10960738703191195</c:v>
                </c:pt>
                <c:pt idx="305">
                  <c:v>-0.10711089067509902</c:v>
                </c:pt>
                <c:pt idx="306">
                  <c:v>-0.10792292985739046</c:v>
                </c:pt>
                <c:pt idx="307">
                  <c:v>-0.108001632859426</c:v>
                </c:pt>
                <c:pt idx="308">
                  <c:v>-0.11139964395960487</c:v>
                </c:pt>
                <c:pt idx="309">
                  <c:v>-0.1099245111069167</c:v>
                </c:pt>
                <c:pt idx="310">
                  <c:v>-0.10089772930157374</c:v>
                </c:pt>
                <c:pt idx="311">
                  <c:v>-0.10942901481150512</c:v>
                </c:pt>
                <c:pt idx="312">
                  <c:v>-0.10181710172615753</c:v>
                </c:pt>
                <c:pt idx="313">
                  <c:v>-0.10315230153873789</c:v>
                </c:pt>
                <c:pt idx="314">
                  <c:v>-9.7038979166486281E-2</c:v>
                </c:pt>
                <c:pt idx="315">
                  <c:v>-9.4254565367337936E-2</c:v>
                </c:pt>
                <c:pt idx="316">
                  <c:v>-9.0421905767103197E-2</c:v>
                </c:pt>
                <c:pt idx="317">
                  <c:v>-8.700298165089225E-2</c:v>
                </c:pt>
                <c:pt idx="318">
                  <c:v>-8.6585871058325145E-2</c:v>
                </c:pt>
                <c:pt idx="319">
                  <c:v>-7.9514701538818053E-2</c:v>
                </c:pt>
                <c:pt idx="320">
                  <c:v>-8.1412359596229888E-2</c:v>
                </c:pt>
                <c:pt idx="321">
                  <c:v>-8.5298517228875131E-2</c:v>
                </c:pt>
                <c:pt idx="322">
                  <c:v>-8.6303888355625122E-2</c:v>
                </c:pt>
                <c:pt idx="323">
                  <c:v>-9.8131345653874241E-2</c:v>
                </c:pt>
                <c:pt idx="324">
                  <c:v>-9.5289142590194234E-2</c:v>
                </c:pt>
                <c:pt idx="325">
                  <c:v>-9.5601578056494468E-2</c:v>
                </c:pt>
                <c:pt idx="326">
                  <c:v>-9.1545370810284007E-2</c:v>
                </c:pt>
                <c:pt idx="327">
                  <c:v>-9.3478160129395124E-2</c:v>
                </c:pt>
                <c:pt idx="328">
                  <c:v>-9.1757366262996742E-2</c:v>
                </c:pt>
                <c:pt idx="329">
                  <c:v>-9.0899116225639315E-2</c:v>
                </c:pt>
                <c:pt idx="330">
                  <c:v>-8.6910155060102925E-2</c:v>
                </c:pt>
                <c:pt idx="331">
                  <c:v>-7.4152541333936242E-2</c:v>
                </c:pt>
                <c:pt idx="332">
                  <c:v>-7.0004044183671205E-2</c:v>
                </c:pt>
                <c:pt idx="333">
                  <c:v>-7.7522290126605387E-2</c:v>
                </c:pt>
                <c:pt idx="334">
                  <c:v>-7.590838776228423E-2</c:v>
                </c:pt>
                <c:pt idx="335">
                  <c:v>-8.4260430605912151E-2</c:v>
                </c:pt>
                <c:pt idx="336">
                  <c:v>-7.9808892688952138E-2</c:v>
                </c:pt>
                <c:pt idx="337">
                  <c:v>-6.0899922377364385E-2</c:v>
                </c:pt>
                <c:pt idx="338">
                  <c:v>-3.5207493210071758E-2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3C-416C-931D-3572EA075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4610304"/>
        <c:axId val="644611136"/>
      </c:lineChart>
      <c:dateAx>
        <c:axId val="6446103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611136"/>
        <c:crosses val="autoZero"/>
        <c:auto val="1"/>
        <c:lblOffset val="100"/>
        <c:baseTimeUnit val="days"/>
      </c:dateAx>
      <c:valAx>
        <c:axId val="64461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610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574E80E-5057-4DEF-843E-55FB980F17F5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126</xdr:row>
      <xdr:rowOff>0</xdr:rowOff>
    </xdr:from>
    <xdr:to>
      <xdr:col>20</xdr:col>
      <xdr:colOff>142307</xdr:colOff>
      <xdr:row>145</xdr:row>
      <xdr:rowOff>155305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B7060FD-FEF0-47E5-8202-33068E40A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9667" y="24536400"/>
          <a:ext cx="2857143" cy="38571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7F4631-FD62-41F1-9186-D7E34602E8D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6</v>
      </c>
      <c r="D2" s="4">
        <f>MIN(D3:D1912)</f>
        <v>0.37569999999999998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0.4289</v>
      </c>
      <c r="C5">
        <v>0.43409999999999999</v>
      </c>
      <c r="D5">
        <v>0.42159999999999997</v>
      </c>
      <c r="E5">
        <v>0.42249999999999999</v>
      </c>
      <c r="F5">
        <v>52648</v>
      </c>
      <c r="G5">
        <v>0.42249999999999999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-0.85599999999999821</v>
      </c>
      <c r="Q5">
        <f t="shared" ref="Q5" si="1">F5*P5</f>
        <v>-45066.687999999907</v>
      </c>
      <c r="R5">
        <f t="shared" ref="R5" si="2">R6+Q5</f>
        <v>-119084831.08236709</v>
      </c>
      <c r="S5">
        <f t="shared" ref="S5" si="3">R5/100000</f>
        <v>-1190.848310823671</v>
      </c>
      <c r="T5">
        <f t="shared" ref="T5" si="4">S5/1000</f>
        <v>-1.1908483108236709</v>
      </c>
    </row>
    <row r="6" spans="1:20" x14ac:dyDescent="0.25">
      <c r="A6" s="5">
        <v>44587</v>
      </c>
      <c r="B6">
        <v>0.42820000000000003</v>
      </c>
      <c r="C6">
        <v>0.47189999999999999</v>
      </c>
      <c r="D6">
        <v>0.4204</v>
      </c>
      <c r="E6">
        <v>0.42899999999999999</v>
      </c>
      <c r="F6">
        <v>1452216</v>
      </c>
      <c r="G6">
        <v>0.42899999999999999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-0.66601941747572824</v>
      </c>
      <c r="Q6">
        <f t="shared" ref="Q6" si="6">F6*P6</f>
        <v>-967204.05436893215</v>
      </c>
      <c r="R6">
        <f t="shared" ref="R6" si="7">R7+Q6</f>
        <v>-119039764.3943671</v>
      </c>
      <c r="S6">
        <f t="shared" ref="S6" si="8">R6/100000</f>
        <v>-1190.397643943671</v>
      </c>
      <c r="T6">
        <f t="shared" ref="T6" si="9">S6/1000</f>
        <v>-1.190397643943671</v>
      </c>
    </row>
    <row r="7" spans="1:20" x14ac:dyDescent="0.25">
      <c r="A7" s="5">
        <v>44586</v>
      </c>
      <c r="B7">
        <v>0.42399999999999999</v>
      </c>
      <c r="C7">
        <v>0.43530000000000002</v>
      </c>
      <c r="D7">
        <v>0.41120000000000001</v>
      </c>
      <c r="E7">
        <v>0.42799999999999999</v>
      </c>
      <c r="F7">
        <v>962460</v>
      </c>
      <c r="G7">
        <v>0.42799999999999999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0.39419087136929248</v>
      </c>
      <c r="Q7">
        <f t="shared" ref="Q7" si="11">F7*P7</f>
        <v>379392.94605808926</v>
      </c>
      <c r="R7">
        <f t="shared" ref="R7" si="12">R8+Q7</f>
        <v>-118072560.33999817</v>
      </c>
      <c r="S7">
        <f t="shared" ref="S7" si="13">R7/100000</f>
        <v>-1180.7256033999818</v>
      </c>
      <c r="T7">
        <f t="shared" ref="T7" si="14">S7/1000</f>
        <v>-1.1807256033999818</v>
      </c>
    </row>
    <row r="8" spans="1:20" x14ac:dyDescent="0.25">
      <c r="A8" s="5">
        <v>44585</v>
      </c>
      <c r="B8">
        <v>0.4395</v>
      </c>
      <c r="C8">
        <v>0.4395</v>
      </c>
      <c r="D8">
        <v>0.37569999999999998</v>
      </c>
      <c r="E8">
        <v>0.42309999999999998</v>
      </c>
      <c r="F8">
        <v>1427354</v>
      </c>
      <c r="G8">
        <v>0.42309999999999998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0.48589341692789906</v>
      </c>
      <c r="Q8">
        <f t="shared" ref="Q8" si="16">F8*P8</f>
        <v>693541.91222570441</v>
      </c>
      <c r="R8">
        <f t="shared" ref="R8" si="17">R9+Q8</f>
        <v>-118451953.28605627</v>
      </c>
      <c r="S8">
        <f t="shared" ref="S8" si="18">R8/100000</f>
        <v>-1184.5195328605625</v>
      </c>
      <c r="T8">
        <f t="shared" ref="T8" si="19">S8/1000</f>
        <v>-1.1845195328605624</v>
      </c>
    </row>
    <row r="9" spans="1:20" x14ac:dyDescent="0.25">
      <c r="A9" s="5">
        <v>44584</v>
      </c>
      <c r="B9">
        <v>0.4178</v>
      </c>
      <c r="C9">
        <v>0.44600000000000001</v>
      </c>
      <c r="D9">
        <v>0.41239999999999999</v>
      </c>
      <c r="E9">
        <v>0.4395</v>
      </c>
      <c r="F9">
        <v>965510</v>
      </c>
      <c r="G9">
        <v>0.4395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0.61309523809523792</v>
      </c>
      <c r="Q9">
        <f t="shared" ref="Q9" si="21">F9*P9</f>
        <v>591949.58333333314</v>
      </c>
      <c r="R9">
        <f t="shared" ref="R9" si="22">R10+Q9</f>
        <v>-119145495.19828197</v>
      </c>
      <c r="S9">
        <f t="shared" ref="S9" si="23">R9/100000</f>
        <v>-1191.4549519828197</v>
      </c>
      <c r="T9">
        <f t="shared" ref="T9" si="24">S9/1000</f>
        <v>-1.1914549519828197</v>
      </c>
    </row>
    <row r="10" spans="1:20" x14ac:dyDescent="0.25">
      <c r="A10" s="5">
        <v>44583</v>
      </c>
      <c r="B10">
        <v>0.45050000000000001</v>
      </c>
      <c r="C10">
        <v>0.45800000000000002</v>
      </c>
      <c r="D10">
        <v>0.40129999999999999</v>
      </c>
      <c r="E10">
        <v>0.4173</v>
      </c>
      <c r="F10">
        <v>1597623</v>
      </c>
      <c r="G10">
        <v>0.4173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-0.43562610229276871</v>
      </c>
      <c r="Q10">
        <f t="shared" ref="Q10" si="26">F10*P10</f>
        <v>-695966.28042328008</v>
      </c>
      <c r="R10">
        <f t="shared" ref="R10" si="27">R11+Q10</f>
        <v>-119737444.7816153</v>
      </c>
      <c r="S10">
        <f t="shared" ref="S10" si="28">R10/100000</f>
        <v>-1197.374447816153</v>
      </c>
      <c r="T10">
        <f t="shared" ref="T10" si="29">S10/1000</f>
        <v>-1.197374447816153</v>
      </c>
    </row>
    <row r="11" spans="1:20" x14ac:dyDescent="0.25">
      <c r="A11" s="5">
        <v>44582</v>
      </c>
      <c r="B11">
        <v>0.52210000000000001</v>
      </c>
      <c r="C11">
        <v>0.52739999999999998</v>
      </c>
      <c r="D11">
        <v>0.43180000000000002</v>
      </c>
      <c r="E11">
        <v>0.44490000000000002</v>
      </c>
      <c r="F11">
        <v>3134518</v>
      </c>
      <c r="G11">
        <v>0.44490000000000002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-0.72594142259414218</v>
      </c>
      <c r="Q11">
        <f t="shared" ref="Q11" si="31">F11*P11</f>
        <v>-2275476.4560669456</v>
      </c>
      <c r="R11">
        <f t="shared" ref="R11" si="32">R12+Q11</f>
        <v>-119041478.50119202</v>
      </c>
      <c r="S11">
        <f t="shared" ref="S11" si="33">R11/100000</f>
        <v>-1190.4147850119202</v>
      </c>
      <c r="T11">
        <f t="shared" ref="T11" si="34">S11/1000</f>
        <v>-1.1904147850119202</v>
      </c>
    </row>
    <row r="12" spans="1:20" x14ac:dyDescent="0.25">
      <c r="A12" s="5">
        <v>44581</v>
      </c>
      <c r="B12">
        <v>0.53990000000000005</v>
      </c>
      <c r="C12">
        <v>0.56799999999999995</v>
      </c>
      <c r="D12">
        <v>0.5222</v>
      </c>
      <c r="E12">
        <v>0.5222</v>
      </c>
      <c r="F12">
        <v>1112628</v>
      </c>
      <c r="G12">
        <v>0.5222</v>
      </c>
      <c r="L12" t="s">
        <v>8</v>
      </c>
      <c r="M12" t="s">
        <v>7</v>
      </c>
      <c r="N12" t="s">
        <v>7</v>
      </c>
      <c r="P12">
        <f t="shared" ref="P12" si="35">IF(C12=D12,0,((E12-D12)-(C12-E12))/(C12-D12))</f>
        <v>-1</v>
      </c>
      <c r="Q12">
        <f t="shared" ref="Q12" si="36">F12*P12</f>
        <v>-1112628</v>
      </c>
      <c r="R12">
        <f t="shared" ref="R12" si="37">R13+Q12</f>
        <v>-116766002.04512507</v>
      </c>
      <c r="S12">
        <f t="shared" ref="S12" si="38">R12/100000</f>
        <v>-1167.6600204512506</v>
      </c>
      <c r="T12">
        <f t="shared" ref="T12" si="39">S12/1000</f>
        <v>-1.1676600204512506</v>
      </c>
    </row>
    <row r="13" spans="1:20" x14ac:dyDescent="0.25">
      <c r="A13" s="5">
        <v>44580</v>
      </c>
      <c r="B13">
        <v>0.55330000000000001</v>
      </c>
      <c r="C13">
        <v>0.55359999999999998</v>
      </c>
      <c r="D13">
        <v>0.53</v>
      </c>
      <c r="E13">
        <v>0.53990000000000005</v>
      </c>
      <c r="F13">
        <v>774373</v>
      </c>
      <c r="G13">
        <v>0.53990000000000005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-0.16101694915253906</v>
      </c>
      <c r="Q13">
        <f t="shared" ref="Q13" si="41">F13*P13</f>
        <v>-124687.17796609913</v>
      </c>
      <c r="R13">
        <f t="shared" ref="R13" si="42">R14+Q13</f>
        <v>-115653374.04512507</v>
      </c>
      <c r="S13">
        <f t="shared" ref="S13" si="43">R13/100000</f>
        <v>-1156.5337404512507</v>
      </c>
      <c r="T13">
        <f t="shared" ref="T13" si="44">S13/1000</f>
        <v>-1.1565337404512506</v>
      </c>
    </row>
    <row r="14" spans="1:20" x14ac:dyDescent="0.25">
      <c r="A14" s="5">
        <v>44579</v>
      </c>
      <c r="B14">
        <v>0.55740000000000001</v>
      </c>
      <c r="C14">
        <v>0.5635</v>
      </c>
      <c r="D14">
        <v>0.53420000000000001</v>
      </c>
      <c r="E14">
        <v>0.55310000000000004</v>
      </c>
      <c r="F14">
        <v>1011284</v>
      </c>
      <c r="G14">
        <v>0.55310000000000004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0.2901023890785005</v>
      </c>
      <c r="Q14">
        <f t="shared" ref="Q14" si="46">F14*P14</f>
        <v>293375.90443686227</v>
      </c>
      <c r="R14">
        <f t="shared" ref="R14" si="47">R15+Q14</f>
        <v>-115528686.86715896</v>
      </c>
      <c r="S14">
        <f t="shared" ref="S14" si="48">R14/100000</f>
        <v>-1155.2868686715897</v>
      </c>
      <c r="T14">
        <f t="shared" ref="T14" si="49">S14/1000</f>
        <v>-1.1552868686715896</v>
      </c>
    </row>
    <row r="15" spans="1:20" x14ac:dyDescent="0.25">
      <c r="A15" s="5">
        <v>44578</v>
      </c>
      <c r="B15">
        <v>0.58299999999999996</v>
      </c>
      <c r="C15">
        <v>0.58309999999999995</v>
      </c>
      <c r="D15">
        <v>0.5504</v>
      </c>
      <c r="E15">
        <v>0.55759999999999998</v>
      </c>
      <c r="F15">
        <v>789634</v>
      </c>
      <c r="G15">
        <v>0.55759999999999998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-0.55963302752293609</v>
      </c>
      <c r="Q15">
        <f t="shared" ref="Q15" si="51">F15*P15</f>
        <v>-441905.26605504612</v>
      </c>
      <c r="R15">
        <f t="shared" ref="R15" si="52">R16+Q15</f>
        <v>-115822062.77159582</v>
      </c>
      <c r="S15">
        <f t="shared" ref="S15" si="53">R15/100000</f>
        <v>-1158.2206277159582</v>
      </c>
      <c r="T15">
        <f t="shared" ref="T15" si="54">S15/1000</f>
        <v>-1.1582206277159584</v>
      </c>
    </row>
    <row r="16" spans="1:20" x14ac:dyDescent="0.25">
      <c r="A16" s="5">
        <v>44577</v>
      </c>
      <c r="B16">
        <v>0.57920000000000005</v>
      </c>
      <c r="C16">
        <v>0.58930000000000005</v>
      </c>
      <c r="D16">
        <v>0.57110000000000005</v>
      </c>
      <c r="E16">
        <v>0.5827</v>
      </c>
      <c r="F16">
        <v>679200</v>
      </c>
      <c r="G16">
        <v>0.5827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0.27472527472526898</v>
      </c>
      <c r="Q16">
        <f t="shared" ref="Q16" si="56">F16*P16</f>
        <v>186593.4065934027</v>
      </c>
      <c r="R16">
        <f t="shared" ref="R16" si="57">R17+Q16</f>
        <v>-115380157.50554077</v>
      </c>
      <c r="S16">
        <f t="shared" ref="S16" si="58">R16/100000</f>
        <v>-1153.8015750554077</v>
      </c>
      <c r="T16">
        <f t="shared" ref="T16" si="59">S16/1000</f>
        <v>-1.1538015750554078</v>
      </c>
    </row>
    <row r="17" spans="1:20" x14ac:dyDescent="0.25">
      <c r="A17" s="5">
        <v>44576</v>
      </c>
      <c r="B17">
        <v>0.58109999999999995</v>
      </c>
      <c r="C17">
        <v>0.58930000000000005</v>
      </c>
      <c r="D17">
        <v>0.57099999999999995</v>
      </c>
      <c r="E17">
        <v>0.57969999999999999</v>
      </c>
      <c r="F17">
        <v>808476</v>
      </c>
      <c r="G17">
        <v>0.57969999999999999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-4.9180327868852854E-2</v>
      </c>
      <c r="Q17">
        <f t="shared" ref="Q17" si="61">F17*P17</f>
        <v>-39761.114754098679</v>
      </c>
      <c r="R17">
        <f t="shared" ref="R17" si="62">R18+Q17</f>
        <v>-115566750.91213417</v>
      </c>
      <c r="S17">
        <f t="shared" ref="S17" si="63">R17/100000</f>
        <v>-1155.6675091213417</v>
      </c>
      <c r="T17">
        <f t="shared" ref="T17" si="64">S17/1000</f>
        <v>-1.1556675091213418</v>
      </c>
    </row>
    <row r="18" spans="1:20" x14ac:dyDescent="0.25">
      <c r="A18" s="5">
        <v>44575</v>
      </c>
      <c r="B18">
        <v>0.56989999999999996</v>
      </c>
      <c r="C18">
        <v>0.58489999999999998</v>
      </c>
      <c r="D18">
        <v>0.55120000000000002</v>
      </c>
      <c r="E18">
        <v>0.58069999999999999</v>
      </c>
      <c r="F18">
        <v>1274861</v>
      </c>
      <c r="G18">
        <v>0.58069999999999999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0.750741839762612</v>
      </c>
      <c r="Q18">
        <f t="shared" ref="Q18" si="66">F18*P18</f>
        <v>957091.49258160323</v>
      </c>
      <c r="R18">
        <f t="shared" ref="R18" si="67">R19+Q18</f>
        <v>-115526989.79738007</v>
      </c>
      <c r="S18">
        <f t="shared" ref="S18" si="68">R18/100000</f>
        <v>-1155.2698979738007</v>
      </c>
      <c r="T18">
        <f t="shared" ref="T18" si="69">S18/1000</f>
        <v>-1.1552698979738008</v>
      </c>
    </row>
    <row r="19" spans="1:20" x14ac:dyDescent="0.25">
      <c r="A19" s="5">
        <v>44574</v>
      </c>
      <c r="B19">
        <v>0.61980000000000002</v>
      </c>
      <c r="C19">
        <v>0.62109999999999999</v>
      </c>
      <c r="D19">
        <v>0.56769999999999998</v>
      </c>
      <c r="E19">
        <v>0.56989999999999996</v>
      </c>
      <c r="F19">
        <v>787071</v>
      </c>
      <c r="G19">
        <v>0.56989999999999996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-0.91760299625468245</v>
      </c>
      <c r="Q19">
        <f t="shared" ref="Q19" si="71">F19*P19</f>
        <v>-722218.70786516916</v>
      </c>
      <c r="R19">
        <f t="shared" ref="R19" si="72">R20+Q19</f>
        <v>-116484081.28996168</v>
      </c>
      <c r="S19">
        <f t="shared" ref="S19" si="73">R19/100000</f>
        <v>-1164.8408128996168</v>
      </c>
      <c r="T19">
        <f t="shared" ref="T19" si="74">S19/1000</f>
        <v>-1.1648408128996168</v>
      </c>
    </row>
    <row r="20" spans="1:20" x14ac:dyDescent="0.25">
      <c r="A20" s="5">
        <v>44573</v>
      </c>
      <c r="B20">
        <v>0.55979999999999996</v>
      </c>
      <c r="C20">
        <v>0.62139999999999995</v>
      </c>
      <c r="D20">
        <v>0.5554</v>
      </c>
      <c r="E20">
        <v>0.62029999999999996</v>
      </c>
      <c r="F20">
        <v>1117018</v>
      </c>
      <c r="G20">
        <v>0.62029999999999996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0.9666666666666669</v>
      </c>
      <c r="Q20">
        <f t="shared" ref="Q20" si="76">F20*P20</f>
        <v>1079784.0666666669</v>
      </c>
      <c r="R20">
        <f t="shared" ref="R20" si="77">R21+Q20</f>
        <v>-115761862.58209652</v>
      </c>
      <c r="S20">
        <f t="shared" ref="S20" si="78">R20/100000</f>
        <v>-1157.6186258209652</v>
      </c>
      <c r="T20">
        <f t="shared" ref="T20" si="79">S20/1000</f>
        <v>-1.1576186258209653</v>
      </c>
    </row>
    <row r="21" spans="1:20" x14ac:dyDescent="0.25">
      <c r="A21" s="5">
        <v>44572</v>
      </c>
      <c r="B21">
        <v>0.53100000000000003</v>
      </c>
      <c r="C21">
        <v>0.56699999999999995</v>
      </c>
      <c r="D21">
        <v>0.53090000000000004</v>
      </c>
      <c r="E21">
        <v>0.55959999999999999</v>
      </c>
      <c r="F21">
        <v>748453</v>
      </c>
      <c r="G21">
        <v>0.55959999999999999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0.59002770083102596</v>
      </c>
      <c r="Q21">
        <f t="shared" ref="Q21" si="81">F21*P21</f>
        <v>441608.0027700839</v>
      </c>
      <c r="R21">
        <f t="shared" ref="R21" si="82">R22+Q21</f>
        <v>-116841646.64876318</v>
      </c>
      <c r="S21">
        <f t="shared" ref="S21" si="83">R21/100000</f>
        <v>-1168.4164664876319</v>
      </c>
      <c r="T21">
        <f t="shared" ref="T21" si="84">S21/1000</f>
        <v>-1.1684164664876318</v>
      </c>
    </row>
    <row r="22" spans="1:20" x14ac:dyDescent="0.25">
      <c r="A22" s="5">
        <v>44571</v>
      </c>
      <c r="B22">
        <v>0.54979999999999996</v>
      </c>
      <c r="C22">
        <v>0.55400000000000005</v>
      </c>
      <c r="D22">
        <v>0.51370000000000005</v>
      </c>
      <c r="E22">
        <v>0.53300000000000003</v>
      </c>
      <c r="F22">
        <v>1050668</v>
      </c>
      <c r="G22">
        <v>0.53300000000000003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-4.2183622828784982E-2</v>
      </c>
      <c r="Q22">
        <f t="shared" ref="Q22" si="86">F22*P22</f>
        <v>-44320.982630273858</v>
      </c>
      <c r="R22">
        <f t="shared" ref="R22" si="87">R23+Q22</f>
        <v>-117283254.65153326</v>
      </c>
      <c r="S22">
        <f t="shared" ref="S22" si="88">R22/100000</f>
        <v>-1172.8325465153325</v>
      </c>
      <c r="T22">
        <f t="shared" ref="T22" si="89">S22/1000</f>
        <v>-1.1728325465153324</v>
      </c>
    </row>
    <row r="23" spans="1:20" x14ac:dyDescent="0.25">
      <c r="A23" s="5">
        <v>44570</v>
      </c>
      <c r="B23">
        <v>0.53490000000000004</v>
      </c>
      <c r="C23">
        <v>0.56599999999999995</v>
      </c>
      <c r="D23">
        <v>0.53100000000000003</v>
      </c>
      <c r="E23">
        <v>0.55059999999999998</v>
      </c>
      <c r="F23">
        <v>1109772</v>
      </c>
      <c r="G23">
        <v>0.55059999999999998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0.11999999999999975</v>
      </c>
      <c r="Q23">
        <f t="shared" ref="Q23" si="91">F23*P23</f>
        <v>133172.63999999972</v>
      </c>
      <c r="R23">
        <f t="shared" ref="R23" si="92">R24+Q23</f>
        <v>-117238933.66890299</v>
      </c>
      <c r="S23">
        <f t="shared" ref="S23" si="93">R23/100000</f>
        <v>-1172.38933668903</v>
      </c>
      <c r="T23">
        <f t="shared" ref="T23" si="94">S23/1000</f>
        <v>-1.1723893366890299</v>
      </c>
    </row>
    <row r="24" spans="1:20" x14ac:dyDescent="0.25">
      <c r="A24" s="5">
        <v>44569</v>
      </c>
      <c r="B24">
        <v>0.55679999999999996</v>
      </c>
      <c r="C24">
        <v>0.57579999999999998</v>
      </c>
      <c r="D24">
        <v>0.51629999999999998</v>
      </c>
      <c r="E24">
        <v>0.53469999999999995</v>
      </c>
      <c r="F24">
        <v>9106093</v>
      </c>
      <c r="G24">
        <v>0.53469999999999995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-0.38151260504201773</v>
      </c>
      <c r="Q24">
        <f t="shared" ref="Q24" si="96">F24*P24</f>
        <v>-3474089.2621848825</v>
      </c>
      <c r="R24">
        <f t="shared" ref="R24" si="97">R25+Q24</f>
        <v>-117372106.30890299</v>
      </c>
      <c r="S24">
        <f t="shared" ref="S24" si="98">R24/100000</f>
        <v>-1173.7210630890299</v>
      </c>
      <c r="T24">
        <f t="shared" ref="T24" si="99">S24/1000</f>
        <v>-1.17372106308903</v>
      </c>
    </row>
    <row r="25" spans="1:20" x14ac:dyDescent="0.25">
      <c r="A25" s="5">
        <v>44568</v>
      </c>
      <c r="B25">
        <v>0.58189999999999997</v>
      </c>
      <c r="C25">
        <v>0.58189999999999997</v>
      </c>
      <c r="D25">
        <v>0.53290000000000004</v>
      </c>
      <c r="E25">
        <v>0.55689999999999995</v>
      </c>
      <c r="F25">
        <v>2519509</v>
      </c>
      <c r="G25">
        <v>0.55689999999999995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-2.0408163265308435E-2</v>
      </c>
      <c r="Q25">
        <f t="shared" ref="Q25" si="101">F25*P25</f>
        <v>-51418.551020413986</v>
      </c>
      <c r="R25">
        <f t="shared" ref="R25" si="102">R26+Q25</f>
        <v>-113898017.04671811</v>
      </c>
      <c r="S25">
        <f t="shared" ref="S25" si="103">R25/100000</f>
        <v>-1138.9801704671811</v>
      </c>
      <c r="T25">
        <f t="shared" ref="T25" si="104">S25/1000</f>
        <v>-1.1389801704671811</v>
      </c>
    </row>
    <row r="26" spans="1:20" x14ac:dyDescent="0.25">
      <c r="A26" s="5">
        <v>44567</v>
      </c>
      <c r="B26">
        <v>0.60189999999999999</v>
      </c>
      <c r="C26">
        <v>0.61560000000000004</v>
      </c>
      <c r="D26">
        <v>0.55800000000000005</v>
      </c>
      <c r="E26">
        <v>0.5827</v>
      </c>
      <c r="F26">
        <v>1592793</v>
      </c>
      <c r="G26">
        <v>0.5827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-0.14236111111111283</v>
      </c>
      <c r="Q26">
        <f t="shared" ref="Q26" si="106">F26*P26</f>
        <v>-226751.78125000274</v>
      </c>
      <c r="R26">
        <f t="shared" ref="R26" si="107">R27+Q26</f>
        <v>-113846598.49569769</v>
      </c>
      <c r="S26">
        <f t="shared" ref="S26" si="108">R26/100000</f>
        <v>-1138.4659849569769</v>
      </c>
      <c r="T26">
        <f t="shared" ref="T26" si="109">S26/1000</f>
        <v>-1.1384659849569769</v>
      </c>
    </row>
    <row r="27" spans="1:20" x14ac:dyDescent="0.25">
      <c r="A27" s="5">
        <v>44566</v>
      </c>
      <c r="B27">
        <v>0.64200000000000002</v>
      </c>
      <c r="C27">
        <v>0.66359999999999997</v>
      </c>
      <c r="D27">
        <v>0.58299999999999996</v>
      </c>
      <c r="E27">
        <v>0.60099999999999998</v>
      </c>
      <c r="F27">
        <v>2852287</v>
      </c>
      <c r="G27">
        <v>0.60099999999999998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-0.55334987593052076</v>
      </c>
      <c r="Q27">
        <f t="shared" ref="Q27" si="111">F27*P27</f>
        <v>-1578312.6575682373</v>
      </c>
      <c r="R27">
        <f t="shared" ref="R27" si="112">R28+Q27</f>
        <v>-113619846.71444769</v>
      </c>
      <c r="S27">
        <f t="shared" ref="S27" si="113">R27/100000</f>
        <v>-1136.1984671444768</v>
      </c>
      <c r="T27">
        <f t="shared" ref="T27" si="114">S27/1000</f>
        <v>-1.1361984671444767</v>
      </c>
    </row>
    <row r="28" spans="1:20" x14ac:dyDescent="0.25">
      <c r="A28" s="5">
        <v>44565</v>
      </c>
      <c r="B28">
        <v>0.6371</v>
      </c>
      <c r="C28">
        <v>0.66300000000000003</v>
      </c>
      <c r="D28">
        <v>0.62450000000000006</v>
      </c>
      <c r="E28">
        <v>0.64190000000000003</v>
      </c>
      <c r="F28">
        <v>1627927</v>
      </c>
      <c r="G28">
        <v>0.64190000000000003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-9.6103896103897107E-2</v>
      </c>
      <c r="Q28">
        <f t="shared" ref="Q28" si="116">F28*P28</f>
        <v>-156450.12727272892</v>
      </c>
      <c r="R28">
        <f t="shared" ref="R28" si="117">R29+Q28</f>
        <v>-112041534.05687946</v>
      </c>
      <c r="S28">
        <f t="shared" ref="S28" si="118">R28/100000</f>
        <v>-1120.4153405687946</v>
      </c>
      <c r="T28">
        <f t="shared" ref="T28" si="119">S28/1000</f>
        <v>-1.1204153405687947</v>
      </c>
    </row>
    <row r="29" spans="1:20" x14ac:dyDescent="0.25">
      <c r="A29" s="5">
        <v>44564</v>
      </c>
      <c r="B29">
        <v>0.63539999999999996</v>
      </c>
      <c r="C29">
        <v>0.67989999999999995</v>
      </c>
      <c r="D29">
        <v>0.62450000000000006</v>
      </c>
      <c r="E29">
        <v>0.63870000000000005</v>
      </c>
      <c r="F29">
        <v>1425993</v>
      </c>
      <c r="G29">
        <v>0.63870000000000005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-0.48736462093862754</v>
      </c>
      <c r="Q29">
        <f t="shared" ref="Q29" si="121">F29*P29</f>
        <v>-694978.53790613625</v>
      </c>
      <c r="R29">
        <f t="shared" ref="R29" si="122">R30+Q29</f>
        <v>-111885083.92960674</v>
      </c>
      <c r="S29">
        <f t="shared" ref="S29" si="123">R29/100000</f>
        <v>-1118.8508392960673</v>
      </c>
      <c r="T29">
        <f t="shared" ref="T29" si="124">S29/1000</f>
        <v>-1.1188508392960672</v>
      </c>
    </row>
    <row r="30" spans="1:20" x14ac:dyDescent="0.25">
      <c r="A30" s="5">
        <v>44563</v>
      </c>
      <c r="B30">
        <v>0.63949999999999996</v>
      </c>
      <c r="C30">
        <v>0.64549999999999996</v>
      </c>
      <c r="D30">
        <v>0.62270000000000003</v>
      </c>
      <c r="E30">
        <v>0.63560000000000005</v>
      </c>
      <c r="F30">
        <v>1006376</v>
      </c>
      <c r="G30">
        <v>0.63560000000000005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0.13157894736842643</v>
      </c>
      <c r="Q30">
        <f t="shared" ref="Q30" si="126">F30*P30</f>
        <v>132417.89473684752</v>
      </c>
      <c r="R30">
        <f t="shared" ref="R30" si="127">R31+Q30</f>
        <v>-111190105.3917006</v>
      </c>
      <c r="S30">
        <f t="shared" ref="S30" si="128">R30/100000</f>
        <v>-1111.901053917006</v>
      </c>
      <c r="T30">
        <f t="shared" ref="T30" si="129">S30/1000</f>
        <v>-1.111901053917006</v>
      </c>
    </row>
    <row r="31" spans="1:20" x14ac:dyDescent="0.25">
      <c r="A31" s="5">
        <v>44562</v>
      </c>
      <c r="B31">
        <v>0.62370000000000003</v>
      </c>
      <c r="C31">
        <v>0.64649999999999996</v>
      </c>
      <c r="D31">
        <v>0.62209999999999999</v>
      </c>
      <c r="E31">
        <v>0.64139999999999997</v>
      </c>
      <c r="F31">
        <v>645377</v>
      </c>
      <c r="G31">
        <v>0.64139999999999997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0.5819672131147543</v>
      </c>
      <c r="Q31">
        <f t="shared" ref="Q31" si="131">F31*P31</f>
        <v>375588.25409836078</v>
      </c>
      <c r="R31">
        <f t="shared" ref="R31" si="132">R32+Q31</f>
        <v>-111322523.28643744</v>
      </c>
      <c r="S31">
        <f t="shared" ref="S31" si="133">R31/100000</f>
        <v>-1113.2252328643744</v>
      </c>
      <c r="T31">
        <f t="shared" ref="T31" si="134">S31/1000</f>
        <v>-1.1132252328643744</v>
      </c>
    </row>
    <row r="32" spans="1:20" x14ac:dyDescent="0.25">
      <c r="A32" s="5">
        <v>44561</v>
      </c>
      <c r="B32">
        <v>0.62729999999999997</v>
      </c>
      <c r="C32">
        <v>0.64890000000000003</v>
      </c>
      <c r="D32">
        <v>0.61499999999999999</v>
      </c>
      <c r="E32">
        <v>0.62370000000000003</v>
      </c>
      <c r="F32">
        <v>833070</v>
      </c>
      <c r="G32">
        <v>0.62370000000000003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-0.48672566371681236</v>
      </c>
      <c r="Q32">
        <f t="shared" ref="Q32" si="136">F32*P32</f>
        <v>-405476.54867256485</v>
      </c>
      <c r="R32">
        <f t="shared" ref="R32" si="137">R33+Q32</f>
        <v>-111698111.54053579</v>
      </c>
      <c r="S32">
        <f t="shared" ref="S32" si="138">R32/100000</f>
        <v>-1116.981115405358</v>
      </c>
      <c r="T32">
        <f t="shared" ref="T32" si="139">S32/1000</f>
        <v>-1.1169811154053579</v>
      </c>
    </row>
    <row r="33" spans="1:20" x14ac:dyDescent="0.25">
      <c r="A33" s="5">
        <v>44560</v>
      </c>
      <c r="B33">
        <v>0.62809999999999999</v>
      </c>
      <c r="C33">
        <v>0.64990000000000003</v>
      </c>
      <c r="D33">
        <v>0.62319999999999998</v>
      </c>
      <c r="E33">
        <v>0.628</v>
      </c>
      <c r="F33">
        <v>869971</v>
      </c>
      <c r="G33">
        <v>0.628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-0.64044943820224598</v>
      </c>
      <c r="Q33">
        <f t="shared" ref="Q33" si="141">F33*P33</f>
        <v>-557172.43820224609</v>
      </c>
      <c r="R33">
        <f t="shared" ref="R33" si="142">R34+Q33</f>
        <v>-111292634.99186322</v>
      </c>
      <c r="S33">
        <f t="shared" ref="S33" si="143">R33/100000</f>
        <v>-1112.9263499186322</v>
      </c>
      <c r="T33">
        <f t="shared" ref="T33" si="144">S33/1000</f>
        <v>-1.1129263499186322</v>
      </c>
    </row>
    <row r="34" spans="1:20" x14ac:dyDescent="0.25">
      <c r="A34" s="5">
        <v>44559</v>
      </c>
      <c r="B34">
        <v>0.63729999999999998</v>
      </c>
      <c r="C34">
        <v>0.65759999999999996</v>
      </c>
      <c r="D34">
        <v>0.62549999999999994</v>
      </c>
      <c r="E34">
        <v>0.62839999999999996</v>
      </c>
      <c r="F34">
        <v>1088026</v>
      </c>
      <c r="G34">
        <v>0.62839999999999996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-0.81931464174454749</v>
      </c>
      <c r="Q34">
        <f t="shared" ref="Q34" si="146">F34*P34</f>
        <v>-891435.63239875308</v>
      </c>
      <c r="R34">
        <f t="shared" ref="R34" si="147">R35+Q34</f>
        <v>-110735462.55366097</v>
      </c>
      <c r="S34">
        <f t="shared" ref="S34" si="148">R34/100000</f>
        <v>-1107.3546255366098</v>
      </c>
      <c r="T34">
        <f t="shared" ref="T34" si="149">S34/1000</f>
        <v>-1.1073546255366098</v>
      </c>
    </row>
    <row r="35" spans="1:20" x14ac:dyDescent="0.25">
      <c r="A35" s="5">
        <v>44558</v>
      </c>
      <c r="B35">
        <v>0.71130000000000004</v>
      </c>
      <c r="C35">
        <v>0.71260000000000001</v>
      </c>
      <c r="D35">
        <v>0.62709999999999999</v>
      </c>
      <c r="E35">
        <v>0.63780000000000003</v>
      </c>
      <c r="F35">
        <v>1482699</v>
      </c>
      <c r="G35">
        <v>0.63780000000000003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-0.74970760233918032</v>
      </c>
      <c r="Q35">
        <f t="shared" ref="Q35" si="151">F35*P35</f>
        <v>-1111590.7122807002</v>
      </c>
      <c r="R35">
        <f t="shared" ref="R35" si="152">R36+Q35</f>
        <v>-109844026.92126222</v>
      </c>
      <c r="S35">
        <f t="shared" ref="S35" si="153">R35/100000</f>
        <v>-1098.4402692126223</v>
      </c>
      <c r="T35">
        <f t="shared" ref="T35" si="154">S35/1000</f>
        <v>-1.0984402692126223</v>
      </c>
    </row>
    <row r="36" spans="1:20" x14ac:dyDescent="0.25">
      <c r="A36" s="5">
        <v>44557</v>
      </c>
      <c r="B36">
        <v>0.70679999999999998</v>
      </c>
      <c r="C36">
        <v>0.77549999999999997</v>
      </c>
      <c r="D36">
        <v>0.68289999999999995</v>
      </c>
      <c r="E36">
        <v>0.70940000000000003</v>
      </c>
      <c r="F36">
        <v>1589497</v>
      </c>
      <c r="G36">
        <v>0.70940000000000003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-0.42764578833693145</v>
      </c>
      <c r="Q36">
        <f t="shared" ref="Q36" si="156">F36*P36</f>
        <v>-679741.69762418757</v>
      </c>
      <c r="R36">
        <f t="shared" ref="R36" si="157">R37+Q36</f>
        <v>-108732436.20898151</v>
      </c>
      <c r="S36">
        <f t="shared" ref="S36" si="158">R36/100000</f>
        <v>-1087.3243620898152</v>
      </c>
      <c r="T36">
        <f t="shared" ref="T36" si="159">S36/1000</f>
        <v>-1.0873243620898152</v>
      </c>
    </row>
    <row r="37" spans="1:20" x14ac:dyDescent="0.25">
      <c r="A37" s="5">
        <v>44556</v>
      </c>
      <c r="B37">
        <v>0.67959999999999998</v>
      </c>
      <c r="C37">
        <v>0.72099999999999997</v>
      </c>
      <c r="D37">
        <v>0.66679999999999995</v>
      </c>
      <c r="E37">
        <v>0.70699999999999996</v>
      </c>
      <c r="F37">
        <v>1181079</v>
      </c>
      <c r="G37">
        <v>0.70699999999999996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0.48339483394833926</v>
      </c>
      <c r="Q37">
        <f t="shared" ref="Q37" si="161">F37*P37</f>
        <v>570927.48708487058</v>
      </c>
      <c r="R37">
        <f t="shared" ref="R37" si="162">R38+Q37</f>
        <v>-108052694.51135732</v>
      </c>
      <c r="S37">
        <f t="shared" ref="S37" si="163">R37/100000</f>
        <v>-1080.5269451135732</v>
      </c>
      <c r="T37">
        <f t="shared" ref="T37" si="164">S37/1000</f>
        <v>-1.0805269451135733</v>
      </c>
    </row>
    <row r="38" spans="1:20" x14ac:dyDescent="0.25">
      <c r="A38" s="5">
        <v>44555</v>
      </c>
      <c r="B38">
        <v>0.67569999999999997</v>
      </c>
      <c r="C38">
        <v>0.69479999999999997</v>
      </c>
      <c r="D38">
        <v>0.67069999999999996</v>
      </c>
      <c r="E38">
        <v>0.67969999999999997</v>
      </c>
      <c r="F38">
        <v>501589</v>
      </c>
      <c r="G38">
        <v>0.67969999999999997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-0.2531120331950204</v>
      </c>
      <c r="Q38">
        <f t="shared" ref="Q38" si="166">F38*P38</f>
        <v>-126958.21161825709</v>
      </c>
      <c r="R38">
        <f t="shared" ref="R38" si="167">R39+Q38</f>
        <v>-108623621.99844219</v>
      </c>
      <c r="S38">
        <f t="shared" ref="S38" si="168">R38/100000</f>
        <v>-1086.236219984422</v>
      </c>
      <c r="T38">
        <f t="shared" ref="T38" si="169">S38/1000</f>
        <v>-1.086236219984422</v>
      </c>
    </row>
    <row r="39" spans="1:20" x14ac:dyDescent="0.25">
      <c r="A39" s="5">
        <v>44554</v>
      </c>
      <c r="B39">
        <v>0.69120000000000004</v>
      </c>
      <c r="C39">
        <v>0.71409999999999996</v>
      </c>
      <c r="D39">
        <v>0.66710000000000003</v>
      </c>
      <c r="E39">
        <v>0.67800000000000005</v>
      </c>
      <c r="F39">
        <v>386451</v>
      </c>
      <c r="G39">
        <v>0.67800000000000005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-0.53617021276595589</v>
      </c>
      <c r="Q39">
        <f t="shared" ref="Q39" si="171">F39*P39</f>
        <v>-207203.51489361643</v>
      </c>
      <c r="R39">
        <f t="shared" ref="R39" si="172">R40+Q39</f>
        <v>-108496663.78682393</v>
      </c>
      <c r="S39">
        <f t="shared" ref="S39" si="173">R39/100000</f>
        <v>-1084.9666378682393</v>
      </c>
      <c r="T39">
        <f t="shared" ref="T39" si="174">S39/1000</f>
        <v>-1.0849666378682394</v>
      </c>
    </row>
    <row r="40" spans="1:20" x14ac:dyDescent="0.25">
      <c r="A40" s="5">
        <v>44553</v>
      </c>
      <c r="B40">
        <v>0.6613</v>
      </c>
      <c r="C40">
        <v>0.69730000000000003</v>
      </c>
      <c r="D40">
        <v>0.65280000000000005</v>
      </c>
      <c r="E40">
        <v>0.69210000000000005</v>
      </c>
      <c r="F40">
        <v>333466</v>
      </c>
      <c r="G40">
        <v>0.69210000000000005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0.76629213483146141</v>
      </c>
      <c r="Q40">
        <f t="shared" ref="Q40" si="176">F40*P40</f>
        <v>255532.37303370811</v>
      </c>
      <c r="R40">
        <f t="shared" ref="R40" si="177">R41+Q40</f>
        <v>-108289460.27193031</v>
      </c>
      <c r="S40">
        <f t="shared" ref="S40" si="178">R40/100000</f>
        <v>-1082.8946027193031</v>
      </c>
      <c r="T40">
        <f t="shared" ref="T40" si="179">S40/1000</f>
        <v>-1.0828946027193032</v>
      </c>
    </row>
    <row r="41" spans="1:20" x14ac:dyDescent="0.25">
      <c r="A41" s="5">
        <v>44552</v>
      </c>
      <c r="B41">
        <v>0.64510000000000001</v>
      </c>
      <c r="C41">
        <v>0.69499999999999995</v>
      </c>
      <c r="D41">
        <v>0.64029999999999998</v>
      </c>
      <c r="E41">
        <v>0.66539999999999999</v>
      </c>
      <c r="F41">
        <v>825893</v>
      </c>
      <c r="G41">
        <v>0.66539999999999999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-8.2266910420474418E-2</v>
      </c>
      <c r="Q41">
        <f t="shared" ref="Q41" si="181">F41*P41</f>
        <v>-67943.665447896885</v>
      </c>
      <c r="R41">
        <f t="shared" ref="R41" si="182">R42+Q41</f>
        <v>-108544992.64496401</v>
      </c>
      <c r="S41">
        <f t="shared" ref="S41" si="183">R41/100000</f>
        <v>-1085.4499264496401</v>
      </c>
      <c r="T41">
        <f t="shared" ref="T41" si="184">S41/1000</f>
        <v>-1.08544992644964</v>
      </c>
    </row>
    <row r="42" spans="1:20" x14ac:dyDescent="0.25">
      <c r="A42" s="5">
        <v>44551</v>
      </c>
      <c r="B42">
        <v>0.64929999999999999</v>
      </c>
      <c r="C42">
        <v>0.67769999999999997</v>
      </c>
      <c r="D42">
        <v>0.63639999999999997</v>
      </c>
      <c r="E42">
        <v>0.64600000000000002</v>
      </c>
      <c r="F42">
        <v>445031</v>
      </c>
      <c r="G42">
        <v>0.64600000000000002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-0.53510895883776988</v>
      </c>
      <c r="Q42">
        <f t="shared" ref="Q42" si="186">F42*P42</f>
        <v>-238140.07506053156</v>
      </c>
      <c r="R42">
        <f t="shared" ref="R42" si="187">R43+Q42</f>
        <v>-108477048.97951612</v>
      </c>
      <c r="S42">
        <f t="shared" ref="S42" si="188">R42/100000</f>
        <v>-1084.7704897951612</v>
      </c>
      <c r="T42">
        <f t="shared" ref="T42" si="189">S42/1000</f>
        <v>-1.0847704897951611</v>
      </c>
    </row>
    <row r="43" spans="1:20" x14ac:dyDescent="0.25">
      <c r="A43" s="5">
        <v>44550</v>
      </c>
      <c r="B43">
        <v>0.6724</v>
      </c>
      <c r="C43">
        <v>0.6724</v>
      </c>
      <c r="D43">
        <v>0.6109</v>
      </c>
      <c r="E43">
        <v>0.65029999999999999</v>
      </c>
      <c r="F43">
        <v>681336</v>
      </c>
      <c r="G43">
        <v>0.65029999999999999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0.28130081300812981</v>
      </c>
      <c r="Q43">
        <f t="shared" ref="Q43" si="191">F43*P43</f>
        <v>191660.37073170714</v>
      </c>
      <c r="R43">
        <f t="shared" ref="R43" si="192">R44+Q43</f>
        <v>-108238908.90445559</v>
      </c>
      <c r="S43">
        <f t="shared" ref="S43" si="193">R43/100000</f>
        <v>-1082.3890890445559</v>
      </c>
      <c r="T43">
        <f t="shared" ref="T43" si="194">S43/1000</f>
        <v>-1.082389089044556</v>
      </c>
    </row>
    <row r="44" spans="1:20" x14ac:dyDescent="0.25">
      <c r="A44" s="5">
        <v>44549</v>
      </c>
      <c r="B44">
        <v>0.65580000000000005</v>
      </c>
      <c r="C44">
        <v>0.82799999999999996</v>
      </c>
      <c r="D44">
        <v>0.62980000000000003</v>
      </c>
      <c r="E44">
        <v>0.67230000000000001</v>
      </c>
      <c r="F44">
        <v>4820638</v>
      </c>
      <c r="G44">
        <v>0.67230000000000001</v>
      </c>
      <c r="L44" t="s">
        <v>8</v>
      </c>
      <c r="M44" t="s">
        <v>8</v>
      </c>
      <c r="N44" t="s">
        <v>8</v>
      </c>
      <c r="P44">
        <f t="shared" ref="P44" si="195">IF(C44=D44,0,((E44-D44)-(C44-E44))/(C44-D44))</f>
        <v>-0.57114026236125126</v>
      </c>
      <c r="Q44">
        <f t="shared" ref="Q44" si="196">F44*P44</f>
        <v>-2753260.4520686176</v>
      </c>
      <c r="R44">
        <f t="shared" ref="R44" si="197">R45+Q44</f>
        <v>-108430569.2751873</v>
      </c>
      <c r="S44">
        <f t="shared" ref="S44" si="198">R44/100000</f>
        <v>-1084.305692751873</v>
      </c>
      <c r="T44">
        <f t="shared" ref="T44" si="199">S44/1000</f>
        <v>-1.0843056927518731</v>
      </c>
    </row>
    <row r="45" spans="1:20" x14ac:dyDescent="0.25">
      <c r="A45" s="5">
        <v>44548</v>
      </c>
      <c r="B45">
        <v>0.58179999999999998</v>
      </c>
      <c r="C45">
        <v>0.69950000000000001</v>
      </c>
      <c r="D45">
        <v>0.56679999999999997</v>
      </c>
      <c r="E45">
        <v>0.65990000000000004</v>
      </c>
      <c r="F45">
        <v>1333904</v>
      </c>
      <c r="G45">
        <v>0.65990000000000004</v>
      </c>
      <c r="L45" t="s">
        <v>7</v>
      </c>
      <c r="M45" t="s">
        <v>8</v>
      </c>
      <c r="N45" t="s">
        <v>7</v>
      </c>
      <c r="P45">
        <f t="shared" ref="P45" si="200">IF(C45=D45,0,((E45-D45)-(C45-E45))/(C45-D45))</f>
        <v>0.40316503391107827</v>
      </c>
      <c r="Q45">
        <f t="shared" ref="Q45" si="201">F45*P45</f>
        <v>537783.45139412291</v>
      </c>
      <c r="R45">
        <f t="shared" ref="R45" si="202">R46+Q45</f>
        <v>-105677308.82311869</v>
      </c>
      <c r="S45">
        <f t="shared" ref="S45" si="203">R45/100000</f>
        <v>-1056.7730882311869</v>
      </c>
      <c r="T45">
        <f t="shared" ref="T45" si="204">S45/1000</f>
        <v>-1.056773088231187</v>
      </c>
    </row>
    <row r="46" spans="1:20" x14ac:dyDescent="0.25">
      <c r="A46" s="5">
        <v>44547</v>
      </c>
      <c r="B46">
        <v>0.63290000000000002</v>
      </c>
      <c r="C46">
        <v>0.64959999999999996</v>
      </c>
      <c r="D46">
        <v>0.57569999999999999</v>
      </c>
      <c r="E46">
        <v>0.58179999999999998</v>
      </c>
      <c r="F46">
        <v>435755.39</v>
      </c>
      <c r="G46">
        <v>0.58179999999999998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-0.83491204330175917</v>
      </c>
      <c r="Q46">
        <f t="shared" ref="Q46" si="206">F46*P46</f>
        <v>-363817.42304465495</v>
      </c>
      <c r="R46">
        <f t="shared" ref="R46" si="207">R47+Q46</f>
        <v>-106215092.27451281</v>
      </c>
      <c r="S46">
        <f t="shared" ref="S46" si="208">R46/100000</f>
        <v>-1062.1509227451281</v>
      </c>
      <c r="T46">
        <f t="shared" ref="T46" si="209">S46/1000</f>
        <v>-1.0621509227451282</v>
      </c>
    </row>
    <row r="47" spans="1:20" x14ac:dyDescent="0.25">
      <c r="A47" s="5">
        <v>44546</v>
      </c>
      <c r="B47">
        <v>0.66359999999999997</v>
      </c>
      <c r="C47">
        <v>0.66910000000000003</v>
      </c>
      <c r="D47">
        <v>0.63290000000000002</v>
      </c>
      <c r="E47">
        <v>0.63490000000000002</v>
      </c>
      <c r="F47">
        <v>321315</v>
      </c>
      <c r="G47">
        <v>0.63490000000000002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-0.88950276243093918</v>
      </c>
      <c r="Q47">
        <f t="shared" ref="Q47" si="211">F47*P47</f>
        <v>-285810.58011049725</v>
      </c>
      <c r="R47">
        <f t="shared" ref="R47" si="212">R48+Q47</f>
        <v>-105851274.85146816</v>
      </c>
      <c r="S47">
        <f t="shared" ref="S47" si="213">R47/100000</f>
        <v>-1058.5127485146816</v>
      </c>
      <c r="T47">
        <f t="shared" ref="T47" si="214">S47/1000</f>
        <v>-1.0585127485146815</v>
      </c>
    </row>
    <row r="48" spans="1:20" x14ac:dyDescent="0.25">
      <c r="A48" s="5">
        <v>44545</v>
      </c>
      <c r="B48">
        <v>0.63019999999999998</v>
      </c>
      <c r="C48">
        <v>0.66569999999999996</v>
      </c>
      <c r="D48">
        <v>0.6</v>
      </c>
      <c r="E48">
        <v>0.66020000000000001</v>
      </c>
      <c r="F48">
        <v>337804</v>
      </c>
      <c r="G48">
        <v>0.66020000000000001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0.83257229832572444</v>
      </c>
      <c r="Q48">
        <f t="shared" ref="Q48" si="216">F48*P48</f>
        <v>281246.25266362302</v>
      </c>
      <c r="R48">
        <f t="shared" ref="R48" si="217">R49+Q48</f>
        <v>-105565464.27135767</v>
      </c>
      <c r="S48">
        <f t="shared" ref="S48" si="218">R48/100000</f>
        <v>-1055.6546427135768</v>
      </c>
      <c r="T48">
        <f t="shared" ref="T48" si="219">S48/1000</f>
        <v>-1.0556546427135767</v>
      </c>
    </row>
    <row r="49" spans="1:20" x14ac:dyDescent="0.25">
      <c r="A49" s="5">
        <v>44544</v>
      </c>
      <c r="B49">
        <v>0.64600000000000002</v>
      </c>
      <c r="C49">
        <v>0.73480000000000001</v>
      </c>
      <c r="D49">
        <v>0.59219999999999995</v>
      </c>
      <c r="E49">
        <v>0.63160000000000005</v>
      </c>
      <c r="F49">
        <v>1118155</v>
      </c>
      <c r="G49">
        <v>0.63160000000000005</v>
      </c>
      <c r="L49" t="s">
        <v>8</v>
      </c>
      <c r="M49" t="s">
        <v>8</v>
      </c>
      <c r="N49" t="s">
        <v>7</v>
      </c>
      <c r="P49">
        <f t="shared" ref="P49" si="220">IF(C49=D49,0,((E49-D49)-(C49-E49))/(C49-D49))</f>
        <v>-0.44740532959326668</v>
      </c>
      <c r="Q49">
        <f t="shared" ref="Q49" si="221">F49*P49</f>
        <v>-500268.50631135912</v>
      </c>
      <c r="R49">
        <f t="shared" ref="R49" si="222">R50+Q49</f>
        <v>-105846710.5240213</v>
      </c>
      <c r="S49">
        <f t="shared" ref="S49" si="223">R49/100000</f>
        <v>-1058.467105240213</v>
      </c>
      <c r="T49">
        <f t="shared" ref="T49" si="224">S49/1000</f>
        <v>-1.058467105240213</v>
      </c>
    </row>
    <row r="50" spans="1:20" x14ac:dyDescent="0.25">
      <c r="A50" s="5">
        <v>44543</v>
      </c>
      <c r="B50">
        <v>0.65759999999999996</v>
      </c>
      <c r="C50">
        <v>0.66979999999999995</v>
      </c>
      <c r="D50">
        <v>0.58650000000000002</v>
      </c>
      <c r="E50">
        <v>0.64770000000000005</v>
      </c>
      <c r="F50">
        <v>694713.04</v>
      </c>
      <c r="G50">
        <v>0.64770000000000005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0.46938775510204284</v>
      </c>
      <c r="Q50">
        <f t="shared" ref="Q50" si="226">F50*P50</f>
        <v>326089.79428571573</v>
      </c>
      <c r="R50">
        <f t="shared" ref="R50" si="227">R51+Q50</f>
        <v>-105346442.01770994</v>
      </c>
      <c r="S50">
        <f t="shared" ref="S50" si="228">R50/100000</f>
        <v>-1053.4644201770993</v>
      </c>
      <c r="T50">
        <f t="shared" ref="T50" si="229">S50/1000</f>
        <v>-1.0534644201770993</v>
      </c>
    </row>
    <row r="51" spans="1:20" x14ac:dyDescent="0.25">
      <c r="A51" s="5">
        <v>44542</v>
      </c>
      <c r="B51">
        <v>0.66139999999999999</v>
      </c>
      <c r="C51">
        <v>0.68700000000000006</v>
      </c>
      <c r="D51">
        <v>0.65</v>
      </c>
      <c r="E51">
        <v>0.65739999999999998</v>
      </c>
      <c r="F51">
        <v>623140</v>
      </c>
      <c r="G51">
        <v>0.65739999999999998</v>
      </c>
      <c r="L51" t="s">
        <v>7</v>
      </c>
      <c r="M51" t="s">
        <v>7</v>
      </c>
      <c r="N51" t="s">
        <v>7</v>
      </c>
      <c r="P51">
        <f t="shared" ref="P51" si="230">IF(C51=D51,0,((E51-D51)-(C51-E51))/(C51-D51))</f>
        <v>-0.60000000000000242</v>
      </c>
      <c r="Q51">
        <f t="shared" ref="Q51" si="231">F51*P51</f>
        <v>-373884.00000000151</v>
      </c>
      <c r="R51">
        <f t="shared" ref="R51" si="232">R52+Q51</f>
        <v>-105672531.81199566</v>
      </c>
      <c r="S51">
        <f t="shared" ref="S51" si="233">R51/100000</f>
        <v>-1056.7253181199565</v>
      </c>
      <c r="T51">
        <f t="shared" ref="T51" si="234">S51/1000</f>
        <v>-1.0567253181199565</v>
      </c>
    </row>
    <row r="52" spans="1:20" x14ac:dyDescent="0.25">
      <c r="A52" s="5">
        <v>44541</v>
      </c>
      <c r="B52">
        <v>0.66069999999999995</v>
      </c>
      <c r="C52">
        <v>0.6673</v>
      </c>
      <c r="D52">
        <v>0.65800000000000003</v>
      </c>
      <c r="E52">
        <v>0.66200000000000003</v>
      </c>
      <c r="F52">
        <v>11500</v>
      </c>
      <c r="G52">
        <v>0.66200000000000003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-0.13978494623655605</v>
      </c>
      <c r="Q52">
        <f t="shared" ref="Q52" si="236">F52*P52</f>
        <v>-1607.5268817203946</v>
      </c>
      <c r="R52">
        <f t="shared" ref="R52" si="237">R53+Q52</f>
        <v>-105298647.81199566</v>
      </c>
      <c r="S52">
        <f t="shared" ref="S52" si="238">R52/100000</f>
        <v>-1052.9864781199565</v>
      </c>
      <c r="T52">
        <f t="shared" ref="T52" si="239">S52/1000</f>
        <v>-1.0529864781199565</v>
      </c>
    </row>
    <row r="53" spans="1:20" x14ac:dyDescent="0.25">
      <c r="A53" s="5">
        <v>44540</v>
      </c>
      <c r="B53">
        <v>0.6855</v>
      </c>
      <c r="C53">
        <v>0.70469999999999999</v>
      </c>
      <c r="D53">
        <v>0.65620000000000001</v>
      </c>
      <c r="E53">
        <v>0.66020000000000001</v>
      </c>
      <c r="F53">
        <v>727899</v>
      </c>
      <c r="G53">
        <v>0.66020000000000001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-0.83505154639175239</v>
      </c>
      <c r="Q53">
        <f t="shared" ref="Q53" si="241">F53*P53</f>
        <v>-607833.18556701019</v>
      </c>
      <c r="R53">
        <f t="shared" ref="R53" si="242">R54+Q53</f>
        <v>-105297040.28511393</v>
      </c>
      <c r="S53">
        <f t="shared" ref="S53" si="243">R53/100000</f>
        <v>-1052.9704028511394</v>
      </c>
      <c r="T53">
        <f t="shared" ref="T53" si="244">S53/1000</f>
        <v>-1.0529704028511393</v>
      </c>
    </row>
    <row r="54" spans="1:20" x14ac:dyDescent="0.25">
      <c r="A54" s="5">
        <v>44539</v>
      </c>
      <c r="B54">
        <v>0.74119999999999997</v>
      </c>
      <c r="C54">
        <v>0.7712</v>
      </c>
      <c r="D54">
        <v>0.68089999999999995</v>
      </c>
      <c r="E54">
        <v>0.68540000000000001</v>
      </c>
      <c r="F54">
        <v>718475</v>
      </c>
      <c r="G54">
        <v>0.68540000000000001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-0.90033222591361994</v>
      </c>
      <c r="Q54">
        <f t="shared" ref="Q54" si="246">F54*P54</f>
        <v>-646866.19601328811</v>
      </c>
      <c r="R54">
        <f t="shared" ref="R54" si="247">R55+Q54</f>
        <v>-104689207.09954692</v>
      </c>
      <c r="S54">
        <f t="shared" ref="S54" si="248">R54/100000</f>
        <v>-1046.8920709954693</v>
      </c>
      <c r="T54">
        <f t="shared" ref="T54" si="249">S54/1000</f>
        <v>-1.0468920709954694</v>
      </c>
    </row>
    <row r="55" spans="1:20" x14ac:dyDescent="0.25">
      <c r="A55" s="5">
        <v>44538</v>
      </c>
      <c r="B55">
        <v>0.74229999999999996</v>
      </c>
      <c r="C55">
        <v>0.76029999999999998</v>
      </c>
      <c r="D55">
        <v>0.71189999999999998</v>
      </c>
      <c r="E55">
        <v>0.74119999999999997</v>
      </c>
      <c r="F55">
        <v>623600</v>
      </c>
      <c r="G55">
        <v>0.74119999999999997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0.2107438016528923</v>
      </c>
      <c r="Q55">
        <f t="shared" ref="Q55" si="251">F55*P55</f>
        <v>131419.83471074363</v>
      </c>
      <c r="R55">
        <f t="shared" ref="R55" si="252">R56+Q55</f>
        <v>-104042340.90353364</v>
      </c>
      <c r="S55">
        <f t="shared" ref="S55" si="253">R55/100000</f>
        <v>-1040.4234090353364</v>
      </c>
      <c r="T55">
        <f t="shared" ref="T55" si="254">S55/1000</f>
        <v>-1.0404234090353364</v>
      </c>
    </row>
    <row r="56" spans="1:20" x14ac:dyDescent="0.25">
      <c r="A56" s="5">
        <v>44537</v>
      </c>
      <c r="B56">
        <v>0.77200000000000002</v>
      </c>
      <c r="C56">
        <v>0.8</v>
      </c>
      <c r="D56">
        <v>0.73199999999999998</v>
      </c>
      <c r="E56">
        <v>0.74180000000000001</v>
      </c>
      <c r="F56">
        <v>665114</v>
      </c>
      <c r="G56">
        <v>0.74180000000000001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-0.7117647058823523</v>
      </c>
      <c r="Q56">
        <f t="shared" ref="Q56" si="256">F56*P56</f>
        <v>-473404.67058823485</v>
      </c>
      <c r="R56">
        <f t="shared" ref="R56" si="257">R57+Q56</f>
        <v>-104173760.73824438</v>
      </c>
      <c r="S56">
        <f t="shared" ref="S56" si="258">R56/100000</f>
        <v>-1041.7376073824439</v>
      </c>
      <c r="T56">
        <f t="shared" ref="T56" si="259">S56/1000</f>
        <v>-1.0417376073824438</v>
      </c>
    </row>
    <row r="57" spans="1:20" x14ac:dyDescent="0.25">
      <c r="A57" s="5">
        <v>44536</v>
      </c>
      <c r="B57">
        <v>0.74209999999999998</v>
      </c>
      <c r="C57">
        <v>0.77500000000000002</v>
      </c>
      <c r="D57">
        <v>0.64710000000000001</v>
      </c>
      <c r="E57">
        <v>0.77200000000000002</v>
      </c>
      <c r="F57">
        <v>876297.14</v>
      </c>
      <c r="G57">
        <v>0.77200000000000002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0.95308835027365124</v>
      </c>
      <c r="Q57">
        <f t="shared" ref="Q57" si="261">F57*P57</f>
        <v>835188.59551211877</v>
      </c>
      <c r="R57">
        <f t="shared" ref="R57" si="262">R58+Q57</f>
        <v>-103700356.06765614</v>
      </c>
      <c r="S57">
        <f t="shared" ref="S57" si="263">R57/100000</f>
        <v>-1037.0035606765614</v>
      </c>
      <c r="T57">
        <f t="shared" ref="T57" si="264">S57/1000</f>
        <v>-1.0370035606765613</v>
      </c>
    </row>
    <row r="58" spans="1:20" x14ac:dyDescent="0.25">
      <c r="A58" s="5">
        <v>44535</v>
      </c>
      <c r="B58">
        <v>0.77170000000000005</v>
      </c>
      <c r="C58">
        <v>0.81</v>
      </c>
      <c r="D58">
        <v>0.7097</v>
      </c>
      <c r="E58">
        <v>0.74199999999999999</v>
      </c>
      <c r="F58">
        <v>414888</v>
      </c>
      <c r="G58">
        <v>0.74199999999999999</v>
      </c>
      <c r="L58" t="s">
        <v>8</v>
      </c>
      <c r="M58" t="s">
        <v>7</v>
      </c>
      <c r="N58" t="s">
        <v>7</v>
      </c>
      <c r="P58">
        <f t="shared" ref="P58" si="265">IF(C58=D58,0,((E58-D58)-(C58-E58))/(C58-D58))</f>
        <v>-0.35593220338983095</v>
      </c>
      <c r="Q58">
        <f t="shared" ref="Q58" si="266">F58*P58</f>
        <v>-147672.00000000017</v>
      </c>
      <c r="R58">
        <f t="shared" ref="R58" si="267">R59+Q58</f>
        <v>-104535544.66316827</v>
      </c>
      <c r="S58">
        <f t="shared" ref="S58" si="268">R58/100000</f>
        <v>-1045.3554466316828</v>
      </c>
      <c r="T58">
        <f t="shared" ref="T58" si="269">S58/1000</f>
        <v>-1.0453554466316828</v>
      </c>
    </row>
    <row r="59" spans="1:20" x14ac:dyDescent="0.25">
      <c r="A59" s="5">
        <v>44534</v>
      </c>
      <c r="B59">
        <v>0.84350000000000003</v>
      </c>
      <c r="C59">
        <v>0.85529999999999995</v>
      </c>
      <c r="D59">
        <v>0.7</v>
      </c>
      <c r="E59">
        <v>0.77459999999999996</v>
      </c>
      <c r="F59">
        <v>1505195.66</v>
      </c>
      <c r="G59">
        <v>0.77459999999999996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-3.9278815196394042E-2</v>
      </c>
      <c r="Q59">
        <f t="shared" ref="Q59" si="271">F59*P59</f>
        <v>-59122.302163554356</v>
      </c>
      <c r="R59">
        <f t="shared" ref="R59" si="272">R60+Q59</f>
        <v>-104387872.66316827</v>
      </c>
      <c r="S59">
        <f t="shared" ref="S59" si="273">R59/100000</f>
        <v>-1043.8787266316826</v>
      </c>
      <c r="T59">
        <f t="shared" ref="T59" si="274">S59/1000</f>
        <v>-1.0438787266316827</v>
      </c>
    </row>
    <row r="60" spans="1:20" x14ac:dyDescent="0.25">
      <c r="A60" s="5">
        <v>44533</v>
      </c>
      <c r="B60">
        <v>0.85960000000000003</v>
      </c>
      <c r="C60">
        <v>0.91120000000000001</v>
      </c>
      <c r="D60">
        <v>0.83299999999999996</v>
      </c>
      <c r="E60">
        <v>0.84340000000000004</v>
      </c>
      <c r="F60">
        <v>909165</v>
      </c>
      <c r="G60">
        <v>0.84340000000000004</v>
      </c>
      <c r="L60" t="s">
        <v>8</v>
      </c>
      <c r="M60" t="s">
        <v>7</v>
      </c>
      <c r="N60" t="s">
        <v>7</v>
      </c>
      <c r="P60">
        <f t="shared" ref="P60" si="275">IF(C60=D60,0,((E60-D60)-(C60-E60))/(C60-D60))</f>
        <v>-0.7340153452685404</v>
      </c>
      <c r="Q60">
        <f t="shared" ref="Q60" si="276">F60*P60</f>
        <v>-667341.0613810725</v>
      </c>
      <c r="R60">
        <f t="shared" ref="R60" si="277">R61+Q60</f>
        <v>-104328750.36100471</v>
      </c>
      <c r="S60">
        <f t="shared" ref="S60" si="278">R60/100000</f>
        <v>-1043.287503610047</v>
      </c>
      <c r="T60">
        <f t="shared" ref="T60" si="279">S60/1000</f>
        <v>-1.0432875036100471</v>
      </c>
    </row>
    <row r="61" spans="1:20" x14ac:dyDescent="0.25">
      <c r="A61" s="5">
        <v>44532</v>
      </c>
      <c r="B61">
        <v>0.86209999999999998</v>
      </c>
      <c r="C61">
        <v>0.9</v>
      </c>
      <c r="D61">
        <v>0.8226</v>
      </c>
      <c r="E61">
        <v>0.8599</v>
      </c>
      <c r="F61">
        <v>695011</v>
      </c>
      <c r="G61">
        <v>0.8599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-3.6175710594315555E-2</v>
      </c>
      <c r="Q61">
        <f t="shared" ref="Q61" si="281">F61*P61</f>
        <v>-25142.516795865849</v>
      </c>
      <c r="R61">
        <f t="shared" ref="R61" si="282">R62+Q61</f>
        <v>-103661409.29962364</v>
      </c>
      <c r="S61">
        <f t="shared" ref="S61" si="283">R61/100000</f>
        <v>-1036.6140929962364</v>
      </c>
      <c r="T61">
        <f t="shared" ref="T61" si="284">S61/1000</f>
        <v>-1.0366140929962364</v>
      </c>
    </row>
    <row r="62" spans="1:20" x14ac:dyDescent="0.25">
      <c r="A62" s="5">
        <v>44531</v>
      </c>
      <c r="B62">
        <v>0.86680000000000001</v>
      </c>
      <c r="C62">
        <v>0.89859999999999995</v>
      </c>
      <c r="D62">
        <v>0.85450000000000004</v>
      </c>
      <c r="E62">
        <v>0.86299999999999999</v>
      </c>
      <c r="F62">
        <v>554763</v>
      </c>
      <c r="G62">
        <v>0.86299999999999999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-0.61451247165533029</v>
      </c>
      <c r="Q62">
        <f t="shared" ref="Q62" si="286">F62*P62</f>
        <v>-340908.78231292602</v>
      </c>
      <c r="R62">
        <f t="shared" ref="R62" si="287">R63+Q62</f>
        <v>-103636266.78282778</v>
      </c>
      <c r="S62">
        <f t="shared" ref="S62" si="288">R62/100000</f>
        <v>-1036.3626678282778</v>
      </c>
      <c r="T62">
        <f t="shared" ref="T62" si="289">S62/1000</f>
        <v>-1.0363626678282778</v>
      </c>
    </row>
    <row r="63" spans="1:20" x14ac:dyDescent="0.25">
      <c r="A63" s="5">
        <v>44530</v>
      </c>
      <c r="B63">
        <v>0.87339999999999995</v>
      </c>
      <c r="C63">
        <v>0.90439999999999998</v>
      </c>
      <c r="D63">
        <v>0.85629999999999995</v>
      </c>
      <c r="E63">
        <v>0.86680000000000001</v>
      </c>
      <c r="F63">
        <v>547166</v>
      </c>
      <c r="G63">
        <v>0.86680000000000001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-0.56340956340956105</v>
      </c>
      <c r="Q63">
        <f t="shared" ref="Q63" si="291">F63*P63</f>
        <v>-308278.55717255588</v>
      </c>
      <c r="R63">
        <f t="shared" ref="R63" si="292">R64+Q63</f>
        <v>-103295358.00051485</v>
      </c>
      <c r="S63">
        <f t="shared" ref="S63" si="293">R63/100000</f>
        <v>-1032.9535800051485</v>
      </c>
      <c r="T63">
        <f t="shared" ref="T63" si="294">S63/1000</f>
        <v>-1.0329535800051486</v>
      </c>
    </row>
    <row r="64" spans="1:20" x14ac:dyDescent="0.25">
      <c r="A64" s="5">
        <v>44529</v>
      </c>
      <c r="B64">
        <v>0.8659</v>
      </c>
      <c r="C64">
        <v>0.93230000000000002</v>
      </c>
      <c r="D64">
        <v>0.85289999999999999</v>
      </c>
      <c r="E64">
        <v>0.87770000000000004</v>
      </c>
      <c r="F64">
        <v>704934</v>
      </c>
      <c r="G64">
        <v>0.87770000000000004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-0.37531486146095627</v>
      </c>
      <c r="Q64">
        <f t="shared" ref="Q64" si="296">F64*P64</f>
        <v>-264572.20654911775</v>
      </c>
      <c r="R64">
        <f t="shared" ref="R64" si="297">R65+Q64</f>
        <v>-102987079.4433423</v>
      </c>
      <c r="S64">
        <f t="shared" ref="S64" si="298">R64/100000</f>
        <v>-1029.870794433423</v>
      </c>
      <c r="T64">
        <f t="shared" ref="T64" si="299">S64/1000</f>
        <v>-1.0298707944334231</v>
      </c>
    </row>
    <row r="65" spans="1:20" x14ac:dyDescent="0.25">
      <c r="A65" s="5">
        <v>44528</v>
      </c>
      <c r="B65">
        <v>0.86670000000000003</v>
      </c>
      <c r="C65">
        <v>0.87390000000000001</v>
      </c>
      <c r="D65">
        <v>0.81389999999999996</v>
      </c>
      <c r="E65">
        <v>0.86729999999999996</v>
      </c>
      <c r="F65">
        <v>606744</v>
      </c>
      <c r="G65">
        <v>0.86729999999999996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0.77999999999999847</v>
      </c>
      <c r="Q65">
        <f t="shared" ref="Q65" si="301">F65*P65</f>
        <v>473260.31999999908</v>
      </c>
      <c r="R65">
        <f t="shared" ref="R65" si="302">R66+Q65</f>
        <v>-102722507.23679318</v>
      </c>
      <c r="S65">
        <f t="shared" ref="S65" si="303">R65/100000</f>
        <v>-1027.2250723679317</v>
      </c>
      <c r="T65">
        <f t="shared" ref="T65" si="304">S65/1000</f>
        <v>-1.0272250723679317</v>
      </c>
    </row>
    <row r="66" spans="1:20" x14ac:dyDescent="0.25">
      <c r="A66" s="5">
        <v>44527</v>
      </c>
      <c r="B66">
        <v>0.85909999999999997</v>
      </c>
      <c r="C66">
        <v>0.88849999999999996</v>
      </c>
      <c r="D66">
        <v>0.84750000000000003</v>
      </c>
      <c r="E66">
        <v>0.86990000000000001</v>
      </c>
      <c r="F66">
        <v>711136</v>
      </c>
      <c r="G66">
        <v>0.86990000000000001</v>
      </c>
      <c r="L66" t="s">
        <v>7</v>
      </c>
      <c r="M66" t="s">
        <v>7</v>
      </c>
      <c r="N66" t="s">
        <v>8</v>
      </c>
      <c r="P66">
        <f t="shared" ref="P66" si="305">IF(C66=D66,0,((E66-D66)-(C66-E66))/(C66-D66))</f>
        <v>9.2682926829269083E-2</v>
      </c>
      <c r="Q66">
        <f t="shared" ref="Q66" si="306">F66*P66</f>
        <v>65910.165853659099</v>
      </c>
      <c r="R66">
        <f t="shared" ref="R66" si="307">R67+Q66</f>
        <v>-103195767.55679317</v>
      </c>
      <c r="S66">
        <f t="shared" ref="S66" si="308">R66/100000</f>
        <v>-1031.9576755679316</v>
      </c>
      <c r="T66">
        <f t="shared" ref="T66" si="309">S66/1000</f>
        <v>-1.0319576755679316</v>
      </c>
    </row>
    <row r="67" spans="1:20" x14ac:dyDescent="0.25">
      <c r="A67" s="5">
        <v>44526</v>
      </c>
      <c r="B67">
        <v>0.97760000000000002</v>
      </c>
      <c r="C67">
        <v>0.98009999999999997</v>
      </c>
      <c r="D67">
        <v>0.84840000000000004</v>
      </c>
      <c r="E67">
        <v>0.85870000000000002</v>
      </c>
      <c r="F67">
        <v>771042</v>
      </c>
      <c r="G67">
        <v>0.85870000000000002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-0.84358390280941564</v>
      </c>
      <c r="Q67">
        <f t="shared" ref="Q67" si="311">F67*P67</f>
        <v>-650438.61958997743</v>
      </c>
      <c r="R67">
        <f t="shared" ref="R67" si="312">R68+Q67</f>
        <v>-103261677.72264683</v>
      </c>
      <c r="S67">
        <f t="shared" ref="S67" si="313">R67/100000</f>
        <v>-1032.6167772264682</v>
      </c>
      <c r="T67">
        <f t="shared" ref="T67" si="314">S67/1000</f>
        <v>-1.0326167772264683</v>
      </c>
    </row>
    <row r="68" spans="1:20" x14ac:dyDescent="0.25">
      <c r="A68" s="5">
        <v>44525</v>
      </c>
      <c r="B68">
        <v>0.89390000000000003</v>
      </c>
      <c r="C68">
        <v>0.99</v>
      </c>
      <c r="D68">
        <v>0.88</v>
      </c>
      <c r="E68">
        <v>0.97250000000000003</v>
      </c>
      <c r="F68">
        <v>1038753</v>
      </c>
      <c r="G68">
        <v>0.97250000000000003</v>
      </c>
      <c r="L68" t="s">
        <v>7</v>
      </c>
      <c r="M68" t="s">
        <v>7</v>
      </c>
      <c r="N68" t="s">
        <v>8</v>
      </c>
      <c r="P68">
        <f t="shared" ref="P68" si="315">IF(C68=D68,0,((E68-D68)-(C68-E68))/(C68-D68))</f>
        <v>0.68181818181818254</v>
      </c>
      <c r="Q68">
        <f t="shared" ref="Q68" si="316">F68*P68</f>
        <v>708240.68181818258</v>
      </c>
      <c r="R68">
        <f t="shared" ref="R68" si="317">R69+Q68</f>
        <v>-102611239.10305685</v>
      </c>
      <c r="S68">
        <f t="shared" ref="S68" si="318">R68/100000</f>
        <v>-1026.1123910305685</v>
      </c>
      <c r="T68">
        <f t="shared" ref="T68" si="319">S68/1000</f>
        <v>-1.0261123910305685</v>
      </c>
    </row>
    <row r="69" spans="1:20" x14ac:dyDescent="0.25">
      <c r="A69" s="5">
        <v>44524</v>
      </c>
      <c r="B69">
        <v>0.93059999999999998</v>
      </c>
      <c r="C69">
        <v>0.93359999999999999</v>
      </c>
      <c r="D69">
        <v>0.89380000000000004</v>
      </c>
      <c r="E69">
        <v>0.92</v>
      </c>
      <c r="F69">
        <v>200429</v>
      </c>
      <c r="G69">
        <v>0.92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0.31658291457286614</v>
      </c>
      <c r="Q69">
        <f t="shared" ref="Q69" si="321">F69*P69</f>
        <v>63452.396984924984</v>
      </c>
      <c r="R69">
        <f t="shared" ref="R69" si="322">R70+Q69</f>
        <v>-103319479.78487504</v>
      </c>
      <c r="S69">
        <f t="shared" ref="S69" si="323">R69/100000</f>
        <v>-1033.1947978487503</v>
      </c>
      <c r="T69">
        <f t="shared" ref="T69" si="324">S69/1000</f>
        <v>-1.0331947978487503</v>
      </c>
    </row>
    <row r="70" spans="1:20" x14ac:dyDescent="0.25">
      <c r="A70" s="5">
        <v>44523</v>
      </c>
      <c r="B70">
        <v>0.95040000000000002</v>
      </c>
      <c r="C70">
        <v>0.97230000000000005</v>
      </c>
      <c r="D70">
        <v>0.91500000000000004</v>
      </c>
      <c r="E70">
        <v>0.93059999999999998</v>
      </c>
      <c r="F70">
        <v>555042</v>
      </c>
      <c r="G70">
        <v>0.93059999999999998</v>
      </c>
      <c r="L70" t="s">
        <v>7</v>
      </c>
      <c r="M70" t="s">
        <v>8</v>
      </c>
      <c r="N70" t="s">
        <v>8</v>
      </c>
      <c r="P70">
        <f t="shared" ref="P70" si="325">IF(C70=D70,0,((E70-D70)-(C70-E70))/(C70-D70))</f>
        <v>-0.45549738219895491</v>
      </c>
      <c r="Q70">
        <f t="shared" ref="Q70" si="326">F70*P70</f>
        <v>-252820.17801047233</v>
      </c>
      <c r="R70">
        <f t="shared" ref="R70" si="327">R71+Q70</f>
        <v>-103382932.18185996</v>
      </c>
      <c r="S70">
        <f t="shared" ref="S70" si="328">R70/100000</f>
        <v>-1033.8293218185995</v>
      </c>
      <c r="T70">
        <f t="shared" ref="T70" si="329">S70/1000</f>
        <v>-1.0338293218185994</v>
      </c>
    </row>
    <row r="71" spans="1:20" x14ac:dyDescent="0.25">
      <c r="A71" s="5">
        <v>44522</v>
      </c>
      <c r="B71">
        <v>1.0001</v>
      </c>
      <c r="C71">
        <v>1.0001</v>
      </c>
      <c r="D71">
        <v>0.9123</v>
      </c>
      <c r="E71">
        <v>0.94899999999999995</v>
      </c>
      <c r="F71">
        <v>980332</v>
      </c>
      <c r="G71">
        <v>0.94899999999999995</v>
      </c>
      <c r="L71" t="s">
        <v>7</v>
      </c>
      <c r="M71" t="s">
        <v>8</v>
      </c>
      <c r="N71" t="s">
        <v>8</v>
      </c>
      <c r="P71">
        <f t="shared" ref="P71" si="330">IF(C71=D71,0,((E71-D71)-(C71-E71))/(C71-D71))</f>
        <v>-0.16400911161731299</v>
      </c>
      <c r="Q71">
        <f t="shared" ref="Q71" si="331">F71*P71</f>
        <v>-160783.38041002367</v>
      </c>
      <c r="R71">
        <f t="shared" ref="R71" si="332">R72+Q71</f>
        <v>-103130112.00384948</v>
      </c>
      <c r="S71">
        <f t="shared" ref="S71" si="333">R71/100000</f>
        <v>-1031.3011200384947</v>
      </c>
      <c r="T71">
        <f t="shared" ref="T71" si="334">S71/1000</f>
        <v>-1.0313011200384947</v>
      </c>
    </row>
    <row r="72" spans="1:20" x14ac:dyDescent="0.25">
      <c r="A72" s="5">
        <v>44521</v>
      </c>
      <c r="B72">
        <v>0.92579999999999996</v>
      </c>
      <c r="C72">
        <v>1.0724</v>
      </c>
      <c r="D72">
        <v>0.92269999999999996</v>
      </c>
      <c r="E72">
        <v>1</v>
      </c>
      <c r="F72">
        <v>2397685</v>
      </c>
      <c r="G72">
        <v>1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3.2732130928523805E-2</v>
      </c>
      <c r="Q72">
        <f t="shared" ref="Q72" si="336">F72*P72</f>
        <v>78481.339345357599</v>
      </c>
      <c r="R72">
        <f t="shared" ref="R72" si="337">R73+Q72</f>
        <v>-102969328.62343945</v>
      </c>
      <c r="S72">
        <f t="shared" ref="S72" si="338">R72/100000</f>
        <v>-1029.6932862343945</v>
      </c>
      <c r="T72">
        <f t="shared" ref="T72" si="339">S72/1000</f>
        <v>-1.0296932862343944</v>
      </c>
    </row>
    <row r="73" spans="1:20" x14ac:dyDescent="0.25">
      <c r="A73" s="5">
        <v>44520</v>
      </c>
      <c r="B73">
        <v>0.88380000000000003</v>
      </c>
      <c r="C73">
        <v>0.93120000000000003</v>
      </c>
      <c r="D73">
        <v>0.86729999999999996</v>
      </c>
      <c r="E73">
        <v>0.92579999999999996</v>
      </c>
      <c r="F73">
        <v>813654</v>
      </c>
      <c r="G73">
        <v>0.92579999999999996</v>
      </c>
      <c r="L73" t="s">
        <v>8</v>
      </c>
      <c r="M73" t="s">
        <v>7</v>
      </c>
      <c r="N73" t="s">
        <v>8</v>
      </c>
      <c r="P73">
        <f t="shared" ref="P73" si="340">IF(C73=D73,0,((E73-D73)-(C73-E73))/(C73-D73))</f>
        <v>0.83098591549295564</v>
      </c>
      <c r="Q73">
        <f t="shared" ref="Q73" si="341">F73*P73</f>
        <v>676135.01408450538</v>
      </c>
      <c r="R73">
        <f t="shared" ref="R73" si="342">R74+Q73</f>
        <v>-103047809.9627848</v>
      </c>
      <c r="S73">
        <f t="shared" ref="S73" si="343">R73/100000</f>
        <v>-1030.478099627848</v>
      </c>
      <c r="T73">
        <f t="shared" ref="T73" si="344">S73/1000</f>
        <v>-1.030478099627848</v>
      </c>
    </row>
    <row r="74" spans="1:20" x14ac:dyDescent="0.25">
      <c r="A74" s="5">
        <v>44519</v>
      </c>
      <c r="B74">
        <v>0.88190000000000002</v>
      </c>
      <c r="C74">
        <v>0.90980000000000005</v>
      </c>
      <c r="D74">
        <v>0.83650000000000002</v>
      </c>
      <c r="E74">
        <v>0.88619999999999999</v>
      </c>
      <c r="F74">
        <v>908826</v>
      </c>
      <c r="G74">
        <v>0.88619999999999999</v>
      </c>
      <c r="L74" t="s">
        <v>7</v>
      </c>
      <c r="M74" t="s">
        <v>7</v>
      </c>
      <c r="N74" t="s">
        <v>8</v>
      </c>
      <c r="P74">
        <f t="shared" ref="P74" si="345">IF(C74=D74,0,((E74-D74)-(C74-E74))/(C74-D74))</f>
        <v>0.35607094133696987</v>
      </c>
      <c r="Q74">
        <f t="shared" ref="Q74" si="346">F74*P74</f>
        <v>323606.52933151298</v>
      </c>
      <c r="R74">
        <f t="shared" ref="R74" si="347">R75+Q74</f>
        <v>-103723944.9768693</v>
      </c>
      <c r="S74">
        <f t="shared" ref="S74" si="348">R74/100000</f>
        <v>-1037.239449768693</v>
      </c>
      <c r="T74">
        <f t="shared" ref="T74" si="349">S74/1000</f>
        <v>-1.037239449768693</v>
      </c>
    </row>
    <row r="75" spans="1:20" x14ac:dyDescent="0.25">
      <c r="A75" s="5">
        <v>44518</v>
      </c>
      <c r="B75">
        <v>0.85429999999999995</v>
      </c>
      <c r="C75">
        <v>1.1299999999999999</v>
      </c>
      <c r="D75">
        <v>0.84219999999999995</v>
      </c>
      <c r="E75">
        <v>0.88190000000000002</v>
      </c>
      <c r="F75">
        <v>7120317</v>
      </c>
      <c r="G75">
        <v>0.88190000000000002</v>
      </c>
      <c r="L75" t="s">
        <v>8</v>
      </c>
      <c r="M75" t="s">
        <v>8</v>
      </c>
      <c r="N75" t="s">
        <v>8</v>
      </c>
      <c r="P75">
        <f t="shared" ref="P75" si="350">IF(C75=D75,0,((E75-D75)-(C75-E75))/(C75-D75))</f>
        <v>-0.72411396803335593</v>
      </c>
      <c r="Q75">
        <f t="shared" ref="Q75" si="351">F75*P75</f>
        <v>-5155920.9965253612</v>
      </c>
      <c r="R75">
        <f t="shared" ref="R75" si="352">R76+Q75</f>
        <v>-104047551.50620082</v>
      </c>
      <c r="S75">
        <f t="shared" ref="S75" si="353">R75/100000</f>
        <v>-1040.4755150620083</v>
      </c>
      <c r="T75">
        <f t="shared" ref="T75" si="354">S75/1000</f>
        <v>-1.0404755150620082</v>
      </c>
    </row>
    <row r="76" spans="1:20" x14ac:dyDescent="0.25">
      <c r="A76" s="5">
        <v>44517</v>
      </c>
      <c r="B76">
        <v>0.85899999999999999</v>
      </c>
      <c r="C76">
        <v>0.86260000000000003</v>
      </c>
      <c r="D76">
        <v>0.81499999999999995</v>
      </c>
      <c r="E76">
        <v>0.85519999999999996</v>
      </c>
      <c r="F76">
        <v>481451</v>
      </c>
      <c r="G76">
        <v>0.85519999999999996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0.68907563025209828</v>
      </c>
      <c r="Q76">
        <f t="shared" ref="Q76" si="356">F76*P76</f>
        <v>331756.15126050299</v>
      </c>
      <c r="R76">
        <f t="shared" ref="R76" si="357">R77+Q76</f>
        <v>-98891630.509675458</v>
      </c>
      <c r="S76">
        <f t="shared" ref="S76" si="358">R76/100000</f>
        <v>-988.91630509675463</v>
      </c>
      <c r="T76">
        <f t="shared" ref="T76" si="359">S76/1000</f>
        <v>-0.98891630509675466</v>
      </c>
    </row>
    <row r="77" spans="1:20" x14ac:dyDescent="0.25">
      <c r="A77" s="5">
        <v>44516</v>
      </c>
      <c r="B77">
        <v>0.90980000000000005</v>
      </c>
      <c r="C77">
        <v>0.90980000000000005</v>
      </c>
      <c r="D77">
        <v>0.82299999999999995</v>
      </c>
      <c r="E77">
        <v>0.85950000000000004</v>
      </c>
      <c r="F77">
        <v>698336</v>
      </c>
      <c r="G77">
        <v>0.85950000000000004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-0.1589861751152063</v>
      </c>
      <c r="Q77">
        <f t="shared" ref="Q77" si="361">F77*P77</f>
        <v>-111025.76958525271</v>
      </c>
      <c r="R77">
        <f t="shared" ref="R77" si="362">R78+Q77</f>
        <v>-99223386.660935968</v>
      </c>
      <c r="S77">
        <f t="shared" ref="S77" si="363">R77/100000</f>
        <v>-992.23386660935967</v>
      </c>
      <c r="T77">
        <f t="shared" ref="T77" si="364">S77/1000</f>
        <v>-0.99223386660935964</v>
      </c>
    </row>
    <row r="78" spans="1:20" x14ac:dyDescent="0.25">
      <c r="A78" s="5">
        <v>44515</v>
      </c>
      <c r="B78">
        <v>0.93830000000000002</v>
      </c>
      <c r="C78">
        <v>0.94979999999999998</v>
      </c>
      <c r="D78">
        <v>0.90169999999999995</v>
      </c>
      <c r="E78">
        <v>0.9083</v>
      </c>
      <c r="F78">
        <v>504748</v>
      </c>
      <c r="G78">
        <v>0.9083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-0.72557172557172367</v>
      </c>
      <c r="Q78">
        <f t="shared" ref="Q78" si="366">F78*P78</f>
        <v>-366230.87733887637</v>
      </c>
      <c r="R78">
        <f t="shared" ref="R78" si="367">R79+Q78</f>
        <v>-99112360.891350716</v>
      </c>
      <c r="S78">
        <f t="shared" ref="S78" si="368">R78/100000</f>
        <v>-991.12360891350716</v>
      </c>
      <c r="T78">
        <f t="shared" ref="T78" si="369">S78/1000</f>
        <v>-0.99112360891350715</v>
      </c>
    </row>
    <row r="79" spans="1:20" x14ac:dyDescent="0.25">
      <c r="A79" s="5">
        <v>44514</v>
      </c>
      <c r="B79">
        <v>0.91279999999999994</v>
      </c>
      <c r="C79">
        <v>0.94630000000000003</v>
      </c>
      <c r="D79">
        <v>0.91090000000000004</v>
      </c>
      <c r="E79">
        <v>0.93830000000000002</v>
      </c>
      <c r="F79">
        <v>568776</v>
      </c>
      <c r="G79">
        <v>0.93830000000000002</v>
      </c>
      <c r="L79" t="s">
        <v>8</v>
      </c>
      <c r="M79" t="s">
        <v>7</v>
      </c>
      <c r="N79" t="s">
        <v>7</v>
      </c>
      <c r="P79">
        <f t="shared" ref="P79" si="370">IF(C79=D79,0,((E79-D79)-(C79-E79))/(C79-D79))</f>
        <v>0.54802259887005589</v>
      </c>
      <c r="Q79">
        <f t="shared" ref="Q79" si="371">F79*P79</f>
        <v>311702.10169491492</v>
      </c>
      <c r="R79">
        <f t="shared" ref="R79" si="372">R80+Q79</f>
        <v>-98746130.014011845</v>
      </c>
      <c r="S79">
        <f t="shared" ref="S79" si="373">R79/100000</f>
        <v>-987.4613001401184</v>
      </c>
      <c r="T79">
        <f t="shared" ref="T79" si="374">S79/1000</f>
        <v>-0.98746130014011835</v>
      </c>
    </row>
    <row r="80" spans="1:20" x14ac:dyDescent="0.25">
      <c r="A80" s="5">
        <v>44513</v>
      </c>
      <c r="B80">
        <v>0.92610000000000003</v>
      </c>
      <c r="C80">
        <v>0.96699999999999997</v>
      </c>
      <c r="D80">
        <v>0.90969999999999995</v>
      </c>
      <c r="E80">
        <v>0.91249999999999998</v>
      </c>
      <c r="F80">
        <v>656069</v>
      </c>
      <c r="G80">
        <v>0.91249999999999998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-0.90226876090750352</v>
      </c>
      <c r="Q80">
        <f t="shared" ref="Q80" si="376">F80*P80</f>
        <v>-591950.56369982497</v>
      </c>
      <c r="R80">
        <f t="shared" ref="R80" si="377">R81+Q80</f>
        <v>-99057832.115706757</v>
      </c>
      <c r="S80">
        <f t="shared" ref="S80" si="378">R80/100000</f>
        <v>-990.57832115706753</v>
      </c>
      <c r="T80">
        <f t="shared" ref="T80" si="379">S80/1000</f>
        <v>-0.99057832115706757</v>
      </c>
    </row>
    <row r="81" spans="1:20" x14ac:dyDescent="0.25">
      <c r="A81" s="5">
        <v>44512</v>
      </c>
      <c r="B81">
        <v>0.98399999999999999</v>
      </c>
      <c r="C81">
        <v>0.9879</v>
      </c>
      <c r="D81">
        <v>0.90010000000000001</v>
      </c>
      <c r="E81">
        <v>0.92589999999999995</v>
      </c>
      <c r="F81">
        <v>689106</v>
      </c>
      <c r="G81">
        <v>0.92589999999999995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-0.41230068337129983</v>
      </c>
      <c r="Q81">
        <f t="shared" ref="Q81" si="381">F81*P81</f>
        <v>-284118.87471526297</v>
      </c>
      <c r="R81">
        <f t="shared" ref="R81" si="382">R82+Q81</f>
        <v>-98465881.55200693</v>
      </c>
      <c r="S81">
        <f t="shared" ref="S81" si="383">R81/100000</f>
        <v>-984.65881552006931</v>
      </c>
      <c r="T81">
        <f t="shared" ref="T81" si="384">S81/1000</f>
        <v>-0.98465881552006929</v>
      </c>
    </row>
    <row r="82" spans="1:20" x14ac:dyDescent="0.25">
      <c r="A82" s="5">
        <v>44511</v>
      </c>
      <c r="B82">
        <v>0.95189999999999997</v>
      </c>
      <c r="C82">
        <v>0.98650000000000004</v>
      </c>
      <c r="D82">
        <v>0.94599999999999995</v>
      </c>
      <c r="E82">
        <v>0.98399999999999999</v>
      </c>
      <c r="F82">
        <v>634895</v>
      </c>
      <c r="G82">
        <v>0.98399999999999999</v>
      </c>
      <c r="L82" t="s">
        <v>7</v>
      </c>
      <c r="M82" t="s">
        <v>7</v>
      </c>
      <c r="N82" t="s">
        <v>8</v>
      </c>
      <c r="P82">
        <f t="shared" ref="P82" si="385">IF(C82=D82,0,((E82-D82)-(C82-E82))/(C82-D82))</f>
        <v>0.87654320987654066</v>
      </c>
      <c r="Q82">
        <f t="shared" ref="Q82" si="386">F82*P82</f>
        <v>556512.90123456623</v>
      </c>
      <c r="R82">
        <f t="shared" ref="R82" si="387">R83+Q82</f>
        <v>-98181762.677291662</v>
      </c>
      <c r="S82">
        <f t="shared" ref="S82" si="388">R82/100000</f>
        <v>-981.81762677291658</v>
      </c>
      <c r="T82">
        <f t="shared" ref="T82" si="389">S82/1000</f>
        <v>-0.98181762677291662</v>
      </c>
    </row>
    <row r="83" spans="1:20" x14ac:dyDescent="0.25">
      <c r="A83" s="5">
        <v>44510</v>
      </c>
      <c r="B83">
        <v>0.98750000000000004</v>
      </c>
      <c r="C83">
        <v>1.0135000000000001</v>
      </c>
      <c r="D83">
        <v>0.93500000000000005</v>
      </c>
      <c r="E83">
        <v>0.95199999999999996</v>
      </c>
      <c r="F83">
        <v>968150</v>
      </c>
      <c r="G83">
        <v>0.95199999999999996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-0.56687898089172228</v>
      </c>
      <c r="Q83">
        <f t="shared" ref="Q83" si="391">F83*P83</f>
        <v>-548823.88535032095</v>
      </c>
      <c r="R83">
        <f t="shared" ref="R83" si="392">R84+Q83</f>
        <v>-98738275.578526229</v>
      </c>
      <c r="S83">
        <f t="shared" ref="S83" si="393">R83/100000</f>
        <v>-987.38275578526225</v>
      </c>
      <c r="T83">
        <f t="shared" ref="T83" si="394">S83/1000</f>
        <v>-0.98738275578526224</v>
      </c>
    </row>
    <row r="84" spans="1:20" x14ac:dyDescent="0.25">
      <c r="A84" s="5">
        <v>44509</v>
      </c>
      <c r="B84">
        <v>1.0004</v>
      </c>
      <c r="C84">
        <v>1.0130999999999999</v>
      </c>
      <c r="D84">
        <v>0.97360000000000002</v>
      </c>
      <c r="E84">
        <v>0.98750000000000004</v>
      </c>
      <c r="F84">
        <v>1078534</v>
      </c>
      <c r="G84">
        <v>0.98750000000000004</v>
      </c>
      <c r="L84" t="s">
        <v>7</v>
      </c>
      <c r="M84" t="s">
        <v>7</v>
      </c>
      <c r="N84" t="s">
        <v>8</v>
      </c>
      <c r="P84">
        <f t="shared" ref="P84" si="395">IF(C84=D84,0,((E84-D84)-(C84-E84))/(C84-D84))</f>
        <v>-0.29620253164556609</v>
      </c>
      <c r="Q84">
        <f t="shared" ref="Q84" si="396">F84*P84</f>
        <v>-319464.50126581895</v>
      </c>
      <c r="R84">
        <f t="shared" ref="R84" si="397">R85+Q84</f>
        <v>-98189451.693175912</v>
      </c>
      <c r="S84">
        <f t="shared" ref="S84" si="398">R84/100000</f>
        <v>-981.89451693175909</v>
      </c>
      <c r="T84">
        <f t="shared" ref="T84" si="399">S84/1000</f>
        <v>-0.98189451693175911</v>
      </c>
    </row>
    <row r="85" spans="1:20" x14ac:dyDescent="0.25">
      <c r="A85" s="5">
        <v>44508</v>
      </c>
      <c r="B85">
        <v>0.99909999999999999</v>
      </c>
      <c r="C85">
        <v>1.0305</v>
      </c>
      <c r="D85">
        <v>0.98640000000000005</v>
      </c>
      <c r="E85">
        <v>1.0025999999999999</v>
      </c>
      <c r="F85">
        <v>1079227</v>
      </c>
      <c r="G85">
        <v>1.0025999999999999</v>
      </c>
      <c r="L85" t="s">
        <v>7</v>
      </c>
      <c r="M85" t="s">
        <v>7</v>
      </c>
      <c r="N85" t="s">
        <v>8</v>
      </c>
      <c r="P85">
        <f t="shared" ref="P85" si="400">IF(C85=D85,0,((E85-D85)-(C85-E85))/(C85-D85))</f>
        <v>-0.26530612244898361</v>
      </c>
      <c r="Q85">
        <f t="shared" ref="Q85" si="401">F85*P85</f>
        <v>-286325.53061224922</v>
      </c>
      <c r="R85">
        <f t="shared" ref="R85" si="402">R86+Q85</f>
        <v>-97869987.191910088</v>
      </c>
      <c r="S85">
        <f t="shared" ref="S85" si="403">R85/100000</f>
        <v>-978.69987191910093</v>
      </c>
      <c r="T85">
        <f t="shared" ref="T85" si="404">S85/1000</f>
        <v>-0.97869987191910091</v>
      </c>
    </row>
    <row r="86" spans="1:20" x14ac:dyDescent="0.25">
      <c r="A86" s="5">
        <v>44507</v>
      </c>
      <c r="B86">
        <v>0.99619999999999997</v>
      </c>
      <c r="C86">
        <v>1.016</v>
      </c>
      <c r="D86">
        <v>0.9768</v>
      </c>
      <c r="E86">
        <v>0.99909999999999999</v>
      </c>
      <c r="F86">
        <v>614277</v>
      </c>
      <c r="G86">
        <v>0.99909999999999999</v>
      </c>
      <c r="L86" t="s">
        <v>7</v>
      </c>
      <c r="M86" t="s">
        <v>7</v>
      </c>
      <c r="N86" t="s">
        <v>8</v>
      </c>
      <c r="P86">
        <f t="shared" ref="P86" si="405">IF(C86=D86,0,((E86-D86)-(C86-E86))/(C86-D86))</f>
        <v>0.13775510204081526</v>
      </c>
      <c r="Q86">
        <f t="shared" ref="Q86" si="406">F86*P86</f>
        <v>84619.790816325869</v>
      </c>
      <c r="R86">
        <f t="shared" ref="R86" si="407">R87+Q86</f>
        <v>-97583661.661297843</v>
      </c>
      <c r="S86">
        <f t="shared" ref="S86" si="408">R86/100000</f>
        <v>-975.83661661297845</v>
      </c>
      <c r="T86">
        <f t="shared" ref="T86" si="409">S86/1000</f>
        <v>-0.97583661661297849</v>
      </c>
    </row>
    <row r="87" spans="1:20" x14ac:dyDescent="0.25">
      <c r="A87" s="5">
        <v>44506</v>
      </c>
      <c r="B87">
        <v>1.0045999999999999</v>
      </c>
      <c r="C87">
        <v>1.0125</v>
      </c>
      <c r="D87">
        <v>0.9758</v>
      </c>
      <c r="E87">
        <v>0.99929999999999997</v>
      </c>
      <c r="F87">
        <v>421542</v>
      </c>
      <c r="G87">
        <v>0.99929999999999997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0.28065395095367818</v>
      </c>
      <c r="Q87">
        <f t="shared" ref="Q87" si="411">F87*P87</f>
        <v>118307.42779291541</v>
      </c>
      <c r="R87">
        <f t="shared" ref="R87" si="412">R88+Q87</f>
        <v>-97668281.452114165</v>
      </c>
      <c r="S87">
        <f t="shared" ref="S87" si="413">R87/100000</f>
        <v>-976.68281452114161</v>
      </c>
      <c r="T87">
        <f t="shared" ref="T87" si="414">S87/1000</f>
        <v>-0.97668281452114158</v>
      </c>
    </row>
    <row r="88" spans="1:20" x14ac:dyDescent="0.25">
      <c r="A88" s="5">
        <v>44505</v>
      </c>
      <c r="B88">
        <v>1.0145999999999999</v>
      </c>
      <c r="C88">
        <v>1.0321</v>
      </c>
      <c r="D88">
        <v>0.9919</v>
      </c>
      <c r="E88">
        <v>1.0058</v>
      </c>
      <c r="F88">
        <v>831241</v>
      </c>
      <c r="G88">
        <v>1.0058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-0.30845771144278511</v>
      </c>
      <c r="Q88">
        <f t="shared" ref="Q88" si="416">F88*P88</f>
        <v>-256402.69651741214</v>
      </c>
      <c r="R88">
        <f t="shared" ref="R88" si="417">R89+Q88</f>
        <v>-97786588.879907086</v>
      </c>
      <c r="S88">
        <f t="shared" ref="S88" si="418">R88/100000</f>
        <v>-977.86588879907083</v>
      </c>
      <c r="T88">
        <f t="shared" ref="T88" si="419">S88/1000</f>
        <v>-0.97786588879907088</v>
      </c>
    </row>
    <row r="89" spans="1:20" x14ac:dyDescent="0.25">
      <c r="A89" s="5">
        <v>44504</v>
      </c>
      <c r="B89">
        <v>1.0479000000000001</v>
      </c>
      <c r="C89">
        <v>1.0479000000000001</v>
      </c>
      <c r="D89">
        <v>1.0109999999999999</v>
      </c>
      <c r="E89">
        <v>1.0145999999999999</v>
      </c>
      <c r="F89">
        <v>810312</v>
      </c>
      <c r="G89">
        <v>1.0145999999999999</v>
      </c>
      <c r="L89" t="s">
        <v>8</v>
      </c>
      <c r="M89" t="s">
        <v>7</v>
      </c>
      <c r="N89" t="s">
        <v>8</v>
      </c>
      <c r="P89">
        <f t="shared" ref="P89" si="420">IF(C89=D89,0,((E89-D89)-(C89-E89))/(C89-D89))</f>
        <v>-0.80487804878048608</v>
      </c>
      <c r="Q89">
        <f t="shared" ref="Q89" si="421">F89*P89</f>
        <v>-652202.34146341321</v>
      </c>
      <c r="R89">
        <f t="shared" ref="R89" si="422">R90+Q89</f>
        <v>-97530186.183389679</v>
      </c>
      <c r="S89">
        <f t="shared" ref="S89" si="423">R89/100000</f>
        <v>-975.30186183389674</v>
      </c>
      <c r="T89">
        <f t="shared" ref="T89" si="424">S89/1000</f>
        <v>-0.97530186183389678</v>
      </c>
    </row>
    <row r="90" spans="1:20" x14ac:dyDescent="0.25">
      <c r="A90" s="5">
        <v>44503</v>
      </c>
      <c r="B90">
        <v>1.0357000000000001</v>
      </c>
      <c r="C90">
        <v>1.0547</v>
      </c>
      <c r="D90">
        <v>1.0088999999999999</v>
      </c>
      <c r="E90">
        <v>1.0450999999999999</v>
      </c>
      <c r="F90">
        <v>1258261</v>
      </c>
      <c r="G90">
        <v>1.0450999999999999</v>
      </c>
      <c r="L90" t="s">
        <v>8</v>
      </c>
      <c r="M90" t="s">
        <v>7</v>
      </c>
      <c r="N90" t="s">
        <v>8</v>
      </c>
      <c r="P90">
        <f t="shared" ref="P90" si="425">IF(C90=D90,0,((E90-D90)-(C90-E90))/(C90-D90))</f>
        <v>0.58078602620087161</v>
      </c>
      <c r="Q90">
        <f t="shared" ref="Q90" si="426">F90*P90</f>
        <v>730780.40611353493</v>
      </c>
      <c r="R90">
        <f t="shared" ref="R90" si="427">R91+Q90</f>
        <v>-96877983.841926262</v>
      </c>
      <c r="S90">
        <f t="shared" ref="S90" si="428">R90/100000</f>
        <v>-968.77983841926266</v>
      </c>
      <c r="T90">
        <f t="shared" ref="T90" si="429">S90/1000</f>
        <v>-0.96877983841926263</v>
      </c>
    </row>
    <row r="91" spans="1:20" x14ac:dyDescent="0.25">
      <c r="A91" s="5">
        <v>44502</v>
      </c>
      <c r="B91">
        <v>1.0091000000000001</v>
      </c>
      <c r="C91">
        <v>1.0656000000000001</v>
      </c>
      <c r="D91">
        <v>0.99829999999999997</v>
      </c>
      <c r="E91">
        <v>1.0355000000000001</v>
      </c>
      <c r="F91">
        <v>1252679</v>
      </c>
      <c r="G91">
        <v>1.0355000000000001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0.1054977711738498</v>
      </c>
      <c r="Q91">
        <f t="shared" ref="Q91" si="431">F91*P91</f>
        <v>132154.84249628699</v>
      </c>
      <c r="R91">
        <f t="shared" ref="R91" si="432">R92+Q91</f>
        <v>-97608764.248039797</v>
      </c>
      <c r="S91">
        <f t="shared" ref="S91" si="433">R91/100000</f>
        <v>-976.08764248039802</v>
      </c>
      <c r="T91">
        <f t="shared" ref="T91" si="434">S91/1000</f>
        <v>-0.97608764248039803</v>
      </c>
    </row>
    <row r="92" spans="1:20" x14ac:dyDescent="0.25">
      <c r="A92" s="5">
        <v>44501</v>
      </c>
      <c r="B92">
        <v>0.99980000000000002</v>
      </c>
      <c r="C92">
        <v>1.03</v>
      </c>
      <c r="D92">
        <v>0.97609999999999997</v>
      </c>
      <c r="E92">
        <v>1.0089999999999999</v>
      </c>
      <c r="F92">
        <v>924639</v>
      </c>
      <c r="G92">
        <v>1.0089999999999999</v>
      </c>
      <c r="L92" t="s">
        <v>8</v>
      </c>
      <c r="M92" t="s">
        <v>7</v>
      </c>
      <c r="N92" t="s">
        <v>8</v>
      </c>
      <c r="P92">
        <f t="shared" ref="P92" si="435">IF(C92=D92,0,((E92-D92)-(C92-E92))/(C92-D92))</f>
        <v>0.22077922077921683</v>
      </c>
      <c r="Q92">
        <f t="shared" ref="Q92" si="436">F92*P92</f>
        <v>204141.07792207427</v>
      </c>
      <c r="R92">
        <f t="shared" ref="R92" si="437">R93+Q92</f>
        <v>-97740919.090536088</v>
      </c>
      <c r="S92">
        <f t="shared" ref="S92" si="438">R92/100000</f>
        <v>-977.4091909053609</v>
      </c>
      <c r="T92">
        <f t="shared" ref="T92" si="439">S92/1000</f>
        <v>-0.97740919090536094</v>
      </c>
    </row>
    <row r="93" spans="1:20" x14ac:dyDescent="0.25">
      <c r="A93" s="5">
        <v>44500</v>
      </c>
      <c r="B93">
        <v>0.97629999999999995</v>
      </c>
      <c r="C93">
        <v>1.0345</v>
      </c>
      <c r="D93">
        <v>0.96</v>
      </c>
      <c r="E93">
        <v>0.99980000000000002</v>
      </c>
      <c r="F93">
        <v>1248919</v>
      </c>
      <c r="G93">
        <v>0.99980000000000002</v>
      </c>
      <c r="L93" t="s">
        <v>8</v>
      </c>
      <c r="M93" t="s">
        <v>7</v>
      </c>
      <c r="N93" t="s">
        <v>8</v>
      </c>
      <c r="P93">
        <f t="shared" ref="P93" si="440">IF(C93=D93,0,((E93-D93)-(C93-E93))/(C93-D93))</f>
        <v>6.8456375838927566E-2</v>
      </c>
      <c r="Q93">
        <f t="shared" ref="Q93" si="441">F93*P93</f>
        <v>85496.468456377581</v>
      </c>
      <c r="R93">
        <f t="shared" ref="R93" si="442">R94+Q93</f>
        <v>-97945060.168458164</v>
      </c>
      <c r="S93">
        <f t="shared" ref="S93" si="443">R93/100000</f>
        <v>-979.45060168458167</v>
      </c>
      <c r="T93">
        <f t="shared" ref="T93" si="444">S93/1000</f>
        <v>-0.97945060168458165</v>
      </c>
    </row>
    <row r="94" spans="1:20" x14ac:dyDescent="0.25">
      <c r="A94" s="5">
        <v>44499</v>
      </c>
      <c r="B94">
        <v>1.0214000000000001</v>
      </c>
      <c r="C94">
        <v>1.0309999999999999</v>
      </c>
      <c r="D94">
        <v>0.95920000000000005</v>
      </c>
      <c r="E94">
        <v>0.97629999999999995</v>
      </c>
      <c r="F94">
        <v>1347694</v>
      </c>
      <c r="G94">
        <v>0.97629999999999995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-0.52367688022284331</v>
      </c>
      <c r="Q94">
        <f t="shared" ref="Q94" si="446">F94*P94</f>
        <v>-705756.18941504462</v>
      </c>
      <c r="R94">
        <f t="shared" ref="R94" si="447">R95+Q94</f>
        <v>-98030556.636914536</v>
      </c>
      <c r="S94">
        <f t="shared" ref="S94" si="448">R94/100000</f>
        <v>-980.30556636914537</v>
      </c>
      <c r="T94">
        <f t="shared" ref="T94" si="449">S94/1000</f>
        <v>-0.98030556636914534</v>
      </c>
    </row>
    <row r="95" spans="1:20" x14ac:dyDescent="0.25">
      <c r="A95" s="5">
        <v>44498</v>
      </c>
      <c r="B95">
        <v>0.99399999999999999</v>
      </c>
      <c r="C95">
        <v>1.0443</v>
      </c>
      <c r="D95">
        <v>0.97989999999999999</v>
      </c>
      <c r="E95">
        <v>1.0224</v>
      </c>
      <c r="F95">
        <v>1376928</v>
      </c>
      <c r="G95">
        <v>1.0224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0.31987577639751469</v>
      </c>
      <c r="Q95">
        <f t="shared" ref="Q95" si="451">F95*P95</f>
        <v>440445.91304347711</v>
      </c>
      <c r="R95">
        <f t="shared" ref="R95" si="452">R96+Q95</f>
        <v>-97324800.447499499</v>
      </c>
      <c r="S95">
        <f t="shared" ref="S95" si="453">R95/100000</f>
        <v>-973.24800447499501</v>
      </c>
      <c r="T95">
        <f t="shared" ref="T95" si="454">S95/1000</f>
        <v>-0.97324800447499504</v>
      </c>
    </row>
    <row r="96" spans="1:20" x14ac:dyDescent="0.25">
      <c r="A96" s="5">
        <v>44497</v>
      </c>
      <c r="B96">
        <v>0.97040000000000004</v>
      </c>
      <c r="C96">
        <v>1.0108999999999999</v>
      </c>
      <c r="D96">
        <v>0.96540000000000004</v>
      </c>
      <c r="E96">
        <v>0.99380000000000002</v>
      </c>
      <c r="F96">
        <v>1314011</v>
      </c>
      <c r="G96">
        <v>0.99380000000000002</v>
      </c>
      <c r="L96" t="s">
        <v>7</v>
      </c>
      <c r="M96" t="s">
        <v>7</v>
      </c>
      <c r="N96" t="s">
        <v>8</v>
      </c>
      <c r="P96">
        <f t="shared" ref="P96" si="455">IF(C96=D96,0,((E96-D96)-(C96-E96))/(C96-D96))</f>
        <v>0.24835164835165097</v>
      </c>
      <c r="Q96">
        <f t="shared" ref="Q96" si="456">F96*P96</f>
        <v>326336.79780220124</v>
      </c>
      <c r="R96">
        <f t="shared" ref="R96" si="457">R97+Q96</f>
        <v>-97765246.360542983</v>
      </c>
      <c r="S96">
        <f t="shared" ref="S96" si="458">R96/100000</f>
        <v>-977.65246360542983</v>
      </c>
      <c r="T96">
        <f t="shared" ref="T96" si="459">S96/1000</f>
        <v>-0.97765246360542979</v>
      </c>
    </row>
    <row r="97" spans="1:20" x14ac:dyDescent="0.25">
      <c r="A97" s="5">
        <v>44496</v>
      </c>
      <c r="B97">
        <v>1.048</v>
      </c>
      <c r="C97">
        <v>1.0766</v>
      </c>
      <c r="D97">
        <v>0.95709999999999995</v>
      </c>
      <c r="E97">
        <v>0.97099999999999997</v>
      </c>
      <c r="F97">
        <v>1609391</v>
      </c>
      <c r="G97">
        <v>0.97099999999999997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-0.76736401673640142</v>
      </c>
      <c r="Q97">
        <f t="shared" ref="Q97" si="461">F97*P97</f>
        <v>-1234988.7422594139</v>
      </c>
      <c r="R97">
        <f t="shared" ref="R97" si="462">R98+Q97</f>
        <v>-98091583.158345178</v>
      </c>
      <c r="S97">
        <f t="shared" ref="S97" si="463">R97/100000</f>
        <v>-980.91583158345179</v>
      </c>
      <c r="T97">
        <f t="shared" ref="T97" si="464">S97/1000</f>
        <v>-0.98091583158345175</v>
      </c>
    </row>
    <row r="98" spans="1:20" x14ac:dyDescent="0.25">
      <c r="A98" s="5">
        <v>44495</v>
      </c>
      <c r="B98">
        <v>1.0447</v>
      </c>
      <c r="C98">
        <v>1.1015999999999999</v>
      </c>
      <c r="D98">
        <v>1.0327999999999999</v>
      </c>
      <c r="E98">
        <v>1.0479000000000001</v>
      </c>
      <c r="F98">
        <v>1768647</v>
      </c>
      <c r="G98">
        <v>1.0479000000000001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-0.56104651162790353</v>
      </c>
      <c r="Q98">
        <f t="shared" ref="Q98" si="466">F98*P98</f>
        <v>-992293.2296511567</v>
      </c>
      <c r="R98">
        <f t="shared" ref="R98" si="467">R99+Q98</f>
        <v>-96856594.416085765</v>
      </c>
      <c r="S98">
        <f t="shared" ref="S98" si="468">R98/100000</f>
        <v>-968.56594416085761</v>
      </c>
      <c r="T98">
        <f t="shared" ref="T98" si="469">S98/1000</f>
        <v>-0.96856594416085762</v>
      </c>
    </row>
    <row r="99" spans="1:20" x14ac:dyDescent="0.25">
      <c r="A99" s="5">
        <v>44494</v>
      </c>
      <c r="B99">
        <v>1.0410999999999999</v>
      </c>
      <c r="C99">
        <v>1.075</v>
      </c>
      <c r="D99">
        <v>1.0053000000000001</v>
      </c>
      <c r="E99">
        <v>1.0457000000000001</v>
      </c>
      <c r="F99">
        <v>1558351</v>
      </c>
      <c r="G99">
        <v>1.0457000000000001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0.15925394548063315</v>
      </c>
      <c r="Q99">
        <f t="shared" ref="Q99" si="471">F99*P99</f>
        <v>248173.54519369017</v>
      </c>
      <c r="R99">
        <f t="shared" ref="R99" si="472">R100+Q99</f>
        <v>-95864301.186434612</v>
      </c>
      <c r="S99">
        <f t="shared" ref="S99" si="473">R99/100000</f>
        <v>-958.64301186434614</v>
      </c>
      <c r="T99">
        <f t="shared" ref="T99" si="474">S99/1000</f>
        <v>-0.95864301186434608</v>
      </c>
    </row>
    <row r="100" spans="1:20" x14ac:dyDescent="0.25">
      <c r="A100" s="5">
        <v>44493</v>
      </c>
      <c r="B100">
        <v>1.0686</v>
      </c>
      <c r="C100">
        <v>1.0840000000000001</v>
      </c>
      <c r="D100">
        <v>1.01</v>
      </c>
      <c r="E100">
        <v>1.0410999999999999</v>
      </c>
      <c r="F100">
        <v>1556850</v>
      </c>
      <c r="G100">
        <v>1.0410999999999999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-0.15945945945946277</v>
      </c>
      <c r="Q100">
        <f t="shared" ref="Q100" si="476">F100*P100</f>
        <v>-248254.45945946462</v>
      </c>
      <c r="R100">
        <f t="shared" ref="R100" si="477">R101+Q100</f>
        <v>-96112474.731628299</v>
      </c>
      <c r="S100">
        <f t="shared" ref="S100" si="478">R100/100000</f>
        <v>-961.12474731628299</v>
      </c>
      <c r="T100">
        <f t="shared" ref="T100" si="479">S100/1000</f>
        <v>-0.96112474731628295</v>
      </c>
    </row>
    <row r="101" spans="1:20" x14ac:dyDescent="0.25">
      <c r="A101" s="5">
        <v>44492</v>
      </c>
      <c r="B101">
        <v>1.0470999999999999</v>
      </c>
      <c r="C101">
        <v>1.0837000000000001</v>
      </c>
      <c r="D101">
        <v>1.0269999999999999</v>
      </c>
      <c r="E101">
        <v>1.0658000000000001</v>
      </c>
      <c r="F101">
        <v>862642</v>
      </c>
      <c r="G101">
        <v>1.0658000000000001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0.36860670194003647</v>
      </c>
      <c r="Q101">
        <f t="shared" ref="Q101" si="481">F101*P101</f>
        <v>317975.62257495697</v>
      </c>
      <c r="R101">
        <f t="shared" ref="R101" si="482">R102+Q101</f>
        <v>-95864220.27216883</v>
      </c>
      <c r="S101">
        <f t="shared" ref="S101" si="483">R101/100000</f>
        <v>-958.64220272168825</v>
      </c>
      <c r="T101">
        <f t="shared" ref="T101" si="484">S101/1000</f>
        <v>-0.95864220272168821</v>
      </c>
    </row>
    <row r="102" spans="1:20" x14ac:dyDescent="0.25">
      <c r="A102" s="5">
        <v>44491</v>
      </c>
      <c r="B102">
        <v>1.0469999999999999</v>
      </c>
      <c r="C102">
        <v>1.0835999999999999</v>
      </c>
      <c r="D102">
        <v>1.0409999999999999</v>
      </c>
      <c r="E102">
        <v>1.0470999999999999</v>
      </c>
      <c r="F102">
        <v>1074193</v>
      </c>
      <c r="G102">
        <v>1.0470999999999999</v>
      </c>
      <c r="L102" t="s">
        <v>8</v>
      </c>
      <c r="M102" t="s">
        <v>7</v>
      </c>
      <c r="N102" t="s">
        <v>8</v>
      </c>
      <c r="P102">
        <f t="shared" ref="P102" si="485">IF(C102=D102,0,((E102-D102)-(C102-E102))/(C102-D102))</f>
        <v>-0.71361502347417849</v>
      </c>
      <c r="Q102">
        <f t="shared" ref="Q102" si="486">F102*P102</f>
        <v>-766560.26291079819</v>
      </c>
      <c r="R102">
        <f t="shared" ref="R102" si="487">R103+Q102</f>
        <v>-96182195.894743785</v>
      </c>
      <c r="S102">
        <f t="shared" ref="S102" si="488">R102/100000</f>
        <v>-961.82195894743791</v>
      </c>
      <c r="T102">
        <f t="shared" ref="T102" si="489">S102/1000</f>
        <v>-0.96182195894743794</v>
      </c>
    </row>
    <row r="103" spans="1:20" x14ac:dyDescent="0.25">
      <c r="A103" s="5">
        <v>44490</v>
      </c>
      <c r="B103">
        <v>1.0587</v>
      </c>
      <c r="C103">
        <v>1.1134999999999999</v>
      </c>
      <c r="D103">
        <v>1.0349999999999999</v>
      </c>
      <c r="E103">
        <v>1.0470999999999999</v>
      </c>
      <c r="F103">
        <v>2415819</v>
      </c>
      <c r="G103">
        <v>1.0470999999999999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-0.69171974522293</v>
      </c>
      <c r="Q103">
        <f t="shared" ref="Q103" si="491">F103*P103</f>
        <v>-1671069.7031847136</v>
      </c>
      <c r="R103">
        <f t="shared" ref="R103" si="492">R104+Q103</f>
        <v>-95415635.631832987</v>
      </c>
      <c r="S103">
        <f t="shared" ref="S103" si="493">R103/100000</f>
        <v>-954.15635631832993</v>
      </c>
      <c r="T103">
        <f t="shared" ref="T103" si="494">S103/1000</f>
        <v>-0.95415635631832996</v>
      </c>
    </row>
    <row r="104" spans="1:20" x14ac:dyDescent="0.25">
      <c r="A104" s="5">
        <v>44489</v>
      </c>
      <c r="B104">
        <v>1.0318000000000001</v>
      </c>
      <c r="C104">
        <v>1.0771999999999999</v>
      </c>
      <c r="D104">
        <v>1.0221</v>
      </c>
      <c r="E104">
        <v>1.0589</v>
      </c>
      <c r="F104">
        <v>2205533</v>
      </c>
      <c r="G104">
        <v>1.0589</v>
      </c>
      <c r="L104" t="s">
        <v>7</v>
      </c>
      <c r="M104" t="s">
        <v>7</v>
      </c>
      <c r="N104" t="s">
        <v>8</v>
      </c>
      <c r="P104">
        <f t="shared" ref="P104" si="495">IF(C104=D104,0,((E104-D104)-(C104-E104))/(C104-D104))</f>
        <v>0.33575317604355692</v>
      </c>
      <c r="Q104">
        <f t="shared" ref="Q104" si="496">F104*P104</f>
        <v>740514.70961887424</v>
      </c>
      <c r="R104">
        <f t="shared" ref="R104" si="497">R105+Q104</f>
        <v>-93744565.928648278</v>
      </c>
      <c r="S104">
        <f t="shared" ref="S104" si="498">R104/100000</f>
        <v>-937.44565928648274</v>
      </c>
      <c r="T104">
        <f t="shared" ref="T104" si="499">S104/1000</f>
        <v>-0.93744565928648271</v>
      </c>
    </row>
    <row r="105" spans="1:20" x14ac:dyDescent="0.25">
      <c r="A105" s="5">
        <v>44488</v>
      </c>
      <c r="B105">
        <v>1.0549999999999999</v>
      </c>
      <c r="C105">
        <v>1.0669999999999999</v>
      </c>
      <c r="D105">
        <v>1.0195000000000001</v>
      </c>
      <c r="E105">
        <v>1.0291999999999999</v>
      </c>
      <c r="F105">
        <v>1585808</v>
      </c>
      <c r="G105">
        <v>1.0291999999999999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-0.59157894736842753</v>
      </c>
      <c r="Q105">
        <f t="shared" ref="Q105" si="501">F105*P105</f>
        <v>-938130.62736843131</v>
      </c>
      <c r="R105">
        <f t="shared" ref="R105" si="502">R106+Q105</f>
        <v>-94485080.638267159</v>
      </c>
      <c r="S105">
        <f t="shared" ref="S105" si="503">R105/100000</f>
        <v>-944.85080638267164</v>
      </c>
      <c r="T105">
        <f t="shared" ref="T105" si="504">S105/1000</f>
        <v>-0.9448508063826716</v>
      </c>
    </row>
    <row r="106" spans="1:20" x14ac:dyDescent="0.25">
      <c r="A106" s="5">
        <v>44487</v>
      </c>
      <c r="B106">
        <v>1.0642</v>
      </c>
      <c r="C106">
        <v>1.1347</v>
      </c>
      <c r="D106">
        <v>1.0526</v>
      </c>
      <c r="E106">
        <v>1.0548999999999999</v>
      </c>
      <c r="F106">
        <v>1860507</v>
      </c>
      <c r="G106">
        <v>1.0548999999999999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-0.94397076735688268</v>
      </c>
      <c r="Q106">
        <f t="shared" ref="Q106" si="506">F106*P106</f>
        <v>-1756264.2204628517</v>
      </c>
      <c r="R106">
        <f t="shared" ref="R106" si="507">R107+Q106</f>
        <v>-93546950.010898724</v>
      </c>
      <c r="S106">
        <f t="shared" ref="S106" si="508">R106/100000</f>
        <v>-935.46950010898729</v>
      </c>
      <c r="T106">
        <f t="shared" ref="T106" si="509">S106/1000</f>
        <v>-0.93546950010898733</v>
      </c>
    </row>
    <row r="107" spans="1:20" x14ac:dyDescent="0.25">
      <c r="A107" s="5">
        <v>44486</v>
      </c>
      <c r="B107">
        <v>1.1193</v>
      </c>
      <c r="C107">
        <v>1.2324999999999999</v>
      </c>
      <c r="D107">
        <v>1.0389999999999999</v>
      </c>
      <c r="E107">
        <v>1.0642</v>
      </c>
      <c r="F107">
        <v>4362108</v>
      </c>
      <c r="G107">
        <v>1.0642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-0.73953488372092913</v>
      </c>
      <c r="Q107">
        <f t="shared" ref="Q107" si="511">F107*P107</f>
        <v>-3225931.0325581348</v>
      </c>
      <c r="R107">
        <f t="shared" ref="R107" si="512">R108+Q107</f>
        <v>-91790685.790435866</v>
      </c>
      <c r="S107">
        <f t="shared" ref="S107" si="513">R107/100000</f>
        <v>-917.90685790435862</v>
      </c>
      <c r="T107">
        <f t="shared" ref="T107" si="514">S107/1000</f>
        <v>-0.91790685790435866</v>
      </c>
    </row>
    <row r="108" spans="1:20" x14ac:dyDescent="0.25">
      <c r="A108" s="5">
        <v>44485</v>
      </c>
      <c r="B108">
        <v>1.0467</v>
      </c>
      <c r="C108">
        <v>1.1248</v>
      </c>
      <c r="D108">
        <v>1.0299</v>
      </c>
      <c r="E108">
        <v>1.1160000000000001</v>
      </c>
      <c r="F108">
        <v>2404745</v>
      </c>
      <c r="G108">
        <v>1.1160000000000001</v>
      </c>
      <c r="L108" t="s">
        <v>8</v>
      </c>
      <c r="M108" t="s">
        <v>7</v>
      </c>
      <c r="N108" t="s">
        <v>8</v>
      </c>
      <c r="P108">
        <f t="shared" ref="P108" si="515">IF(C108=D108,0,((E108-D108)-(C108-E108))/(C108-D108))</f>
        <v>0.81454162276080255</v>
      </c>
      <c r="Q108">
        <f t="shared" ref="Q108" si="516">F108*P108</f>
        <v>1958764.8946259262</v>
      </c>
      <c r="R108">
        <f t="shared" ref="R108" si="517">R109+Q108</f>
        <v>-88564754.757877737</v>
      </c>
      <c r="S108">
        <f t="shared" ref="S108" si="518">R108/100000</f>
        <v>-885.64754757877733</v>
      </c>
      <c r="T108">
        <f t="shared" ref="T108" si="519">S108/1000</f>
        <v>-0.88564754757877728</v>
      </c>
    </row>
    <row r="109" spans="1:20" x14ac:dyDescent="0.25">
      <c r="A109" s="5">
        <v>44484</v>
      </c>
      <c r="B109">
        <v>1.0472999999999999</v>
      </c>
      <c r="C109">
        <v>1.0899000000000001</v>
      </c>
      <c r="D109">
        <v>1.0206</v>
      </c>
      <c r="E109">
        <v>1.0418000000000001</v>
      </c>
      <c r="F109">
        <v>2294845</v>
      </c>
      <c r="G109">
        <v>1.0418000000000001</v>
      </c>
      <c r="L109" t="s">
        <v>8</v>
      </c>
      <c r="M109" t="s">
        <v>7</v>
      </c>
      <c r="N109" t="s">
        <v>8</v>
      </c>
      <c r="P109">
        <f t="shared" ref="P109" si="520">IF(C109=D109,0,((E109-D109)-(C109-E109))/(C109-D109))</f>
        <v>-0.38816738816738627</v>
      </c>
      <c r="Q109">
        <f t="shared" ref="Q109" si="521">F109*P109</f>
        <v>-890783.9898989856</v>
      </c>
      <c r="R109">
        <f t="shared" ref="R109" si="522">R110+Q109</f>
        <v>-90523519.652503669</v>
      </c>
      <c r="S109">
        <f t="shared" ref="S109" si="523">R109/100000</f>
        <v>-905.23519652503671</v>
      </c>
      <c r="T109">
        <f t="shared" ref="T109" si="524">S109/1000</f>
        <v>-0.9052351965250367</v>
      </c>
    </row>
    <row r="110" spans="1:20" x14ac:dyDescent="0.25">
      <c r="A110" s="5">
        <v>44483</v>
      </c>
      <c r="B110">
        <v>1.0395000000000001</v>
      </c>
      <c r="C110">
        <v>1.099</v>
      </c>
      <c r="D110">
        <v>1.0069999999999999</v>
      </c>
      <c r="E110">
        <v>1.0472999999999999</v>
      </c>
      <c r="F110">
        <v>2595006</v>
      </c>
      <c r="G110">
        <v>1.0472999999999999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-0.1239130434782616</v>
      </c>
      <c r="Q110">
        <f t="shared" ref="Q110" si="526">F110*P110</f>
        <v>-321555.09130434971</v>
      </c>
      <c r="R110">
        <f t="shared" ref="R110" si="527">R111+Q110</f>
        <v>-89632735.66260469</v>
      </c>
      <c r="S110">
        <f t="shared" ref="S110" si="528">R110/100000</f>
        <v>-896.32735662604694</v>
      </c>
      <c r="T110">
        <f t="shared" ref="T110" si="529">S110/1000</f>
        <v>-0.8963273566260469</v>
      </c>
    </row>
    <row r="111" spans="1:20" x14ac:dyDescent="0.25">
      <c r="A111" s="5">
        <v>44482</v>
      </c>
      <c r="B111">
        <v>1.0387</v>
      </c>
      <c r="C111">
        <v>1.0544</v>
      </c>
      <c r="D111">
        <v>1.0066999999999999</v>
      </c>
      <c r="E111">
        <v>1.04</v>
      </c>
      <c r="F111">
        <v>2186609</v>
      </c>
      <c r="G111">
        <v>1.04</v>
      </c>
      <c r="L111" t="s">
        <v>7</v>
      </c>
      <c r="M111" t="s">
        <v>7</v>
      </c>
      <c r="N111" t="s">
        <v>8</v>
      </c>
      <c r="P111">
        <f t="shared" ref="P111" si="530">IF(C111=D111,0,((E111-D111)-(C111-E111))/(C111-D111))</f>
        <v>0.39622641509434192</v>
      </c>
      <c r="Q111">
        <f t="shared" ref="Q111" si="531">F111*P111</f>
        <v>866392.24528302392</v>
      </c>
      <c r="R111">
        <f t="shared" ref="R111" si="532">R112+Q111</f>
        <v>-89311180.571300343</v>
      </c>
      <c r="S111">
        <f t="shared" ref="S111" si="533">R111/100000</f>
        <v>-893.11180571300338</v>
      </c>
      <c r="T111">
        <f t="shared" ref="T111" si="534">S111/1000</f>
        <v>-0.89311180571300341</v>
      </c>
    </row>
    <row r="112" spans="1:20" x14ac:dyDescent="0.25">
      <c r="A112" s="5">
        <v>44481</v>
      </c>
      <c r="B112">
        <v>1.0784</v>
      </c>
      <c r="C112">
        <v>1.0907</v>
      </c>
      <c r="D112">
        <v>1.0166999999999999</v>
      </c>
      <c r="E112">
        <v>1.0407</v>
      </c>
      <c r="F112">
        <v>1662365</v>
      </c>
      <c r="G112">
        <v>1.0407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-0.35135135135135137</v>
      </c>
      <c r="Q112">
        <f t="shared" ref="Q112" si="536">F112*P112</f>
        <v>-584074.18918918923</v>
      </c>
      <c r="R112">
        <f t="shared" ref="R112" si="537">R113+Q112</f>
        <v>-90177572.816583365</v>
      </c>
      <c r="S112">
        <f t="shared" ref="S112" si="538">R112/100000</f>
        <v>-901.7757281658337</v>
      </c>
      <c r="T112">
        <f t="shared" ref="T112" si="539">S112/1000</f>
        <v>-0.90177572816583373</v>
      </c>
    </row>
    <row r="113" spans="1:20" x14ac:dyDescent="0.25">
      <c r="A113" s="5">
        <v>44480</v>
      </c>
      <c r="B113">
        <v>1.0072000000000001</v>
      </c>
      <c r="C113">
        <v>1.2</v>
      </c>
      <c r="D113">
        <v>1</v>
      </c>
      <c r="E113">
        <v>1.0785</v>
      </c>
      <c r="F113">
        <v>6033671</v>
      </c>
      <c r="G113">
        <v>1.0785</v>
      </c>
      <c r="L113" t="s">
        <v>8</v>
      </c>
      <c r="M113" t="s">
        <v>7</v>
      </c>
      <c r="N113" t="s">
        <v>8</v>
      </c>
      <c r="P113">
        <f t="shared" ref="P113" si="540">IF(C113=D113,0,((E113-D113)-(C113-E113))/(C113-D113))</f>
        <v>-0.21499999999999969</v>
      </c>
      <c r="Q113">
        <f t="shared" ref="Q113" si="541">F113*P113</f>
        <v>-1297239.264999998</v>
      </c>
      <c r="R113">
        <f t="shared" ref="R113" si="542">R114+Q113</f>
        <v>-89593498.62739417</v>
      </c>
      <c r="S113">
        <f t="shared" ref="S113" si="543">R113/100000</f>
        <v>-895.93498627394172</v>
      </c>
      <c r="T113">
        <f t="shared" ref="T113" si="544">S113/1000</f>
        <v>-0.89593498627394175</v>
      </c>
    </row>
    <row r="114" spans="1:20" x14ac:dyDescent="0.25">
      <c r="A114" s="5">
        <v>44479</v>
      </c>
      <c r="B114">
        <v>1.0541</v>
      </c>
      <c r="C114">
        <v>1.1201000000000001</v>
      </c>
      <c r="D114">
        <v>1.0004999999999999</v>
      </c>
      <c r="E114">
        <v>1.0059</v>
      </c>
      <c r="F114">
        <v>1909692</v>
      </c>
      <c r="G114">
        <v>1.0059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-0.90969899665551734</v>
      </c>
      <c r="Q114">
        <f t="shared" ref="Q114" si="546">F114*P114</f>
        <v>-1737244.8963210683</v>
      </c>
      <c r="R114">
        <f t="shared" ref="R114" si="547">R115+Q114</f>
        <v>-88296259.362394169</v>
      </c>
      <c r="S114">
        <f t="shared" ref="S114" si="548">R114/100000</f>
        <v>-882.96259362394164</v>
      </c>
      <c r="T114">
        <f t="shared" ref="T114" si="549">S114/1000</f>
        <v>-0.88296259362394169</v>
      </c>
    </row>
    <row r="115" spans="1:20" x14ac:dyDescent="0.25">
      <c r="A115" s="5">
        <v>44478</v>
      </c>
      <c r="B115">
        <v>1.0345</v>
      </c>
      <c r="C115">
        <v>1.25</v>
      </c>
      <c r="D115">
        <v>1.0309999999999999</v>
      </c>
      <c r="E115">
        <v>1.054</v>
      </c>
      <c r="F115">
        <v>4282775</v>
      </c>
      <c r="G115">
        <v>1.054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-0.78995433789954228</v>
      </c>
      <c r="Q115">
        <f t="shared" ref="Q115" si="551">F115*P115</f>
        <v>-3383196.6894977121</v>
      </c>
      <c r="R115">
        <f t="shared" ref="R115" si="552">R116+Q115</f>
        <v>-86559014.466073096</v>
      </c>
      <c r="S115">
        <f t="shared" ref="S115" si="553">R115/100000</f>
        <v>-865.59014466073097</v>
      </c>
      <c r="T115">
        <f t="shared" ref="T115" si="554">S115/1000</f>
        <v>-0.86559014466073092</v>
      </c>
    </row>
    <row r="116" spans="1:20" x14ac:dyDescent="0.25">
      <c r="A116" s="5">
        <v>44477</v>
      </c>
      <c r="B116">
        <v>1.026</v>
      </c>
      <c r="C116">
        <v>1.06</v>
      </c>
      <c r="D116">
        <v>1.018</v>
      </c>
      <c r="E116">
        <v>1.0347999999999999</v>
      </c>
      <c r="F116">
        <v>1893367</v>
      </c>
      <c r="G116">
        <v>1.0347999999999999</v>
      </c>
      <c r="L116" t="s">
        <v>7</v>
      </c>
      <c r="M116" t="s">
        <v>7</v>
      </c>
      <c r="N116" t="s">
        <v>8</v>
      </c>
      <c r="P116">
        <f t="shared" ref="P116" si="555">IF(C116=D116,0,((E116-D116)-(C116-E116))/(C116-D116))</f>
        <v>-0.20000000000000423</v>
      </c>
      <c r="Q116">
        <f t="shared" ref="Q116" si="556">F116*P116</f>
        <v>-378673.400000008</v>
      </c>
      <c r="R116">
        <f t="shared" ref="R116" si="557">R117+Q116</f>
        <v>-83175817.776575387</v>
      </c>
      <c r="S116">
        <f t="shared" ref="S116" si="558">R116/100000</f>
        <v>-831.75817776575389</v>
      </c>
      <c r="T116">
        <f t="shared" ref="T116" si="559">S116/1000</f>
        <v>-0.83175817776575389</v>
      </c>
    </row>
    <row r="117" spans="1:20" x14ac:dyDescent="0.25">
      <c r="A117" s="5">
        <v>44476</v>
      </c>
      <c r="B117">
        <v>1.0379</v>
      </c>
      <c r="C117">
        <v>1.085</v>
      </c>
      <c r="D117">
        <v>1.0083</v>
      </c>
      <c r="E117">
        <v>1.0248999999999999</v>
      </c>
      <c r="F117">
        <v>1573053</v>
      </c>
      <c r="G117">
        <v>1.0248999999999999</v>
      </c>
      <c r="L117" t="s">
        <v>8</v>
      </c>
      <c r="M117" t="s">
        <v>7</v>
      </c>
      <c r="N117" t="s">
        <v>8</v>
      </c>
      <c r="P117">
        <f t="shared" ref="P117" si="560">IF(C117=D117,0,((E117-D117)-(C117-E117))/(C117-D117))</f>
        <v>-0.5671447196870939</v>
      </c>
      <c r="Q117">
        <f t="shared" ref="Q117" si="561">F117*P117</f>
        <v>-892148.70273794211</v>
      </c>
      <c r="R117">
        <f t="shared" ref="R117" si="562">R118+Q117</f>
        <v>-82797144.376575381</v>
      </c>
      <c r="S117">
        <f t="shared" ref="S117" si="563">R117/100000</f>
        <v>-827.97144376575386</v>
      </c>
      <c r="T117">
        <f t="shared" ref="T117" si="564">S117/1000</f>
        <v>-0.82797144376575382</v>
      </c>
    </row>
    <row r="118" spans="1:20" x14ac:dyDescent="0.25">
      <c r="A118" s="5">
        <v>44475</v>
      </c>
      <c r="B118">
        <v>1.0842000000000001</v>
      </c>
      <c r="C118">
        <v>1.0842000000000001</v>
      </c>
      <c r="D118">
        <v>0.99660000000000004</v>
      </c>
      <c r="E118">
        <v>1.0379</v>
      </c>
      <c r="F118">
        <v>1409834</v>
      </c>
      <c r="G118">
        <v>1.0379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-5.7077625570776301E-2</v>
      </c>
      <c r="Q118">
        <f t="shared" ref="Q118" si="566">F118*P118</f>
        <v>-80469.97716894983</v>
      </c>
      <c r="R118">
        <f t="shared" ref="R118" si="567">R119+Q118</f>
        <v>-81904995.673837438</v>
      </c>
      <c r="S118">
        <f t="shared" ref="S118" si="568">R118/100000</f>
        <v>-819.04995673837436</v>
      </c>
      <c r="T118">
        <f t="shared" ref="T118" si="569">S118/1000</f>
        <v>-0.81904995673837433</v>
      </c>
    </row>
    <row r="119" spans="1:20" x14ac:dyDescent="0.25">
      <c r="A119" s="5">
        <v>44474</v>
      </c>
      <c r="B119">
        <v>1.0239</v>
      </c>
      <c r="C119">
        <v>1.18</v>
      </c>
      <c r="D119">
        <v>1.02</v>
      </c>
      <c r="E119">
        <v>1.0879000000000001</v>
      </c>
      <c r="F119">
        <v>3154109</v>
      </c>
      <c r="G119">
        <v>1.0879000000000001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-0.15124999999999869</v>
      </c>
      <c r="Q119">
        <f t="shared" ref="Q119" si="571">F119*P119</f>
        <v>-477058.98624999588</v>
      </c>
      <c r="R119">
        <f t="shared" ref="R119" si="572">R120+Q119</f>
        <v>-81824525.696668491</v>
      </c>
      <c r="S119">
        <f t="shared" ref="S119" si="573">R119/100000</f>
        <v>-818.24525696668491</v>
      </c>
      <c r="T119">
        <f t="shared" ref="T119" si="574">S119/1000</f>
        <v>-0.81824525696668493</v>
      </c>
    </row>
    <row r="120" spans="1:20" x14ac:dyDescent="0.25">
      <c r="A120" s="5">
        <v>44473</v>
      </c>
      <c r="B120">
        <v>1.0498000000000001</v>
      </c>
      <c r="C120">
        <v>1.06</v>
      </c>
      <c r="D120">
        <v>0.99250000000000005</v>
      </c>
      <c r="E120">
        <v>1.0246999999999999</v>
      </c>
      <c r="F120">
        <v>2941315</v>
      </c>
      <c r="G120">
        <v>1.0246999999999999</v>
      </c>
      <c r="L120" t="s">
        <v>7</v>
      </c>
      <c r="M120" t="s">
        <v>8</v>
      </c>
      <c r="N120" t="s">
        <v>8</v>
      </c>
      <c r="P120">
        <f t="shared" ref="P120" si="575">IF(C120=D120,0,((E120-D120)-(C120-E120))/(C120-D120))</f>
        <v>-4.592592592592909E-2</v>
      </c>
      <c r="Q120">
        <f t="shared" ref="Q120" si="576">F120*P120</f>
        <v>-135082.61481482413</v>
      </c>
      <c r="R120">
        <f t="shared" ref="R120" si="577">R121+Q120</f>
        <v>-81347466.710418493</v>
      </c>
      <c r="S120">
        <f t="shared" ref="S120" si="578">R120/100000</f>
        <v>-813.47466710418496</v>
      </c>
      <c r="T120">
        <f t="shared" ref="T120" si="579">S120/1000</f>
        <v>-0.81347466710418492</v>
      </c>
    </row>
    <row r="121" spans="1:20" x14ac:dyDescent="0.25">
      <c r="A121" s="5">
        <v>44472</v>
      </c>
      <c r="B121">
        <v>1.0406</v>
      </c>
      <c r="C121">
        <v>1.0690999999999999</v>
      </c>
      <c r="D121">
        <v>1.014</v>
      </c>
      <c r="E121">
        <v>1.0529999999999999</v>
      </c>
      <c r="F121">
        <v>1756864</v>
      </c>
      <c r="G121">
        <v>1.0529999999999999</v>
      </c>
      <c r="L121" t="s">
        <v>7</v>
      </c>
      <c r="M121" t="s">
        <v>8</v>
      </c>
      <c r="N121" t="s">
        <v>8</v>
      </c>
      <c r="P121">
        <f t="shared" ref="P121" si="580">IF(C121=D121,0,((E121-D121)-(C121-E121))/(C121-D121))</f>
        <v>0.41560798548094285</v>
      </c>
      <c r="Q121">
        <f t="shared" ref="Q121" si="581">F121*P121</f>
        <v>730166.70780399116</v>
      </c>
      <c r="R121">
        <f t="shared" ref="R121" si="582">R122+Q121</f>
        <v>-81212384.095603675</v>
      </c>
      <c r="S121">
        <f t="shared" ref="S121" si="583">R121/100000</f>
        <v>-812.1238409560367</v>
      </c>
      <c r="T121">
        <f t="shared" ref="T121" si="584">S121/1000</f>
        <v>-0.81212384095603674</v>
      </c>
    </row>
    <row r="122" spans="1:20" x14ac:dyDescent="0.25">
      <c r="A122" s="5">
        <v>44471</v>
      </c>
      <c r="B122">
        <v>1.0327999999999999</v>
      </c>
      <c r="C122">
        <v>1.073</v>
      </c>
      <c r="D122">
        <v>1.01</v>
      </c>
      <c r="E122">
        <v>1.0406</v>
      </c>
      <c r="F122">
        <v>1770632</v>
      </c>
      <c r="G122">
        <v>1.0406</v>
      </c>
      <c r="L122" t="s">
        <v>7</v>
      </c>
      <c r="M122" t="s">
        <v>8</v>
      </c>
      <c r="N122" t="s">
        <v>8</v>
      </c>
      <c r="P122">
        <f t="shared" ref="P122" si="585">IF(C122=D122,0,((E122-D122)-(C122-E122))/(C122-D122))</f>
        <v>-2.8571428571428973E-2</v>
      </c>
      <c r="Q122">
        <f t="shared" ref="Q122" si="586">F122*P122</f>
        <v>-50589.485714286428</v>
      </c>
      <c r="R122">
        <f t="shared" ref="R122" si="587">R123+Q122</f>
        <v>-81942550.803407669</v>
      </c>
      <c r="S122">
        <f t="shared" ref="S122" si="588">R122/100000</f>
        <v>-819.42550803407664</v>
      </c>
      <c r="T122">
        <f t="shared" ref="T122" si="589">S122/1000</f>
        <v>-0.81942550803407666</v>
      </c>
    </row>
    <row r="123" spans="1:20" x14ac:dyDescent="0.25">
      <c r="A123" s="5">
        <v>44470</v>
      </c>
      <c r="B123">
        <v>0.90210000000000001</v>
      </c>
      <c r="C123">
        <v>1.1111</v>
      </c>
      <c r="D123">
        <v>0.89870000000000005</v>
      </c>
      <c r="E123">
        <v>1.0333000000000001</v>
      </c>
      <c r="F123">
        <v>6631623</v>
      </c>
      <c r="G123">
        <v>1.0333000000000001</v>
      </c>
      <c r="L123" t="s">
        <v>8</v>
      </c>
      <c r="M123" t="s">
        <v>8</v>
      </c>
      <c r="N123" t="s">
        <v>8</v>
      </c>
      <c r="P123">
        <f t="shared" ref="P123" si="590">IF(C123=D123,0,((E123-D123)-(C123-E123))/(C123-D123))</f>
        <v>0.26741996233521753</v>
      </c>
      <c r="Q123">
        <f t="shared" ref="Q123" si="591">F123*P123</f>
        <v>1773428.3728813622</v>
      </c>
      <c r="R123">
        <f t="shared" ref="R123" si="592">R124+Q123</f>
        <v>-81891961.317693383</v>
      </c>
      <c r="S123">
        <f t="shared" ref="S123" si="593">R123/100000</f>
        <v>-818.91961317693381</v>
      </c>
      <c r="T123">
        <f t="shared" ref="T123" si="594">S123/1000</f>
        <v>-0.81891961317693385</v>
      </c>
    </row>
    <row r="124" spans="1:20" x14ac:dyDescent="0.25">
      <c r="A124" s="5">
        <v>44469</v>
      </c>
      <c r="B124">
        <v>0.91620000000000001</v>
      </c>
      <c r="C124">
        <v>0.94240000000000002</v>
      </c>
      <c r="D124">
        <v>0.87509999999999999</v>
      </c>
      <c r="E124">
        <v>0.90190000000000003</v>
      </c>
      <c r="F124">
        <v>3208111</v>
      </c>
      <c r="G124">
        <v>0.90190000000000003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-0.20356612184249523</v>
      </c>
      <c r="Q124">
        <f t="shared" ref="Q124" si="596">F124*P124</f>
        <v>-653062.71471024922</v>
      </c>
      <c r="R124">
        <f t="shared" ref="R124" si="597">R125+Q124</f>
        <v>-83665389.69057475</v>
      </c>
      <c r="S124">
        <f t="shared" ref="S124" si="598">R124/100000</f>
        <v>-836.6538969057475</v>
      </c>
      <c r="T124">
        <f t="shared" ref="T124" si="599">S124/1000</f>
        <v>-0.83665389690574754</v>
      </c>
    </row>
    <row r="125" spans="1:20" x14ac:dyDescent="0.25">
      <c r="A125" s="5">
        <v>44468</v>
      </c>
      <c r="B125">
        <v>0.92290000000000005</v>
      </c>
      <c r="C125">
        <v>0.94279999999999997</v>
      </c>
      <c r="D125">
        <v>0.76670000000000005</v>
      </c>
      <c r="E125">
        <v>0.91279999999999994</v>
      </c>
      <c r="F125">
        <v>4808439</v>
      </c>
      <c r="G125">
        <v>0.91279999999999994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0.65928449744463324</v>
      </c>
      <c r="Q125">
        <f t="shared" ref="Q125" si="601">F125*P125</f>
        <v>3170129.2896081749</v>
      </c>
      <c r="R125">
        <f t="shared" ref="R125" si="602">R126+Q125</f>
        <v>-83012326.9758645</v>
      </c>
      <c r="S125">
        <f t="shared" ref="S125" si="603">R125/100000</f>
        <v>-830.12326975864505</v>
      </c>
      <c r="T125">
        <f t="shared" ref="T125" si="604">S125/1000</f>
        <v>-0.83012326975864503</v>
      </c>
    </row>
    <row r="126" spans="1:20" x14ac:dyDescent="0.25">
      <c r="A126" s="5">
        <v>44467</v>
      </c>
      <c r="B126">
        <v>0.997</v>
      </c>
      <c r="C126">
        <v>1.0932999999999999</v>
      </c>
      <c r="D126">
        <v>0.91810000000000003</v>
      </c>
      <c r="E126">
        <v>0.9244</v>
      </c>
      <c r="F126">
        <v>6394027</v>
      </c>
      <c r="G126">
        <v>0.9244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-0.92808219178082219</v>
      </c>
      <c r="Q126">
        <f t="shared" ref="Q126" si="606">F126*P126</f>
        <v>-5934182.5924657555</v>
      </c>
      <c r="R126">
        <f t="shared" ref="R126" si="607">R127+Q126</f>
        <v>-86182456.26547268</v>
      </c>
      <c r="S126">
        <f t="shared" ref="S126" si="608">R126/100000</f>
        <v>-861.82456265472683</v>
      </c>
      <c r="T126">
        <f t="shared" ref="T126" si="609">S126/1000</f>
        <v>-0.86182456265472684</v>
      </c>
    </row>
    <row r="127" spans="1:20" x14ac:dyDescent="0.25">
      <c r="A127" s="5">
        <v>44466</v>
      </c>
      <c r="B127">
        <v>1.1068</v>
      </c>
      <c r="C127">
        <v>1.1695</v>
      </c>
      <c r="D127">
        <v>0.97619999999999996</v>
      </c>
      <c r="E127">
        <v>0.99909999999999999</v>
      </c>
      <c r="F127">
        <v>10651256</v>
      </c>
      <c r="G127">
        <v>0.99909999999999999</v>
      </c>
      <c r="L127" t="s">
        <v>7</v>
      </c>
      <c r="M127" t="s">
        <v>8</v>
      </c>
      <c r="N127" t="s">
        <v>7</v>
      </c>
      <c r="P127">
        <f t="shared" ref="P127" si="610">IF(C127=D127,0,((E127-D127)-(C127-E127))/(C127-D127))</f>
        <v>-0.76306259699948242</v>
      </c>
      <c r="Q127">
        <f t="shared" ref="Q127" si="611">F127*P127</f>
        <v>-8127575.0646663187</v>
      </c>
      <c r="R127">
        <f t="shared" ref="R127" si="612">R128+Q127</f>
        <v>-80248273.673006922</v>
      </c>
      <c r="S127">
        <f t="shared" ref="S127" si="613">R127/100000</f>
        <v>-802.48273673006918</v>
      </c>
      <c r="T127">
        <f t="shared" ref="T127" si="614">S127/1000</f>
        <v>-0.8024827367300692</v>
      </c>
    </row>
    <row r="128" spans="1:20" x14ac:dyDescent="0.25">
      <c r="A128" s="5">
        <v>44465</v>
      </c>
      <c r="B128">
        <v>0.8609</v>
      </c>
      <c r="C128">
        <v>1.4650000000000001</v>
      </c>
      <c r="D128">
        <v>0.78249999999999997</v>
      </c>
      <c r="E128">
        <v>1.1051</v>
      </c>
      <c r="F128">
        <v>25442077</v>
      </c>
      <c r="G128">
        <v>1.1051</v>
      </c>
      <c r="L128" t="s">
        <v>8</v>
      </c>
      <c r="M128" t="s">
        <v>7</v>
      </c>
      <c r="N128" t="s">
        <v>8</v>
      </c>
      <c r="P128">
        <f t="shared" ref="P128" si="615">IF(C128=D128,0,((E128-D128)-(C128-E128))/(C128-D128))</f>
        <v>-5.4652014652014809E-2</v>
      </c>
      <c r="Q128">
        <f t="shared" ref="Q128" si="616">F128*P128</f>
        <v>-1390460.7649816889</v>
      </c>
      <c r="R128">
        <f t="shared" ref="R128" si="617">R129+Q128</f>
        <v>-72120698.608340606</v>
      </c>
      <c r="S128">
        <f t="shared" ref="S128" si="618">R128/100000</f>
        <v>-721.20698608340604</v>
      </c>
      <c r="T128">
        <f t="shared" ref="T128" si="619">S128/1000</f>
        <v>-0.72120698608340605</v>
      </c>
    </row>
    <row r="129" spans="1:20" x14ac:dyDescent="0.25">
      <c r="A129" s="5">
        <v>44464</v>
      </c>
      <c r="B129">
        <v>0.873</v>
      </c>
      <c r="C129">
        <v>0.92559999999999998</v>
      </c>
      <c r="D129">
        <v>0.8548</v>
      </c>
      <c r="E129">
        <v>0.86070000000000002</v>
      </c>
      <c r="F129">
        <v>1369133</v>
      </c>
      <c r="G129">
        <v>0.86070000000000002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-0.83333333333333282</v>
      </c>
      <c r="Q129">
        <f t="shared" ref="Q129" si="621">F129*P129</f>
        <v>-1140944.166666666</v>
      </c>
      <c r="R129">
        <f t="shared" ref="R129" si="622">R130+Q129</f>
        <v>-70730237.843358919</v>
      </c>
      <c r="S129">
        <f t="shared" ref="S129" si="623">R129/100000</f>
        <v>-707.30237843358918</v>
      </c>
      <c r="T129">
        <f t="shared" ref="T129" si="624">S129/1000</f>
        <v>-0.70730237843358923</v>
      </c>
    </row>
    <row r="130" spans="1:20" x14ac:dyDescent="0.25">
      <c r="A130" s="5">
        <v>44463</v>
      </c>
      <c r="B130">
        <v>0.95960000000000001</v>
      </c>
      <c r="C130">
        <v>0.99039999999999995</v>
      </c>
      <c r="D130">
        <v>0.80200000000000005</v>
      </c>
      <c r="E130">
        <v>0.87290000000000001</v>
      </c>
      <c r="F130">
        <v>1879479</v>
      </c>
      <c r="G130">
        <v>0.87290000000000001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-0.24734607218683652</v>
      </c>
      <c r="Q130">
        <f t="shared" ref="Q130" si="626">F130*P130</f>
        <v>-464881.74840764329</v>
      </c>
      <c r="R130">
        <f t="shared" ref="R130" si="627">R131+Q130</f>
        <v>-69589293.676692247</v>
      </c>
      <c r="S130">
        <f t="shared" ref="S130" si="628">R130/100000</f>
        <v>-695.8929367669225</v>
      </c>
      <c r="T130">
        <f t="shared" ref="T130" si="629">S130/1000</f>
        <v>-0.69589293676692254</v>
      </c>
    </row>
    <row r="131" spans="1:20" x14ac:dyDescent="0.25">
      <c r="A131" s="5">
        <v>44462</v>
      </c>
      <c r="B131">
        <v>0.93689999999999996</v>
      </c>
      <c r="C131">
        <v>1.0228999999999999</v>
      </c>
      <c r="D131">
        <v>0.9214</v>
      </c>
      <c r="E131">
        <v>0.9597</v>
      </c>
      <c r="F131">
        <v>1972220</v>
      </c>
      <c r="G131">
        <v>0.9597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-0.24532019704433439</v>
      </c>
      <c r="Q131">
        <f t="shared" ref="Q131" si="631">F131*P131</f>
        <v>-483825.39901477715</v>
      </c>
      <c r="R131">
        <f t="shared" ref="R131" si="632">R132+Q131</f>
        <v>-69124411.9282846</v>
      </c>
      <c r="S131">
        <f t="shared" ref="S131" si="633">R131/100000</f>
        <v>-691.24411928284599</v>
      </c>
      <c r="T131">
        <f t="shared" ref="T131" si="634">S131/1000</f>
        <v>-0.69124411928284601</v>
      </c>
    </row>
    <row r="132" spans="1:20" x14ac:dyDescent="0.25">
      <c r="A132" s="5">
        <v>44461</v>
      </c>
      <c r="B132">
        <v>0.8458</v>
      </c>
      <c r="C132">
        <v>0.98980000000000001</v>
      </c>
      <c r="D132">
        <v>0.8306</v>
      </c>
      <c r="E132">
        <v>0.93400000000000005</v>
      </c>
      <c r="F132">
        <v>2414347</v>
      </c>
      <c r="G132">
        <v>0.93400000000000005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0.29899497487437238</v>
      </c>
      <c r="Q132">
        <f t="shared" ref="Q132" si="636">F132*P132</f>
        <v>721877.62060301634</v>
      </c>
      <c r="R132">
        <f t="shared" ref="R132" si="637">R133+Q132</f>
        <v>-68640586.529269829</v>
      </c>
      <c r="S132">
        <f t="shared" ref="S132" si="638">R132/100000</f>
        <v>-686.40586529269831</v>
      </c>
      <c r="T132">
        <f t="shared" ref="T132" si="639">S132/1000</f>
        <v>-0.68640586529269831</v>
      </c>
    </row>
    <row r="133" spans="1:20" x14ac:dyDescent="0.25">
      <c r="A133" s="5">
        <v>44460</v>
      </c>
      <c r="B133">
        <v>0.99729999999999996</v>
      </c>
      <c r="C133">
        <v>1.07</v>
      </c>
      <c r="D133">
        <v>0.7964</v>
      </c>
      <c r="E133">
        <v>0.84370000000000001</v>
      </c>
      <c r="F133">
        <v>3777038.3</v>
      </c>
      <c r="G133">
        <v>0.84370000000000001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-0.6542397660818714</v>
      </c>
      <c r="Q133">
        <f t="shared" ref="Q133" si="641">F133*P133</f>
        <v>-2471088.6538742692</v>
      </c>
      <c r="R133">
        <f t="shared" ref="R133" si="642">R134+Q133</f>
        <v>-69362464.149872839</v>
      </c>
      <c r="S133">
        <f t="shared" ref="S133" si="643">R133/100000</f>
        <v>-693.62464149872835</v>
      </c>
      <c r="T133">
        <f t="shared" ref="T133" si="644">S133/1000</f>
        <v>-0.69362464149872838</v>
      </c>
    </row>
    <row r="134" spans="1:20" x14ac:dyDescent="0.25">
      <c r="A134" s="5">
        <v>44459</v>
      </c>
      <c r="B134">
        <v>1.1467000000000001</v>
      </c>
      <c r="C134">
        <v>1.1494</v>
      </c>
      <c r="D134">
        <v>1.0146999999999999</v>
      </c>
      <c r="E134">
        <v>1.0221</v>
      </c>
      <c r="F134">
        <v>1245084</v>
      </c>
      <c r="G134">
        <v>1.0221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-0.89012620638455719</v>
      </c>
      <c r="Q134">
        <f t="shared" ref="Q134" si="646">F134*P134</f>
        <v>-1108281.89755011</v>
      </c>
      <c r="R134">
        <f t="shared" ref="R134" si="647">R135+Q134</f>
        <v>-66891375.495998569</v>
      </c>
      <c r="S134">
        <f t="shared" ref="S134" si="648">R134/100000</f>
        <v>-668.91375495998568</v>
      </c>
      <c r="T134">
        <f t="shared" ref="T134" si="649">S134/1000</f>
        <v>-0.66891375495998573</v>
      </c>
    </row>
    <row r="135" spans="1:20" x14ac:dyDescent="0.25">
      <c r="A135" s="5">
        <v>44458</v>
      </c>
      <c r="B135">
        <v>1.143</v>
      </c>
      <c r="C135">
        <v>1.3725000000000001</v>
      </c>
      <c r="D135">
        <v>1.1180000000000001</v>
      </c>
      <c r="E135">
        <v>1.1471</v>
      </c>
      <c r="F135">
        <v>6289631</v>
      </c>
      <c r="G135">
        <v>1.1471</v>
      </c>
      <c r="L135" t="s">
        <v>8</v>
      </c>
      <c r="M135" t="s">
        <v>8</v>
      </c>
      <c r="N135" t="s">
        <v>7</v>
      </c>
      <c r="P135">
        <f t="shared" ref="P135" si="650">IF(C135=D135,0,((E135-D135)-(C135-E135))/(C135-D135))</f>
        <v>-0.77131630648330129</v>
      </c>
      <c r="Q135">
        <f t="shared" ref="Q135" si="651">F135*P135</f>
        <v>-4851294.9520628732</v>
      </c>
      <c r="R135">
        <f t="shared" ref="R135" si="652">R136+Q135</f>
        <v>-65783093.598448455</v>
      </c>
      <c r="S135">
        <f t="shared" ref="S135" si="653">R135/100000</f>
        <v>-657.83093598448454</v>
      </c>
      <c r="T135">
        <f t="shared" ref="T135" si="654">S135/1000</f>
        <v>-0.6578309359844845</v>
      </c>
    </row>
    <row r="136" spans="1:20" x14ac:dyDescent="0.25">
      <c r="A136" s="5">
        <v>44457</v>
      </c>
      <c r="B136">
        <v>1.1415999999999999</v>
      </c>
      <c r="C136">
        <v>1.2487999999999999</v>
      </c>
      <c r="D136">
        <v>1.1200000000000001</v>
      </c>
      <c r="E136">
        <v>1.143</v>
      </c>
      <c r="F136">
        <v>1904820</v>
      </c>
      <c r="G136">
        <v>1.143</v>
      </c>
      <c r="L136" t="s">
        <v>8</v>
      </c>
      <c r="M136" t="s">
        <v>7</v>
      </c>
      <c r="N136" t="s">
        <v>7</v>
      </c>
      <c r="P136">
        <f t="shared" ref="P136" si="655">IF(C136=D136,0,((E136-D136)-(C136-E136))/(C136-D136))</f>
        <v>-0.64285714285714368</v>
      </c>
      <c r="Q136">
        <f t="shared" ref="Q136" si="656">F136*P136</f>
        <v>-1224527.1428571444</v>
      </c>
      <c r="R136">
        <f t="shared" ref="R136" si="657">R137+Q136</f>
        <v>-60931798.64638558</v>
      </c>
      <c r="S136">
        <f t="shared" ref="S136" si="658">R136/100000</f>
        <v>-609.31798646385585</v>
      </c>
      <c r="T136">
        <f t="shared" ref="T136" si="659">S136/1000</f>
        <v>-0.60931798646385582</v>
      </c>
    </row>
    <row r="137" spans="1:20" x14ac:dyDescent="0.25">
      <c r="A137" s="5">
        <v>44456</v>
      </c>
      <c r="B137">
        <v>1.1488</v>
      </c>
      <c r="C137">
        <v>1.3694</v>
      </c>
      <c r="D137">
        <v>1.0934999999999999</v>
      </c>
      <c r="E137">
        <v>1.1429</v>
      </c>
      <c r="F137">
        <v>3925726</v>
      </c>
      <c r="G137">
        <v>1.1429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-0.64189923885465672</v>
      </c>
      <c r="Q137">
        <f t="shared" ref="Q137" si="661">F137*P137</f>
        <v>-2519920.531351936</v>
      </c>
      <c r="R137">
        <f t="shared" ref="R137" si="662">R138+Q137</f>
        <v>-59707271.503528439</v>
      </c>
      <c r="S137">
        <f t="shared" ref="S137" si="663">R137/100000</f>
        <v>-597.07271503528443</v>
      </c>
      <c r="T137">
        <f t="shared" ref="T137" si="664">S137/1000</f>
        <v>-0.59707271503528447</v>
      </c>
    </row>
    <row r="138" spans="1:20" x14ac:dyDescent="0.25">
      <c r="A138" s="5">
        <v>44455</v>
      </c>
      <c r="B138">
        <v>1.1875</v>
      </c>
      <c r="C138">
        <v>1.2122999999999999</v>
      </c>
      <c r="D138">
        <v>1.1428</v>
      </c>
      <c r="E138">
        <v>1.1479999999999999</v>
      </c>
      <c r="F138">
        <v>1830173</v>
      </c>
      <c r="G138">
        <v>1.1479999999999999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-0.85035971223021933</v>
      </c>
      <c r="Q138">
        <f t="shared" ref="Q138" si="666">F138*P138</f>
        <v>-1556305.3856115171</v>
      </c>
      <c r="R138">
        <f t="shared" ref="R138" si="667">R139+Q138</f>
        <v>-57187350.9721765</v>
      </c>
      <c r="S138">
        <f t="shared" ref="S138" si="668">R138/100000</f>
        <v>-571.873509721765</v>
      </c>
      <c r="T138">
        <f t="shared" ref="T138" si="669">S138/1000</f>
        <v>-0.57187350972176498</v>
      </c>
    </row>
    <row r="139" spans="1:20" x14ac:dyDescent="0.25">
      <c r="A139" s="5">
        <v>44454</v>
      </c>
      <c r="B139">
        <v>1.1644000000000001</v>
      </c>
      <c r="C139">
        <v>1.2130000000000001</v>
      </c>
      <c r="D139">
        <v>1.1599999999999999</v>
      </c>
      <c r="E139">
        <v>1.1887000000000001</v>
      </c>
      <c r="F139">
        <v>1340196</v>
      </c>
      <c r="G139">
        <v>1.1887000000000001</v>
      </c>
      <c r="L139" t="s">
        <v>7</v>
      </c>
      <c r="M139" t="s">
        <v>7</v>
      </c>
      <c r="N139" t="s">
        <v>7</v>
      </c>
      <c r="P139">
        <f t="shared" ref="P139" si="670">IF(C139=D139,0,((E139-D139)-(C139-E139))/(C139-D139))</f>
        <v>8.3018867924531475E-2</v>
      </c>
      <c r="Q139">
        <f t="shared" ref="Q139" si="671">F139*P139</f>
        <v>111261.55471698538</v>
      </c>
      <c r="R139">
        <f t="shared" ref="R139" si="672">R140+Q139</f>
        <v>-55631045.58656498</v>
      </c>
      <c r="S139">
        <f t="shared" ref="S139" si="673">R139/100000</f>
        <v>-556.31045586564983</v>
      </c>
      <c r="T139">
        <f t="shared" ref="T139" si="674">S139/1000</f>
        <v>-0.55631045586564987</v>
      </c>
    </row>
    <row r="140" spans="1:20" x14ac:dyDescent="0.25">
      <c r="A140" s="5">
        <v>44453</v>
      </c>
      <c r="B140">
        <v>1.1065</v>
      </c>
      <c r="C140">
        <v>1.25</v>
      </c>
      <c r="D140">
        <v>1.0960000000000001</v>
      </c>
      <c r="E140">
        <v>1.1627000000000001</v>
      </c>
      <c r="F140">
        <v>2988250</v>
      </c>
      <c r="G140">
        <v>1.1627000000000001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-0.13376623376623353</v>
      </c>
      <c r="Q140">
        <f t="shared" ref="Q140" si="676">F140*P140</f>
        <v>-399726.94805194734</v>
      </c>
      <c r="R140">
        <f t="shared" ref="R140" si="677">R141+Q140</f>
        <v>-55742307.141281962</v>
      </c>
      <c r="S140">
        <f t="shared" ref="S140" si="678">R140/100000</f>
        <v>-557.42307141281958</v>
      </c>
      <c r="T140">
        <f t="shared" ref="T140" si="679">S140/1000</f>
        <v>-0.55742307141281955</v>
      </c>
    </row>
    <row r="141" spans="1:20" x14ac:dyDescent="0.25">
      <c r="A141" s="5">
        <v>44452</v>
      </c>
      <c r="B141">
        <v>1.1971000000000001</v>
      </c>
      <c r="C141">
        <v>1.1978</v>
      </c>
      <c r="D141">
        <v>1.0797000000000001</v>
      </c>
      <c r="E141">
        <v>1.1075999999999999</v>
      </c>
      <c r="F141">
        <v>1555068</v>
      </c>
      <c r="G141">
        <v>1.1075999999999999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-0.52751905165114577</v>
      </c>
      <c r="Q141">
        <f t="shared" ref="Q141" si="681">F141*P141</f>
        <v>-820327.99661304394</v>
      </c>
      <c r="R141">
        <f t="shared" ref="R141" si="682">R142+Q141</f>
        <v>-55342580.193230018</v>
      </c>
      <c r="S141">
        <f t="shared" ref="S141" si="683">R141/100000</f>
        <v>-553.42580193230015</v>
      </c>
      <c r="T141">
        <f t="shared" ref="T141" si="684">S141/1000</f>
        <v>-0.55342580193230018</v>
      </c>
    </row>
    <row r="142" spans="1:20" x14ac:dyDescent="0.25">
      <c r="A142" s="5">
        <v>44451</v>
      </c>
      <c r="B142">
        <v>1.1900999999999999</v>
      </c>
      <c r="C142">
        <v>1.27</v>
      </c>
      <c r="D142">
        <v>1.175</v>
      </c>
      <c r="E142">
        <v>1.1964999999999999</v>
      </c>
      <c r="F142">
        <v>1412621</v>
      </c>
      <c r="G142">
        <v>1.1964999999999999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-0.5473684210526345</v>
      </c>
      <c r="Q142">
        <f t="shared" ref="Q142" si="686">F142*P142</f>
        <v>-773224.1263157936</v>
      </c>
      <c r="R142">
        <f t="shared" ref="R142" si="687">R143+Q142</f>
        <v>-54522252.196616977</v>
      </c>
      <c r="S142">
        <f t="shared" ref="S142" si="688">R142/100000</f>
        <v>-545.22252196616978</v>
      </c>
      <c r="T142">
        <f t="shared" ref="T142" si="689">S142/1000</f>
        <v>-0.54522252196616983</v>
      </c>
    </row>
    <row r="143" spans="1:20" x14ac:dyDescent="0.25">
      <c r="A143" s="5">
        <v>44450</v>
      </c>
      <c r="B143">
        <v>1.1499999999999999</v>
      </c>
      <c r="C143">
        <v>1.2749999999999999</v>
      </c>
      <c r="D143">
        <v>1.1068</v>
      </c>
      <c r="E143">
        <v>1.1900999999999999</v>
      </c>
      <c r="F143">
        <v>3246636</v>
      </c>
      <c r="G143">
        <v>1.1900999999999999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-9.5124851367422523E-3</v>
      </c>
      <c r="Q143">
        <f t="shared" ref="Q143" si="691">F143*P143</f>
        <v>-30883.576694412321</v>
      </c>
      <c r="R143">
        <f t="shared" ref="R143" si="692">R144+Q143</f>
        <v>-53749028.070301183</v>
      </c>
      <c r="S143">
        <f t="shared" ref="S143" si="693">R143/100000</f>
        <v>-537.49028070301188</v>
      </c>
      <c r="T143">
        <f t="shared" ref="T143" si="694">S143/1000</f>
        <v>-0.53749028070301186</v>
      </c>
    </row>
    <row r="144" spans="1:20" x14ac:dyDescent="0.25">
      <c r="A144" s="5">
        <v>44449</v>
      </c>
      <c r="B144">
        <v>1.2681</v>
      </c>
      <c r="C144">
        <v>1.2826</v>
      </c>
      <c r="D144">
        <v>1.0649999999999999</v>
      </c>
      <c r="E144">
        <v>1.1499999999999999</v>
      </c>
      <c r="F144">
        <v>3068312</v>
      </c>
      <c r="G144">
        <v>1.1499999999999999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-0.21875000000000039</v>
      </c>
      <c r="Q144">
        <f t="shared" ref="Q144" si="696">F144*P144</f>
        <v>-671193.25000000116</v>
      </c>
      <c r="R144">
        <f t="shared" ref="R144" si="697">R145+Q144</f>
        <v>-53718144.493606769</v>
      </c>
      <c r="S144">
        <f t="shared" ref="S144" si="698">R144/100000</f>
        <v>-537.18144493606769</v>
      </c>
      <c r="T144">
        <f t="shared" ref="T144" si="699">S144/1000</f>
        <v>-0.53718144493606768</v>
      </c>
    </row>
    <row r="145" spans="1:20" x14ac:dyDescent="0.25">
      <c r="A145" s="5">
        <v>44448</v>
      </c>
      <c r="B145">
        <v>1.3972</v>
      </c>
      <c r="C145">
        <v>1.42</v>
      </c>
      <c r="D145">
        <v>1.2</v>
      </c>
      <c r="E145">
        <v>1.2635000000000001</v>
      </c>
      <c r="F145">
        <v>6086137</v>
      </c>
      <c r="G145">
        <v>1.2635000000000001</v>
      </c>
      <c r="L145" t="s">
        <v>7</v>
      </c>
      <c r="M145" t="s">
        <v>7</v>
      </c>
      <c r="N145" t="s">
        <v>7</v>
      </c>
      <c r="P145">
        <f t="shared" ref="P145" si="700">IF(C145=D145,0,((E145-D145)-(C145-E145))/(C145-D145))</f>
        <v>-0.42272727272727162</v>
      </c>
      <c r="Q145">
        <f t="shared" ref="Q145" si="701">F145*P145</f>
        <v>-2572776.0954545387</v>
      </c>
      <c r="R145">
        <f t="shared" ref="R145" si="702">R146+Q145</f>
        <v>-53046951.243606769</v>
      </c>
      <c r="S145">
        <f t="shared" ref="S145" si="703">R145/100000</f>
        <v>-530.4695124360677</v>
      </c>
      <c r="T145">
        <f t="shared" ref="T145" si="704">S145/1000</f>
        <v>-0.53046951243606766</v>
      </c>
    </row>
    <row r="146" spans="1:20" x14ac:dyDescent="0.25">
      <c r="A146" s="5">
        <v>44447</v>
      </c>
      <c r="B146">
        <v>1.0665</v>
      </c>
      <c r="C146">
        <v>1.7214</v>
      </c>
      <c r="D146">
        <v>0.99609999999999999</v>
      </c>
      <c r="E146">
        <v>1.3932</v>
      </c>
      <c r="F146">
        <v>21570455.960000001</v>
      </c>
      <c r="G146">
        <v>1.3932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9.4995174410588662E-2</v>
      </c>
      <c r="Q146">
        <f t="shared" ref="Q146" si="706">F146*P146</f>
        <v>2049089.2260361218</v>
      </c>
      <c r="R146">
        <f t="shared" ref="R146" si="707">R147+Q146</f>
        <v>-50474175.148152232</v>
      </c>
      <c r="S146">
        <f t="shared" ref="S146" si="708">R146/100000</f>
        <v>-504.74175148152233</v>
      </c>
      <c r="T146">
        <f t="shared" ref="T146" si="709">S146/1000</f>
        <v>-0.50474175148152234</v>
      </c>
    </row>
    <row r="147" spans="1:20" x14ac:dyDescent="0.25">
      <c r="A147" s="5">
        <v>44446</v>
      </c>
      <c r="B147">
        <v>1.2675000000000001</v>
      </c>
      <c r="C147">
        <v>1.39</v>
      </c>
      <c r="D147">
        <v>0.95</v>
      </c>
      <c r="E147">
        <v>1.0661</v>
      </c>
      <c r="F147">
        <v>4540007.3</v>
      </c>
      <c r="G147">
        <v>1.0661</v>
      </c>
      <c r="L147" t="s">
        <v>8</v>
      </c>
      <c r="M147" t="s">
        <v>7</v>
      </c>
      <c r="N147" t="s">
        <v>7</v>
      </c>
      <c r="P147">
        <f t="shared" ref="P147" si="710">IF(C147=D147,0,((E147-D147)-(C147-E147))/(C147-D147))</f>
        <v>-0.47227272727272679</v>
      </c>
      <c r="Q147">
        <f t="shared" ref="Q147" si="711">F147*P147</f>
        <v>-2144121.6294090888</v>
      </c>
      <c r="R147">
        <f t="shared" ref="R147" si="712">R148+Q147</f>
        <v>-52523264.374188356</v>
      </c>
      <c r="S147">
        <f t="shared" ref="S147" si="713">R147/100000</f>
        <v>-525.23264374188352</v>
      </c>
      <c r="T147">
        <f t="shared" ref="T147" si="714">S147/1000</f>
        <v>-0.5252326437418835</v>
      </c>
    </row>
    <row r="148" spans="1:20" x14ac:dyDescent="0.25">
      <c r="A148" s="5">
        <v>44445</v>
      </c>
      <c r="B148">
        <v>1.2089000000000001</v>
      </c>
      <c r="C148">
        <v>1.2997000000000001</v>
      </c>
      <c r="D148">
        <v>1.1980999999999999</v>
      </c>
      <c r="E148">
        <v>1.2672000000000001</v>
      </c>
      <c r="F148">
        <v>2071566</v>
      </c>
      <c r="G148">
        <v>1.2672000000000001</v>
      </c>
      <c r="L148" t="s">
        <v>8</v>
      </c>
      <c r="M148" t="s">
        <v>7</v>
      </c>
      <c r="N148" t="s">
        <v>8</v>
      </c>
      <c r="P148">
        <f t="shared" ref="P148" si="715">IF(C148=D148,0,((E148-D148)-(C148-E148))/(C148-D148))</f>
        <v>0.3602362204724423</v>
      </c>
      <c r="Q148">
        <f t="shared" ref="Q148" si="716">F148*P148</f>
        <v>746253.10629921546</v>
      </c>
      <c r="R148">
        <f t="shared" ref="R148" si="717">R149+Q148</f>
        <v>-50379142.744779266</v>
      </c>
      <c r="S148">
        <f t="shared" ref="S148" si="718">R148/100000</f>
        <v>-503.79142744779267</v>
      </c>
      <c r="T148">
        <f t="shared" ref="T148" si="719">S148/1000</f>
        <v>-0.50379142744779271</v>
      </c>
    </row>
    <row r="149" spans="1:20" x14ac:dyDescent="0.25">
      <c r="A149" s="5">
        <v>44444</v>
      </c>
      <c r="B149">
        <v>1.2105999999999999</v>
      </c>
      <c r="C149">
        <v>1.2450000000000001</v>
      </c>
      <c r="D149">
        <v>1.1628000000000001</v>
      </c>
      <c r="E149">
        <v>1.2101</v>
      </c>
      <c r="F149">
        <v>2029876</v>
      </c>
      <c r="G149">
        <v>1.2101</v>
      </c>
      <c r="L149" t="s">
        <v>7</v>
      </c>
      <c r="M149" t="s">
        <v>7</v>
      </c>
      <c r="N149" t="s">
        <v>8</v>
      </c>
      <c r="P149">
        <f t="shared" ref="P149" si="720">IF(C149=D149,0,((E149-D149)-(C149-E149))/(C149-D149))</f>
        <v>0.15085158150851261</v>
      </c>
      <c r="Q149">
        <f t="shared" ref="Q149" si="721">F149*P149</f>
        <v>306210.00486617355</v>
      </c>
      <c r="R149">
        <f t="shared" ref="R149" si="722">R150+Q149</f>
        <v>-51125395.85107848</v>
      </c>
      <c r="S149">
        <f t="shared" ref="S149" si="723">R149/100000</f>
        <v>-511.2539585107848</v>
      </c>
      <c r="T149">
        <f t="shared" ref="T149" si="724">S149/1000</f>
        <v>-0.51125395851078481</v>
      </c>
    </row>
    <row r="150" spans="1:20" x14ac:dyDescent="0.25">
      <c r="A150" s="5">
        <v>44443</v>
      </c>
      <c r="B150">
        <v>1.2176</v>
      </c>
      <c r="C150">
        <v>1.2739</v>
      </c>
      <c r="D150">
        <v>1.202</v>
      </c>
      <c r="E150">
        <v>1.2062999999999999</v>
      </c>
      <c r="F150">
        <v>2166637</v>
      </c>
      <c r="G150">
        <v>1.2062999999999999</v>
      </c>
      <c r="L150" t="s">
        <v>7</v>
      </c>
      <c r="M150" t="s">
        <v>7</v>
      </c>
      <c r="N150" t="s">
        <v>8</v>
      </c>
      <c r="P150">
        <f t="shared" ref="P150" si="725">IF(C150=D150,0,((E150-D150)-(C150-E150))/(C150-D150))</f>
        <v>-0.88038942976356149</v>
      </c>
      <c r="Q150">
        <f t="shared" ref="Q150" si="726">F150*P150</f>
        <v>-1907484.3129346336</v>
      </c>
      <c r="R150">
        <f t="shared" ref="R150" si="727">R151+Q150</f>
        <v>-51431605.855944656</v>
      </c>
      <c r="S150">
        <f t="shared" ref="S150" si="728">R150/100000</f>
        <v>-514.31605855944656</v>
      </c>
      <c r="T150">
        <f t="shared" ref="T150" si="729">S150/1000</f>
        <v>-0.51431605855944651</v>
      </c>
    </row>
    <row r="151" spans="1:20" x14ac:dyDescent="0.25">
      <c r="A151" s="5">
        <v>44442</v>
      </c>
      <c r="B151">
        <v>1.2662</v>
      </c>
      <c r="C151">
        <v>1.5349999999999999</v>
      </c>
      <c r="D151">
        <v>1.2000999999999999</v>
      </c>
      <c r="E151">
        <v>1.2225999999999999</v>
      </c>
      <c r="F151">
        <v>7965295</v>
      </c>
      <c r="G151">
        <v>1.2225999999999999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-0.86563153180053765</v>
      </c>
      <c r="Q151">
        <f t="shared" ref="Q151" si="731">F151*P151</f>
        <v>-6895010.5120931631</v>
      </c>
      <c r="R151">
        <f t="shared" ref="R151" si="732">R152+Q151</f>
        <v>-49524121.543010019</v>
      </c>
      <c r="S151">
        <f t="shared" ref="S151" si="733">R151/100000</f>
        <v>-495.24121543010017</v>
      </c>
      <c r="T151">
        <f t="shared" ref="T151" si="734">S151/1000</f>
        <v>-0.49524121543010019</v>
      </c>
    </row>
    <row r="152" spans="1:20" x14ac:dyDescent="0.25">
      <c r="A152" s="5">
        <v>44441</v>
      </c>
      <c r="B152">
        <v>1.1328</v>
      </c>
      <c r="C152">
        <v>1.5840000000000001</v>
      </c>
      <c r="D152">
        <v>1.1167</v>
      </c>
      <c r="E152">
        <v>1.2665999999999999</v>
      </c>
      <c r="F152">
        <v>12533467.199999999</v>
      </c>
      <c r="G152">
        <v>1.2665999999999999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-0.35844211427348638</v>
      </c>
      <c r="Q152">
        <f t="shared" ref="Q152" si="736">F152*P152</f>
        <v>-4492522.4823453929</v>
      </c>
      <c r="R152">
        <f t="shared" ref="R152" si="737">R153+Q152</f>
        <v>-42629111.030916855</v>
      </c>
      <c r="S152">
        <f t="shared" ref="S152" si="738">R152/100000</f>
        <v>-426.29111030916857</v>
      </c>
      <c r="T152">
        <f t="shared" ref="T152" si="739">S152/1000</f>
        <v>-0.42629111030916855</v>
      </c>
    </row>
    <row r="153" spans="1:20" x14ac:dyDescent="0.25">
      <c r="A153" s="5">
        <v>44440</v>
      </c>
      <c r="B153">
        <v>1.095</v>
      </c>
      <c r="C153">
        <v>1.135</v>
      </c>
      <c r="D153">
        <v>1.03</v>
      </c>
      <c r="E153">
        <v>1.1284000000000001</v>
      </c>
      <c r="F153">
        <v>929965</v>
      </c>
      <c r="G153">
        <v>1.1284000000000001</v>
      </c>
      <c r="L153" t="s">
        <v>7</v>
      </c>
      <c r="M153" t="s">
        <v>7</v>
      </c>
      <c r="N153" t="s">
        <v>7</v>
      </c>
      <c r="P153">
        <f t="shared" ref="P153" si="740">IF(C153=D153,0,((E153-D153)-(C153-E153))/(C153-D153))</f>
        <v>0.87428571428571544</v>
      </c>
      <c r="Q153">
        <f t="shared" ref="Q153" si="741">F153*P153</f>
        <v>813055.11428571539</v>
      </c>
      <c r="R153">
        <f t="shared" ref="R153" si="742">R154+Q153</f>
        <v>-38136588.54857146</v>
      </c>
      <c r="S153">
        <f t="shared" ref="S153" si="743">R153/100000</f>
        <v>-381.36588548571461</v>
      </c>
      <c r="T153">
        <f t="shared" ref="T153" si="744">S153/1000</f>
        <v>-0.3813658854857146</v>
      </c>
    </row>
    <row r="154" spans="1:20" x14ac:dyDescent="0.25">
      <c r="A154" s="5">
        <v>44439</v>
      </c>
      <c r="B154">
        <v>1.0430999999999999</v>
      </c>
      <c r="C154">
        <v>1.1369</v>
      </c>
      <c r="D154">
        <v>1.0299</v>
      </c>
      <c r="E154">
        <v>1.0986</v>
      </c>
      <c r="F154">
        <v>1633578</v>
      </c>
      <c r="G154">
        <v>1.0986</v>
      </c>
      <c r="L154" t="s">
        <v>8</v>
      </c>
      <c r="M154" t="s">
        <v>7</v>
      </c>
      <c r="N154" t="s">
        <v>7</v>
      </c>
      <c r="P154">
        <f t="shared" ref="P154" si="745">IF(C154=D154,0,((E154-D154)-(C154-E154))/(C154-D154))</f>
        <v>0.28411214953271013</v>
      </c>
      <c r="Q154">
        <f t="shared" ref="Q154" si="746">F154*P154</f>
        <v>464119.35700934555</v>
      </c>
      <c r="R154">
        <f t="shared" ref="R154" si="747">R155+Q154</f>
        <v>-38949643.662857175</v>
      </c>
      <c r="S154">
        <f t="shared" ref="S154" si="748">R154/100000</f>
        <v>-389.49643662857176</v>
      </c>
      <c r="T154">
        <f t="shared" ref="T154" si="749">S154/1000</f>
        <v>-0.38949643662857175</v>
      </c>
    </row>
    <row r="155" spans="1:20" x14ac:dyDescent="0.25">
      <c r="A155" s="5">
        <v>44438</v>
      </c>
      <c r="B155">
        <v>1.107</v>
      </c>
      <c r="C155">
        <v>1.1081000000000001</v>
      </c>
      <c r="D155">
        <v>1.0358000000000001</v>
      </c>
      <c r="E155">
        <v>1.0441</v>
      </c>
      <c r="F155">
        <v>1041793</v>
      </c>
      <c r="G155">
        <v>1.0441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-0.77040110650069238</v>
      </c>
      <c r="Q155">
        <f t="shared" ref="Q155" si="751">F155*P155</f>
        <v>-802598.47994467581</v>
      </c>
      <c r="R155">
        <f t="shared" ref="R155" si="752">R156+Q155</f>
        <v>-39413763.019866519</v>
      </c>
      <c r="S155">
        <f t="shared" ref="S155" si="753">R155/100000</f>
        <v>-394.13763019866519</v>
      </c>
      <c r="T155">
        <f t="shared" ref="T155" si="754">S155/1000</f>
        <v>-0.39413763019866521</v>
      </c>
    </row>
    <row r="156" spans="1:20" x14ac:dyDescent="0.25">
      <c r="A156" s="5">
        <v>44437</v>
      </c>
      <c r="B156">
        <v>1.1027</v>
      </c>
      <c r="C156">
        <v>1.1245000000000001</v>
      </c>
      <c r="D156">
        <v>1.0945</v>
      </c>
      <c r="E156">
        <v>1.107</v>
      </c>
      <c r="F156">
        <v>325312</v>
      </c>
      <c r="G156">
        <v>1.107</v>
      </c>
      <c r="L156" t="s">
        <v>8</v>
      </c>
      <c r="M156" t="s">
        <v>7</v>
      </c>
      <c r="N156" t="s">
        <v>7</v>
      </c>
      <c r="P156">
        <f t="shared" ref="P156" si="755">IF(C156=D156,0,((E156-D156)-(C156-E156))/(C156-D156))</f>
        <v>-0.16666666666667038</v>
      </c>
      <c r="Q156">
        <f t="shared" ref="Q156" si="756">F156*P156</f>
        <v>-54218.666666667872</v>
      </c>
      <c r="R156">
        <f t="shared" ref="R156" si="757">R157+Q156</f>
        <v>-38611164.539921843</v>
      </c>
      <c r="S156">
        <f t="shared" ref="S156" si="758">R156/100000</f>
        <v>-386.11164539921845</v>
      </c>
      <c r="T156">
        <f t="shared" ref="T156" si="759">S156/1000</f>
        <v>-0.38611164539921844</v>
      </c>
    </row>
    <row r="157" spans="1:20" x14ac:dyDescent="0.25">
      <c r="A157" s="5">
        <v>44436</v>
      </c>
      <c r="B157">
        <v>1.1198999999999999</v>
      </c>
      <c r="C157">
        <v>1.1416999999999999</v>
      </c>
      <c r="D157">
        <v>1.0906</v>
      </c>
      <c r="E157">
        <v>1.1027</v>
      </c>
      <c r="F157">
        <v>969260</v>
      </c>
      <c r="G157">
        <v>1.1027</v>
      </c>
      <c r="L157" t="s">
        <v>8</v>
      </c>
      <c r="M157" t="s">
        <v>7</v>
      </c>
      <c r="N157" t="s">
        <v>7</v>
      </c>
      <c r="P157">
        <f t="shared" ref="P157" si="760">IF(C157=D157,0,((E157-D157)-(C157-E157))/(C157-D157))</f>
        <v>-0.52641878669275854</v>
      </c>
      <c r="Q157">
        <f t="shared" ref="Q157" si="761">F157*P157</f>
        <v>-510236.67318982317</v>
      </c>
      <c r="R157">
        <f t="shared" ref="R157" si="762">R158+Q157</f>
        <v>-38556945.873255178</v>
      </c>
      <c r="S157">
        <f t="shared" ref="S157" si="763">R157/100000</f>
        <v>-385.56945873255177</v>
      </c>
      <c r="T157">
        <f t="shared" ref="T157" si="764">S157/1000</f>
        <v>-0.38556945873255177</v>
      </c>
    </row>
    <row r="158" spans="1:20" x14ac:dyDescent="0.25">
      <c r="A158" s="5">
        <v>44435</v>
      </c>
      <c r="B158">
        <v>1.0961000000000001</v>
      </c>
      <c r="C158">
        <v>1.1626000000000001</v>
      </c>
      <c r="D158">
        <v>1.0454000000000001</v>
      </c>
      <c r="E158">
        <v>1.1200000000000001</v>
      </c>
      <c r="F158">
        <v>751887.35999999999</v>
      </c>
      <c r="G158">
        <v>1.1200000000000001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0.27303754266211633</v>
      </c>
      <c r="Q158">
        <f t="shared" ref="Q158" si="766">F158*P158</f>
        <v>205293.477133106</v>
      </c>
      <c r="R158">
        <f t="shared" ref="R158" si="767">R159+Q158</f>
        <v>-38046709.200065352</v>
      </c>
      <c r="S158">
        <f t="shared" ref="S158" si="768">R158/100000</f>
        <v>-380.46709200065351</v>
      </c>
      <c r="T158">
        <f t="shared" ref="T158" si="769">S158/1000</f>
        <v>-0.38046709200065348</v>
      </c>
    </row>
    <row r="159" spans="1:20" x14ac:dyDescent="0.25">
      <c r="A159" s="5">
        <v>44434</v>
      </c>
      <c r="B159">
        <v>1.1841999999999999</v>
      </c>
      <c r="C159">
        <v>1.27</v>
      </c>
      <c r="D159">
        <v>1.0837000000000001</v>
      </c>
      <c r="E159">
        <v>1.0958000000000001</v>
      </c>
      <c r="F159">
        <v>1589478.37</v>
      </c>
      <c r="G159">
        <v>1.0958000000000001</v>
      </c>
      <c r="L159" t="s">
        <v>8</v>
      </c>
      <c r="M159" t="s">
        <v>7</v>
      </c>
      <c r="N159" t="s">
        <v>7</v>
      </c>
      <c r="P159">
        <f t="shared" ref="P159" si="770">IF(C159=D159,0,((E159-D159)-(C159-E159))/(C159-D159))</f>
        <v>-0.87010198604401501</v>
      </c>
      <c r="Q159">
        <f t="shared" ref="Q159" si="771">F159*P159</f>
        <v>-1383008.2865110037</v>
      </c>
      <c r="R159">
        <f t="shared" ref="R159" si="772">R160+Q159</f>
        <v>-38252002.677198455</v>
      </c>
      <c r="S159">
        <f t="shared" ref="S159" si="773">R159/100000</f>
        <v>-382.52002677198453</v>
      </c>
      <c r="T159">
        <f t="shared" ref="T159" si="774">S159/1000</f>
        <v>-0.38252002677198454</v>
      </c>
    </row>
    <row r="160" spans="1:20" x14ac:dyDescent="0.25">
      <c r="A160" s="5">
        <v>44433</v>
      </c>
      <c r="B160">
        <v>1.1506000000000001</v>
      </c>
      <c r="C160">
        <v>1.1994</v>
      </c>
      <c r="D160">
        <v>1.0900000000000001</v>
      </c>
      <c r="E160">
        <v>1.1835</v>
      </c>
      <c r="F160">
        <v>1235085.42</v>
      </c>
      <c r="G160">
        <v>1.1835</v>
      </c>
      <c r="L160" t="s">
        <v>7</v>
      </c>
      <c r="M160" t="s">
        <v>7</v>
      </c>
      <c r="N160" t="s">
        <v>7</v>
      </c>
      <c r="P160">
        <f t="shared" ref="P160" si="775">IF(C160=D160,0,((E160-D160)-(C160-E160))/(C160-D160))</f>
        <v>0.70932358318098654</v>
      </c>
      <c r="Q160">
        <f t="shared" ref="Q160" si="776">F160*P160</f>
        <v>876075.21564899362</v>
      </c>
      <c r="R160">
        <f t="shared" ref="R160" si="777">R161+Q160</f>
        <v>-36868994.390687451</v>
      </c>
      <c r="S160">
        <f t="shared" ref="S160" si="778">R160/100000</f>
        <v>-368.68994390687453</v>
      </c>
      <c r="T160">
        <f t="shared" ref="T160" si="779">S160/1000</f>
        <v>-0.36868994390687454</v>
      </c>
    </row>
    <row r="161" spans="1:20" x14ac:dyDescent="0.25">
      <c r="A161" s="5">
        <v>44432</v>
      </c>
      <c r="B161">
        <v>1.2595000000000001</v>
      </c>
      <c r="C161">
        <v>1.39</v>
      </c>
      <c r="D161">
        <v>1.1334</v>
      </c>
      <c r="E161">
        <v>1.147</v>
      </c>
      <c r="F161">
        <v>1649891.1</v>
      </c>
      <c r="G161">
        <v>1.147</v>
      </c>
      <c r="L161" t="s">
        <v>7</v>
      </c>
      <c r="M161" t="s">
        <v>7</v>
      </c>
      <c r="N161" t="s">
        <v>7</v>
      </c>
      <c r="P161">
        <f t="shared" ref="P161" si="780">IF(C161=D161,0,((E161-D161)-(C161-E161))/(C161-D161))</f>
        <v>-0.89399844115354588</v>
      </c>
      <c r="Q161">
        <f t="shared" ref="Q161" si="781">F161*P161</f>
        <v>-1475000.0714731091</v>
      </c>
      <c r="R161">
        <f t="shared" ref="R161" si="782">R162+Q161</f>
        <v>-37745069.606336445</v>
      </c>
      <c r="S161">
        <f t="shared" ref="S161" si="783">R161/100000</f>
        <v>-377.45069606336443</v>
      </c>
      <c r="T161">
        <f t="shared" ref="T161" si="784">S161/1000</f>
        <v>-0.37745069606336445</v>
      </c>
    </row>
    <row r="162" spans="1:20" x14ac:dyDescent="0.25">
      <c r="A162" s="5">
        <v>44431</v>
      </c>
      <c r="B162">
        <v>1.1943999999999999</v>
      </c>
      <c r="C162">
        <v>1.2841</v>
      </c>
      <c r="D162">
        <v>1.1897</v>
      </c>
      <c r="E162">
        <v>1.2601</v>
      </c>
      <c r="F162">
        <v>1243729</v>
      </c>
      <c r="G162">
        <v>1.2601</v>
      </c>
      <c r="L162" t="s">
        <v>7</v>
      </c>
      <c r="M162" t="s">
        <v>7</v>
      </c>
      <c r="N162" t="s">
        <v>7</v>
      </c>
      <c r="P162">
        <f t="shared" ref="P162" si="785">IF(C162=D162,0,((E162-D162)-(C162-E162))/(C162-D162))</f>
        <v>0.4915254237288133</v>
      </c>
      <c r="Q162">
        <f t="shared" ref="Q162" si="786">F162*P162</f>
        <v>611324.42372881318</v>
      </c>
      <c r="R162">
        <f t="shared" ref="R162" si="787">R163+Q162</f>
        <v>-36270069.534863338</v>
      </c>
      <c r="S162">
        <f t="shared" ref="S162" si="788">R162/100000</f>
        <v>-362.70069534863336</v>
      </c>
      <c r="T162">
        <f t="shared" ref="T162" si="789">S162/1000</f>
        <v>-0.36270069534863336</v>
      </c>
    </row>
    <row r="163" spans="1:20" x14ac:dyDescent="0.25">
      <c r="A163" s="5">
        <v>44430</v>
      </c>
      <c r="B163">
        <v>1.2238</v>
      </c>
      <c r="C163">
        <v>1.2462</v>
      </c>
      <c r="D163">
        <v>1.1997</v>
      </c>
      <c r="E163">
        <v>1.2177</v>
      </c>
      <c r="F163">
        <v>183038.72</v>
      </c>
      <c r="G163">
        <v>1.2177</v>
      </c>
      <c r="L163" t="s">
        <v>7</v>
      </c>
      <c r="M163" t="s">
        <v>7</v>
      </c>
      <c r="N163" t="s">
        <v>7</v>
      </c>
      <c r="P163">
        <f t="shared" ref="P163" si="790">IF(C163=D163,0,((E163-D163)-(C163-E163))/(C163-D163))</f>
        <v>-0.2258064516129023</v>
      </c>
      <c r="Q163">
        <f t="shared" ref="Q163" si="791">F163*P163</f>
        <v>-41331.323870967572</v>
      </c>
      <c r="R163">
        <f t="shared" ref="R163" si="792">R164+Q163</f>
        <v>-36881393.958592154</v>
      </c>
      <c r="S163">
        <f t="shared" ref="S163" si="793">R163/100000</f>
        <v>-368.81393958592156</v>
      </c>
      <c r="T163">
        <f t="shared" ref="T163" si="794">S163/1000</f>
        <v>-0.36881393958592157</v>
      </c>
    </row>
    <row r="164" spans="1:20" x14ac:dyDescent="0.25">
      <c r="A164" s="5">
        <v>44429</v>
      </c>
      <c r="B164">
        <v>1.2701</v>
      </c>
      <c r="C164">
        <v>1.3077000000000001</v>
      </c>
      <c r="D164">
        <v>1.2004999999999999</v>
      </c>
      <c r="E164">
        <v>1.22</v>
      </c>
      <c r="F164">
        <v>1075185.48</v>
      </c>
      <c r="G164">
        <v>1.22</v>
      </c>
      <c r="L164" t="s">
        <v>7</v>
      </c>
      <c r="M164" t="s">
        <v>7</v>
      </c>
      <c r="N164" t="s">
        <v>7</v>
      </c>
      <c r="P164">
        <f t="shared" ref="P164" si="795">IF(C164=D164,0,((E164-D164)-(C164-E164))/(C164-D164))</f>
        <v>-0.63619402985074558</v>
      </c>
      <c r="Q164">
        <f t="shared" ref="Q164" si="796">F164*P164</f>
        <v>-684026.58335820818</v>
      </c>
      <c r="R164">
        <f t="shared" ref="R164" si="797">R165+Q164</f>
        <v>-36840062.63472119</v>
      </c>
      <c r="S164">
        <f t="shared" ref="S164" si="798">R164/100000</f>
        <v>-368.40062634721187</v>
      </c>
      <c r="T164">
        <f t="shared" ref="T164" si="799">S164/1000</f>
        <v>-0.36840062634721188</v>
      </c>
    </row>
    <row r="165" spans="1:20" x14ac:dyDescent="0.25">
      <c r="A165" s="5">
        <v>44428</v>
      </c>
      <c r="B165">
        <v>1.2633000000000001</v>
      </c>
      <c r="C165">
        <v>1.3326</v>
      </c>
      <c r="D165">
        <v>1.2397</v>
      </c>
      <c r="E165">
        <v>1.2708999999999999</v>
      </c>
      <c r="F165">
        <v>1800210.82</v>
      </c>
      <c r="G165">
        <v>1.2708999999999999</v>
      </c>
      <c r="L165" t="s">
        <v>7</v>
      </c>
      <c r="M165" t="s">
        <v>8</v>
      </c>
      <c r="N165" t="s">
        <v>7</v>
      </c>
      <c r="P165">
        <f t="shared" ref="P165" si="800">IF(C165=D165,0,((E165-D165)-(C165-E165))/(C165-D165))</f>
        <v>-0.3283100107642648</v>
      </c>
      <c r="Q165">
        <f t="shared" ref="Q165" si="801">F165*P165</f>
        <v>-591027.23369214602</v>
      </c>
      <c r="R165">
        <f t="shared" ref="R165" si="802">R166+Q165</f>
        <v>-36156036.051362984</v>
      </c>
      <c r="S165">
        <f t="shared" ref="S165" si="803">R165/100000</f>
        <v>-361.56036051362986</v>
      </c>
      <c r="T165">
        <f t="shared" ref="T165" si="804">S165/1000</f>
        <v>-0.36156036051362989</v>
      </c>
    </row>
    <row r="166" spans="1:20" x14ac:dyDescent="0.25">
      <c r="A166" s="5">
        <v>44427</v>
      </c>
      <c r="B166">
        <v>1.2352000000000001</v>
      </c>
      <c r="C166">
        <v>1.4346000000000001</v>
      </c>
      <c r="D166">
        <v>1.1881999999999999</v>
      </c>
      <c r="E166">
        <v>1.2591000000000001</v>
      </c>
      <c r="F166">
        <v>5528254.1500000004</v>
      </c>
      <c r="G166">
        <v>1.2591000000000001</v>
      </c>
      <c r="L166" t="s">
        <v>8</v>
      </c>
      <c r="M166" t="s">
        <v>8</v>
      </c>
      <c r="N166" t="s">
        <v>7</v>
      </c>
      <c r="P166">
        <f t="shared" ref="P166" si="805">IF(C166=D166,0,((E166-D166)-(C166-E166))/(C166-D166))</f>
        <v>-0.4245129870129859</v>
      </c>
      <c r="Q166">
        <f t="shared" ref="Q166" si="806">F166*P166</f>
        <v>-2346815.6821834357</v>
      </c>
      <c r="R166">
        <f t="shared" ref="R166" si="807">R167+Q166</f>
        <v>-35565008.817670837</v>
      </c>
      <c r="S166">
        <f t="shared" ref="S166" si="808">R166/100000</f>
        <v>-355.65008817670838</v>
      </c>
      <c r="T166">
        <f t="shared" ref="T166" si="809">S166/1000</f>
        <v>-0.3556500881767084</v>
      </c>
    </row>
    <row r="167" spans="1:20" x14ac:dyDescent="0.25">
      <c r="A167" s="5">
        <v>44426</v>
      </c>
      <c r="B167">
        <v>1.1364000000000001</v>
      </c>
      <c r="C167">
        <v>1.39</v>
      </c>
      <c r="D167">
        <v>1.0807</v>
      </c>
      <c r="E167">
        <v>1.2367999999999999</v>
      </c>
      <c r="F167">
        <v>3932040.89</v>
      </c>
      <c r="G167">
        <v>1.2367999999999999</v>
      </c>
      <c r="L167" t="s">
        <v>8</v>
      </c>
      <c r="M167" t="s">
        <v>8</v>
      </c>
      <c r="N167" t="s">
        <v>7</v>
      </c>
      <c r="P167">
        <f t="shared" ref="P167" si="810">IF(C167=D167,0,((E167-D167)-(C167-E167))/(C167-D167))</f>
        <v>9.3760103459421384E-3</v>
      </c>
      <c r="Q167">
        <f t="shared" ref="Q167" si="811">F167*P167</f>
        <v>36866.856065307533</v>
      </c>
      <c r="R167">
        <f t="shared" ref="R167" si="812">R168+Q167</f>
        <v>-33218193.1354874</v>
      </c>
      <c r="S167">
        <f t="shared" ref="S167" si="813">R167/100000</f>
        <v>-332.181931354874</v>
      </c>
      <c r="T167">
        <f t="shared" ref="T167" si="814">S167/1000</f>
        <v>-0.332181931354874</v>
      </c>
    </row>
    <row r="168" spans="1:20" x14ac:dyDescent="0.25">
      <c r="A168" s="5">
        <v>44425</v>
      </c>
      <c r="B168">
        <v>1.2245999999999999</v>
      </c>
      <c r="C168">
        <v>1.2939000000000001</v>
      </c>
      <c r="D168">
        <v>1.1021000000000001</v>
      </c>
      <c r="E168">
        <v>1.1315999999999999</v>
      </c>
      <c r="F168">
        <v>2464248.2000000002</v>
      </c>
      <c r="G168">
        <v>1.1315999999999999</v>
      </c>
      <c r="L168" t="s">
        <v>8</v>
      </c>
      <c r="M168" t="s">
        <v>7</v>
      </c>
      <c r="N168" t="s">
        <v>7</v>
      </c>
      <c r="P168">
        <f t="shared" ref="P168" si="815">IF(C168=D168,0,((E168-D168)-(C168-E168))/(C168-D168))</f>
        <v>-0.69238790406673756</v>
      </c>
      <c r="Q168">
        <f t="shared" ref="Q168" si="816">F168*P168</f>
        <v>-1706215.6462982309</v>
      </c>
      <c r="R168">
        <f t="shared" ref="R168" si="817">R169+Q168</f>
        <v>-33255059.991552707</v>
      </c>
      <c r="S168">
        <f t="shared" ref="S168" si="818">R168/100000</f>
        <v>-332.55059991552707</v>
      </c>
      <c r="T168">
        <f t="shared" ref="T168" si="819">S168/1000</f>
        <v>-0.33255059991552705</v>
      </c>
    </row>
    <row r="169" spans="1:20" x14ac:dyDescent="0.25">
      <c r="A169" s="5">
        <v>44424</v>
      </c>
      <c r="B169">
        <v>1.1774</v>
      </c>
      <c r="C169">
        <v>1.2628999999999999</v>
      </c>
      <c r="D169">
        <v>1.151</v>
      </c>
      <c r="E169">
        <v>1.2310000000000001</v>
      </c>
      <c r="F169">
        <v>2199074.58</v>
      </c>
      <c r="G169">
        <v>1.2310000000000001</v>
      </c>
      <c r="L169" t="s">
        <v>8</v>
      </c>
      <c r="M169" t="s">
        <v>7</v>
      </c>
      <c r="N169" t="s">
        <v>7</v>
      </c>
      <c r="P169">
        <f t="shared" ref="P169" si="820">IF(C169=D169,0,((E169-D169)-(C169-E169))/(C169-D169))</f>
        <v>0.42984807864164704</v>
      </c>
      <c r="Q169">
        <f t="shared" ref="Q169" si="821">F169*P169</f>
        <v>945267.98300268699</v>
      </c>
      <c r="R169">
        <f t="shared" ref="R169" si="822">R170+Q169</f>
        <v>-31548844.345254477</v>
      </c>
      <c r="S169">
        <f t="shared" ref="S169" si="823">R169/100000</f>
        <v>-315.48844345254474</v>
      </c>
      <c r="T169">
        <f t="shared" ref="T169" si="824">S169/1000</f>
        <v>-0.31548844345254473</v>
      </c>
    </row>
    <row r="170" spans="1:20" x14ac:dyDescent="0.25">
      <c r="A170" s="5">
        <v>44423</v>
      </c>
      <c r="B170">
        <v>1.1825000000000001</v>
      </c>
      <c r="C170">
        <v>1.1949000000000001</v>
      </c>
      <c r="D170">
        <v>1.1295999999999999</v>
      </c>
      <c r="E170">
        <v>1.1746000000000001</v>
      </c>
      <c r="F170">
        <v>1578832.45</v>
      </c>
      <c r="G170">
        <v>1.1746000000000001</v>
      </c>
      <c r="L170" t="s">
        <v>7</v>
      </c>
      <c r="M170" t="s">
        <v>7</v>
      </c>
      <c r="N170" t="s">
        <v>7</v>
      </c>
      <c r="P170">
        <f t="shared" ref="P170" si="825">IF(C170=D170,0,((E170-D170)-(C170-E170))/(C170-D170))</f>
        <v>0.37825421133231418</v>
      </c>
      <c r="Q170">
        <f t="shared" ref="Q170" si="826">F170*P170</f>
        <v>597200.02320061531</v>
      </c>
      <c r="R170">
        <f t="shared" ref="R170" si="827">R171+Q170</f>
        <v>-32494112.328257166</v>
      </c>
      <c r="S170">
        <f t="shared" ref="S170" si="828">R170/100000</f>
        <v>-324.94112328257165</v>
      </c>
      <c r="T170">
        <f t="shared" ref="T170" si="829">S170/1000</f>
        <v>-0.32494112328257163</v>
      </c>
    </row>
    <row r="171" spans="1:20" x14ac:dyDescent="0.25">
      <c r="A171" s="5">
        <v>44422</v>
      </c>
      <c r="B171">
        <v>1.252</v>
      </c>
      <c r="C171">
        <v>1.3027</v>
      </c>
      <c r="D171">
        <v>1.1187</v>
      </c>
      <c r="E171">
        <v>1.1825000000000001</v>
      </c>
      <c r="F171">
        <v>2587108.52</v>
      </c>
      <c r="G171">
        <v>1.1825000000000001</v>
      </c>
      <c r="L171" t="s">
        <v>7</v>
      </c>
      <c r="M171" t="s">
        <v>7</v>
      </c>
      <c r="N171" t="s">
        <v>7</v>
      </c>
      <c r="P171">
        <f t="shared" ref="P171" si="830">IF(C171=D171,0,((E171-D171)-(C171-E171))/(C171-D171))</f>
        <v>-0.30652173913043368</v>
      </c>
      <c r="Q171">
        <f t="shared" ref="Q171" si="831">F171*P171</f>
        <v>-793005.00286956236</v>
      </c>
      <c r="R171">
        <f t="shared" ref="R171" si="832">R172+Q171</f>
        <v>-33091312.351457782</v>
      </c>
      <c r="S171">
        <f t="shared" ref="S171" si="833">R171/100000</f>
        <v>-330.91312351457782</v>
      </c>
      <c r="T171">
        <f t="shared" ref="T171" si="834">S171/1000</f>
        <v>-0.3309131235145778</v>
      </c>
    </row>
    <row r="172" spans="1:20" x14ac:dyDescent="0.25">
      <c r="A172" s="5">
        <v>44421</v>
      </c>
      <c r="B172">
        <v>1.3524</v>
      </c>
      <c r="C172">
        <v>1.4721</v>
      </c>
      <c r="D172">
        <v>1.1603000000000001</v>
      </c>
      <c r="E172">
        <v>1.2514000000000001</v>
      </c>
      <c r="F172">
        <v>6640944.3200000003</v>
      </c>
      <c r="G172">
        <v>1.2514000000000001</v>
      </c>
      <c r="L172" t="s">
        <v>7</v>
      </c>
      <c r="M172" t="s">
        <v>7</v>
      </c>
      <c r="N172" t="s">
        <v>7</v>
      </c>
      <c r="P172">
        <f t="shared" ref="P172" si="835">IF(C172=D172,0,((E172-D172)-(C172-E172))/(C172-D172))</f>
        <v>-0.41565105837075045</v>
      </c>
      <c r="Q172">
        <f t="shared" ref="Q172" si="836">F172*P172</f>
        <v>-2760315.5351892239</v>
      </c>
      <c r="R172">
        <f t="shared" ref="R172" si="837">R173+Q172</f>
        <v>-32298307.348588221</v>
      </c>
      <c r="S172">
        <f t="shared" ref="S172" si="838">R172/100000</f>
        <v>-322.98307348588219</v>
      </c>
      <c r="T172">
        <f t="shared" ref="T172" si="839">S172/1000</f>
        <v>-0.32298307348588218</v>
      </c>
    </row>
    <row r="173" spans="1:20" x14ac:dyDescent="0.25">
      <c r="A173" s="5">
        <v>44420</v>
      </c>
      <c r="B173">
        <v>0.93089999999999995</v>
      </c>
      <c r="C173">
        <v>1.6567000000000001</v>
      </c>
      <c r="D173">
        <v>0.92710000000000004</v>
      </c>
      <c r="E173">
        <v>1.3501000000000001</v>
      </c>
      <c r="F173">
        <v>42726264.450000003</v>
      </c>
      <c r="G173">
        <v>1.3501000000000001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0.15953947368421059</v>
      </c>
      <c r="Q173">
        <f t="shared" ref="Q173" si="841">F173*P173</f>
        <v>6816525.7428453984</v>
      </c>
      <c r="R173">
        <f t="shared" ref="R173" si="842">R174+Q173</f>
        <v>-29537991.813398998</v>
      </c>
      <c r="S173">
        <f t="shared" ref="S173" si="843">R173/100000</f>
        <v>-295.37991813398997</v>
      </c>
      <c r="T173">
        <f t="shared" ref="T173" si="844">S173/1000</f>
        <v>-0.29537991813398995</v>
      </c>
    </row>
    <row r="174" spans="1:20" x14ac:dyDescent="0.25">
      <c r="A174" s="5">
        <v>44419</v>
      </c>
      <c r="B174">
        <v>0.87639999999999996</v>
      </c>
      <c r="C174">
        <v>0.94889999999999997</v>
      </c>
      <c r="D174">
        <v>0.86819999999999997</v>
      </c>
      <c r="E174">
        <v>0.92800000000000005</v>
      </c>
      <c r="F174">
        <v>2140621.75</v>
      </c>
      <c r="G174">
        <v>0.92800000000000005</v>
      </c>
      <c r="L174" t="s">
        <v>8</v>
      </c>
      <c r="M174" t="s">
        <v>7</v>
      </c>
      <c r="N174" t="s">
        <v>8</v>
      </c>
      <c r="P174">
        <f t="shared" ref="P174" si="845">IF(C174=D174,0,((E174-D174)-(C174-E174))/(C174-D174))</f>
        <v>0.4820322180916996</v>
      </c>
      <c r="Q174">
        <f t="shared" ref="Q174" si="846">F174*P174</f>
        <v>1031848.6502478357</v>
      </c>
      <c r="R174">
        <f t="shared" ref="R174" si="847">R175+Q174</f>
        <v>-36354517.556244396</v>
      </c>
      <c r="S174">
        <f t="shared" ref="S174" si="848">R174/100000</f>
        <v>-363.54517556244394</v>
      </c>
      <c r="T174">
        <f t="shared" ref="T174" si="849">S174/1000</f>
        <v>-0.36354517556244392</v>
      </c>
    </row>
    <row r="175" spans="1:20" x14ac:dyDescent="0.25">
      <c r="A175" s="5">
        <v>44418</v>
      </c>
      <c r="B175">
        <v>0.872</v>
      </c>
      <c r="C175">
        <v>0.89</v>
      </c>
      <c r="D175">
        <v>0.82140000000000002</v>
      </c>
      <c r="E175">
        <v>0.87649999999999995</v>
      </c>
      <c r="F175">
        <v>1963203.37</v>
      </c>
      <c r="G175">
        <v>0.87649999999999995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0.60641399416909425</v>
      </c>
      <c r="Q175">
        <f t="shared" ref="Q175" si="851">F175*P175</f>
        <v>1190513.9969679262</v>
      </c>
      <c r="R175">
        <f t="shared" ref="R175" si="852">R176+Q175</f>
        <v>-37386366.20649223</v>
      </c>
      <c r="S175">
        <f t="shared" ref="S175" si="853">R175/100000</f>
        <v>-373.86366206492232</v>
      </c>
      <c r="T175">
        <f t="shared" ref="T175" si="854">S175/1000</f>
        <v>-0.37386366206492233</v>
      </c>
    </row>
    <row r="176" spans="1:20" x14ac:dyDescent="0.25">
      <c r="A176" s="5">
        <v>44417</v>
      </c>
      <c r="B176">
        <v>0.83579999999999999</v>
      </c>
      <c r="C176">
        <v>0.90010000000000001</v>
      </c>
      <c r="D176">
        <v>0.80010000000000003</v>
      </c>
      <c r="E176">
        <v>0.87380000000000002</v>
      </c>
      <c r="F176">
        <v>1605845.56</v>
      </c>
      <c r="G176">
        <v>0.87380000000000002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0.47400000000000009</v>
      </c>
      <c r="Q176">
        <f t="shared" ref="Q176" si="856">F176*P176</f>
        <v>761170.79544000013</v>
      </c>
      <c r="R176">
        <f t="shared" ref="R176" si="857">R177+Q176</f>
        <v>-38576880.203460157</v>
      </c>
      <c r="S176">
        <f t="shared" ref="S176" si="858">R176/100000</f>
        <v>-385.76880203460155</v>
      </c>
      <c r="T176">
        <f t="shared" ref="T176" si="859">S176/1000</f>
        <v>-0.38576880203460157</v>
      </c>
    </row>
    <row r="177" spans="1:20" x14ac:dyDescent="0.25">
      <c r="A177" s="5">
        <v>44416</v>
      </c>
      <c r="B177">
        <v>0.93230000000000002</v>
      </c>
      <c r="C177">
        <v>0.93830000000000002</v>
      </c>
      <c r="D177">
        <v>0.80500000000000005</v>
      </c>
      <c r="E177">
        <v>0.8327</v>
      </c>
      <c r="F177">
        <v>1061321.7</v>
      </c>
      <c r="G177">
        <v>0.8327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-0.58439609902475687</v>
      </c>
      <c r="Q177">
        <f t="shared" ref="Q177" si="861">F177*P177</f>
        <v>-620232.26129032322</v>
      </c>
      <c r="R177">
        <f t="shared" ref="R177" si="862">R178+Q177</f>
        <v>-39338050.99890016</v>
      </c>
      <c r="S177">
        <f t="shared" ref="S177" si="863">R177/100000</f>
        <v>-393.38050998900161</v>
      </c>
      <c r="T177">
        <f t="shared" ref="T177" si="864">S177/1000</f>
        <v>-0.39338050998900159</v>
      </c>
    </row>
    <row r="178" spans="1:20" x14ac:dyDescent="0.25">
      <c r="A178" s="5">
        <v>44415</v>
      </c>
      <c r="B178">
        <v>0.90990000000000004</v>
      </c>
      <c r="C178">
        <v>0.97419999999999995</v>
      </c>
      <c r="D178">
        <v>0.85</v>
      </c>
      <c r="E178">
        <v>0.93230000000000002</v>
      </c>
      <c r="F178">
        <v>2936448.83</v>
      </c>
      <c r="G178">
        <v>0.93230000000000002</v>
      </c>
      <c r="L178" t="s">
        <v>7</v>
      </c>
      <c r="M178" t="s">
        <v>8</v>
      </c>
      <c r="N178" t="s">
        <v>8</v>
      </c>
      <c r="P178">
        <f t="shared" ref="P178" si="865">IF(C178=D178,0,((E178-D178)-(C178-E178))/(C178-D178))</f>
        <v>0.325281803542674</v>
      </c>
      <c r="Q178">
        <f t="shared" ref="Q178" si="866">F178*P178</f>
        <v>955173.37143317494</v>
      </c>
      <c r="R178">
        <f t="shared" ref="R178" si="867">R179+Q178</f>
        <v>-38717818.737609833</v>
      </c>
      <c r="S178">
        <f t="shared" ref="S178" si="868">R178/100000</f>
        <v>-387.17818737609832</v>
      </c>
      <c r="T178">
        <f t="shared" ref="T178" si="869">S178/1000</f>
        <v>-0.38717818737609833</v>
      </c>
    </row>
    <row r="179" spans="1:20" x14ac:dyDescent="0.25">
      <c r="A179" s="5">
        <v>44414</v>
      </c>
      <c r="B179">
        <v>0.77790000000000004</v>
      </c>
      <c r="C179">
        <v>0.99739999999999995</v>
      </c>
      <c r="D179">
        <v>0.77400000000000002</v>
      </c>
      <c r="E179">
        <v>0.91120000000000001</v>
      </c>
      <c r="F179">
        <v>7972176.1299999999</v>
      </c>
      <c r="G179">
        <v>0.91120000000000001</v>
      </c>
      <c r="L179" t="s">
        <v>8</v>
      </c>
      <c r="M179" t="s">
        <v>7</v>
      </c>
      <c r="N179" t="s">
        <v>8</v>
      </c>
      <c r="P179">
        <f t="shared" ref="P179" si="870">IF(C179=D179,0,((E179-D179)-(C179-E179))/(C179-D179))</f>
        <v>0.22829006266786062</v>
      </c>
      <c r="Q179">
        <f t="shared" ref="Q179" si="871">F179*P179</f>
        <v>1819968.5883169225</v>
      </c>
      <c r="R179">
        <f t="shared" ref="R179" si="872">R180+Q179</f>
        <v>-39672992.10904301</v>
      </c>
      <c r="S179">
        <f t="shared" ref="S179" si="873">R179/100000</f>
        <v>-396.72992109043008</v>
      </c>
      <c r="T179">
        <f t="shared" ref="T179" si="874">S179/1000</f>
        <v>-0.39672992109043009</v>
      </c>
    </row>
    <row r="180" spans="1:20" x14ac:dyDescent="0.25">
      <c r="A180" s="5">
        <v>44413</v>
      </c>
      <c r="B180">
        <v>0.66710000000000003</v>
      </c>
      <c r="C180">
        <v>0.96</v>
      </c>
      <c r="D180">
        <v>0.64980000000000004</v>
      </c>
      <c r="E180">
        <v>0.77649999999999997</v>
      </c>
      <c r="F180">
        <v>13796287.32</v>
      </c>
      <c r="G180">
        <v>0.77649999999999997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-0.18310767246937487</v>
      </c>
      <c r="Q180">
        <f t="shared" ref="Q180" si="876">F180*P180</f>
        <v>-2526206.0598839498</v>
      </c>
      <c r="R180">
        <f t="shared" ref="R180" si="877">R181+Q180</f>
        <v>-41492960.697359934</v>
      </c>
      <c r="S180">
        <f t="shared" ref="S180" si="878">R180/100000</f>
        <v>-414.92960697359933</v>
      </c>
      <c r="T180">
        <f t="shared" ref="T180" si="879">S180/1000</f>
        <v>-0.41492960697359932</v>
      </c>
    </row>
    <row r="181" spans="1:20" x14ac:dyDescent="0.25">
      <c r="A181" s="5">
        <v>44412</v>
      </c>
      <c r="B181">
        <v>0.63119999999999998</v>
      </c>
      <c r="C181">
        <v>0.67800000000000005</v>
      </c>
      <c r="D181">
        <v>0.61990000000000001</v>
      </c>
      <c r="E181">
        <v>0.66710000000000003</v>
      </c>
      <c r="F181">
        <v>1104781</v>
      </c>
      <c r="G181">
        <v>0.66710000000000003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0.62478485370051595</v>
      </c>
      <c r="Q181">
        <f t="shared" ref="Q181" si="881">F181*P181</f>
        <v>690250.4354561097</v>
      </c>
      <c r="R181">
        <f t="shared" ref="R181" si="882">R182+Q181</f>
        <v>-38966754.637475982</v>
      </c>
      <c r="S181">
        <f t="shared" ref="S181" si="883">R181/100000</f>
        <v>-389.66754637475981</v>
      </c>
      <c r="T181">
        <f t="shared" ref="T181" si="884">S181/1000</f>
        <v>-0.38966754637475981</v>
      </c>
    </row>
    <row r="182" spans="1:20" x14ac:dyDescent="0.25">
      <c r="A182" s="5">
        <v>44411</v>
      </c>
      <c r="B182">
        <v>0.66690000000000005</v>
      </c>
      <c r="C182">
        <v>0.67259999999999998</v>
      </c>
      <c r="D182">
        <v>0.6159</v>
      </c>
      <c r="E182">
        <v>0.63049999999999995</v>
      </c>
      <c r="F182">
        <v>1463610.46</v>
      </c>
      <c r="G182">
        <v>0.63049999999999995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-0.48500881834215331</v>
      </c>
      <c r="Q182">
        <f t="shared" ref="Q182" si="886">F182*P182</f>
        <v>-709863.97971781541</v>
      </c>
      <c r="R182">
        <f t="shared" ref="R182" si="887">R183+Q182</f>
        <v>-39657005.072932094</v>
      </c>
      <c r="S182">
        <f t="shared" ref="S182" si="888">R182/100000</f>
        <v>-396.57005072932094</v>
      </c>
      <c r="T182">
        <f t="shared" ref="T182" si="889">S182/1000</f>
        <v>-0.39657005072932094</v>
      </c>
    </row>
    <row r="183" spans="1:20" x14ac:dyDescent="0.25">
      <c r="A183" s="5">
        <v>44410</v>
      </c>
      <c r="B183">
        <v>0.66800000000000004</v>
      </c>
      <c r="C183">
        <v>0.68500000000000005</v>
      </c>
      <c r="D183">
        <v>0.64810000000000001</v>
      </c>
      <c r="E183">
        <v>0.66720000000000002</v>
      </c>
      <c r="F183">
        <v>1457315.55</v>
      </c>
      <c r="G183">
        <v>0.66720000000000002</v>
      </c>
      <c r="L183" t="s">
        <v>8</v>
      </c>
      <c r="M183" t="s">
        <v>7</v>
      </c>
      <c r="N183" t="s">
        <v>8</v>
      </c>
      <c r="P183">
        <f t="shared" ref="P183" si="890">IF(C183=D183,0,((E183-D183)-(C183-E183))/(C183-D183))</f>
        <v>3.5230352303522124E-2</v>
      </c>
      <c r="Q183">
        <f t="shared" ref="Q183" si="891">F183*P183</f>
        <v>51341.740243901113</v>
      </c>
      <c r="R183">
        <f t="shared" ref="R183" si="892">R184+Q183</f>
        <v>-38947141.093214281</v>
      </c>
      <c r="S183">
        <f t="shared" ref="S183" si="893">R183/100000</f>
        <v>-389.47141093214282</v>
      </c>
      <c r="T183">
        <f t="shared" ref="T183" si="894">S183/1000</f>
        <v>-0.38947141093214283</v>
      </c>
    </row>
    <row r="184" spans="1:20" x14ac:dyDescent="0.25">
      <c r="A184" s="5">
        <v>44409</v>
      </c>
      <c r="B184">
        <v>0.65780000000000005</v>
      </c>
      <c r="C184">
        <v>0.69</v>
      </c>
      <c r="D184">
        <v>0.64880000000000004</v>
      </c>
      <c r="E184">
        <v>0.66869999999999996</v>
      </c>
      <c r="F184">
        <v>1546696.14</v>
      </c>
      <c r="G184">
        <v>0.66869999999999996</v>
      </c>
      <c r="L184" t="s">
        <v>8</v>
      </c>
      <c r="M184" t="s">
        <v>7</v>
      </c>
      <c r="N184" t="s">
        <v>8</v>
      </c>
      <c r="P184">
        <f t="shared" ref="P184" si="895">IF(C184=D184,0,((E184-D184)-(C184-E184))/(C184-D184))</f>
        <v>-3.3980582524273571E-2</v>
      </c>
      <c r="Q184">
        <f t="shared" ref="Q184" si="896">F184*P184</f>
        <v>-52557.635825245387</v>
      </c>
      <c r="R184">
        <f t="shared" ref="R184" si="897">R185+Q184</f>
        <v>-38998482.833458185</v>
      </c>
      <c r="S184">
        <f t="shared" ref="S184" si="898">R184/100000</f>
        <v>-389.98482833458183</v>
      </c>
      <c r="T184">
        <f t="shared" ref="T184" si="899">S184/1000</f>
        <v>-0.38998482833458181</v>
      </c>
    </row>
    <row r="185" spans="1:20" x14ac:dyDescent="0.25">
      <c r="A185" s="5">
        <v>44408</v>
      </c>
      <c r="B185">
        <v>0.66820000000000002</v>
      </c>
      <c r="C185">
        <v>0.67749999999999999</v>
      </c>
      <c r="D185">
        <v>0.63139999999999996</v>
      </c>
      <c r="E185">
        <v>0.65780000000000005</v>
      </c>
      <c r="F185">
        <v>1319904.83</v>
      </c>
      <c r="G185">
        <v>0.65780000000000005</v>
      </c>
      <c r="L185" t="s">
        <v>7</v>
      </c>
      <c r="M185" t="s">
        <v>7</v>
      </c>
      <c r="N185" t="s">
        <v>8</v>
      </c>
      <c r="P185">
        <f t="shared" ref="P185" si="900">IF(C185=D185,0,((E185-D185)-(C185-E185))/(C185-D185))</f>
        <v>0.14533622559653245</v>
      </c>
      <c r="Q185">
        <f t="shared" ref="Q185" si="901">F185*P185</f>
        <v>191829.98613883281</v>
      </c>
      <c r="R185">
        <f t="shared" ref="R185" si="902">R186+Q185</f>
        <v>-38945925.197632939</v>
      </c>
      <c r="S185">
        <f t="shared" ref="S185" si="903">R185/100000</f>
        <v>-389.45925197632937</v>
      </c>
      <c r="T185">
        <f t="shared" ref="T185" si="904">S185/1000</f>
        <v>-0.38945925197632936</v>
      </c>
    </row>
    <row r="186" spans="1:20" x14ac:dyDescent="0.25">
      <c r="A186" s="5">
        <v>44407</v>
      </c>
      <c r="B186">
        <v>0.64970000000000006</v>
      </c>
      <c r="C186">
        <v>0.68799999999999994</v>
      </c>
      <c r="D186">
        <v>0.62109999999999999</v>
      </c>
      <c r="E186">
        <v>0.66869999999999996</v>
      </c>
      <c r="F186">
        <v>1672350.39</v>
      </c>
      <c r="G186">
        <v>0.66869999999999996</v>
      </c>
      <c r="L186" t="s">
        <v>8</v>
      </c>
      <c r="M186" t="s">
        <v>7</v>
      </c>
      <c r="N186" t="s">
        <v>8</v>
      </c>
      <c r="P186">
        <f t="shared" ref="P186" si="905">IF(C186=D186,0,((E186-D186)-(C186-E186))/(C186-D186))</f>
        <v>0.42301943198804198</v>
      </c>
      <c r="Q186">
        <f t="shared" ref="Q186" si="906">F186*P186</f>
        <v>707436.7120627804</v>
      </c>
      <c r="R186">
        <f t="shared" ref="R186" si="907">R187+Q186</f>
        <v>-39137755.183771774</v>
      </c>
      <c r="S186">
        <f t="shared" ref="S186" si="908">R186/100000</f>
        <v>-391.37755183771776</v>
      </c>
      <c r="T186">
        <f t="shared" ref="T186" si="909">S186/1000</f>
        <v>-0.39137755183771777</v>
      </c>
    </row>
    <row r="187" spans="1:20" x14ac:dyDescent="0.25">
      <c r="A187" s="5">
        <v>44406</v>
      </c>
      <c r="B187">
        <v>0.62180000000000002</v>
      </c>
      <c r="C187">
        <v>0.65880000000000005</v>
      </c>
      <c r="D187">
        <v>0.60319999999999996</v>
      </c>
      <c r="E187">
        <v>0.64939999999999998</v>
      </c>
      <c r="F187">
        <v>1152417.73</v>
      </c>
      <c r="G187">
        <v>0.64939999999999998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0.66187050359712019</v>
      </c>
      <c r="Q187">
        <f t="shared" ref="Q187" si="911">F187*P187</f>
        <v>762751.30330935004</v>
      </c>
      <c r="R187">
        <f t="shared" ref="R187" si="912">R188+Q187</f>
        <v>-39845191.895834558</v>
      </c>
      <c r="S187">
        <f t="shared" ref="S187" si="913">R187/100000</f>
        <v>-398.45191895834557</v>
      </c>
      <c r="T187">
        <f t="shared" ref="T187" si="914">S187/1000</f>
        <v>-0.39845191895834559</v>
      </c>
    </row>
    <row r="188" spans="1:20" x14ac:dyDescent="0.25">
      <c r="A188" s="5">
        <v>44405</v>
      </c>
      <c r="B188">
        <v>0.61199999999999999</v>
      </c>
      <c r="C188">
        <v>0.64759999999999995</v>
      </c>
      <c r="D188">
        <v>0.60940000000000005</v>
      </c>
      <c r="E188">
        <v>0.62180000000000002</v>
      </c>
      <c r="F188">
        <v>795249.89</v>
      </c>
      <c r="G188">
        <v>0.62180000000000002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-0.35078534031413616</v>
      </c>
      <c r="Q188">
        <f t="shared" ref="Q188" si="916">F188*P188</f>
        <v>-278962.00329842936</v>
      </c>
      <c r="R188">
        <f t="shared" ref="R188" si="917">R189+Q188</f>
        <v>-40607943.199143909</v>
      </c>
      <c r="S188">
        <f t="shared" ref="S188" si="918">R188/100000</f>
        <v>-406.07943199143909</v>
      </c>
      <c r="T188">
        <f t="shared" ref="T188" si="919">S188/1000</f>
        <v>-0.40607943199143909</v>
      </c>
    </row>
    <row r="189" spans="1:20" x14ac:dyDescent="0.25">
      <c r="A189" s="5">
        <v>44404</v>
      </c>
      <c r="B189">
        <v>0.6371</v>
      </c>
      <c r="C189">
        <v>0.63880000000000003</v>
      </c>
      <c r="D189">
        <v>0.59899999999999998</v>
      </c>
      <c r="E189">
        <v>0.61180000000000001</v>
      </c>
      <c r="F189">
        <v>1361951.36</v>
      </c>
      <c r="G189">
        <v>0.61180000000000001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-0.35678391959798922</v>
      </c>
      <c r="Q189">
        <f t="shared" ref="Q189" si="921">F189*P189</f>
        <v>-485922.34452261211</v>
      </c>
      <c r="R189">
        <f t="shared" ref="R189" si="922">R190+Q189</f>
        <v>-40328981.195845477</v>
      </c>
      <c r="S189">
        <f t="shared" ref="S189" si="923">R189/100000</f>
        <v>-403.28981195845478</v>
      </c>
      <c r="T189">
        <f t="shared" ref="T189" si="924">S189/1000</f>
        <v>-0.40328981195845476</v>
      </c>
    </row>
    <row r="190" spans="1:20" x14ac:dyDescent="0.25">
      <c r="A190" s="5">
        <v>44403</v>
      </c>
      <c r="B190">
        <v>0.65169999999999995</v>
      </c>
      <c r="C190">
        <v>0.7</v>
      </c>
      <c r="D190">
        <v>0.60940000000000005</v>
      </c>
      <c r="E190">
        <v>0.6381</v>
      </c>
      <c r="F190">
        <v>2005564.67</v>
      </c>
      <c r="G190">
        <v>0.6381</v>
      </c>
      <c r="L190" t="s">
        <v>8</v>
      </c>
      <c r="M190" t="s">
        <v>7</v>
      </c>
      <c r="N190" t="s">
        <v>8</v>
      </c>
      <c r="P190">
        <f t="shared" ref="P190" si="925">IF(C190=D190,0,((E190-D190)-(C190-E190))/(C190-D190))</f>
        <v>-0.36644591611479077</v>
      </c>
      <c r="Q190">
        <f t="shared" ref="Q190" si="926">F190*P190</f>
        <v>-734930.98282560799</v>
      </c>
      <c r="R190">
        <f t="shared" ref="R190" si="927">R191+Q190</f>
        <v>-39843058.851322867</v>
      </c>
      <c r="S190">
        <f t="shared" ref="S190" si="928">R190/100000</f>
        <v>-398.43058851322866</v>
      </c>
      <c r="T190">
        <f t="shared" ref="T190" si="929">S190/1000</f>
        <v>-0.39843058851322866</v>
      </c>
    </row>
    <row r="191" spans="1:20" x14ac:dyDescent="0.25">
      <c r="A191" s="5">
        <v>44402</v>
      </c>
      <c r="B191">
        <v>0.62350000000000005</v>
      </c>
      <c r="C191">
        <v>0.68</v>
      </c>
      <c r="D191">
        <v>0.6</v>
      </c>
      <c r="E191">
        <v>0.65110000000000001</v>
      </c>
      <c r="F191">
        <v>3733871.68</v>
      </c>
      <c r="G191">
        <v>0.65110000000000001</v>
      </c>
      <c r="L191" t="s">
        <v>7</v>
      </c>
      <c r="M191" t="s">
        <v>7</v>
      </c>
      <c r="N191" t="s">
        <v>8</v>
      </c>
      <c r="P191">
        <f t="shared" ref="P191" si="930">IF(C191=D191,0,((E191-D191)-(C191-E191))/(C191-D191))</f>
        <v>0.27749999999999975</v>
      </c>
      <c r="Q191">
        <f t="shared" ref="Q191" si="931">F191*P191</f>
        <v>1036149.3911999991</v>
      </c>
      <c r="R191">
        <f t="shared" ref="R191" si="932">R192+Q191</f>
        <v>-39108127.86849726</v>
      </c>
      <c r="S191">
        <f t="shared" ref="S191" si="933">R191/100000</f>
        <v>-391.08127868497257</v>
      </c>
      <c r="T191">
        <f t="shared" ref="T191:T197" si="934">S191/1000</f>
        <v>-0.39108127868497256</v>
      </c>
    </row>
    <row r="192" spans="1:20" x14ac:dyDescent="0.25">
      <c r="A192" s="5">
        <v>44401</v>
      </c>
      <c r="B192">
        <v>0.62190000000000001</v>
      </c>
      <c r="C192">
        <v>0.80789999999999995</v>
      </c>
      <c r="D192">
        <v>0.56669999999999998</v>
      </c>
      <c r="E192">
        <v>0.62480000000000002</v>
      </c>
      <c r="F192">
        <v>10038522.65</v>
      </c>
      <c r="G192">
        <v>0.62480000000000002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-0.51824212271973424</v>
      </c>
      <c r="Q192">
        <f t="shared" ref="Q192" si="936">F192*P192</f>
        <v>-5202385.2871061321</v>
      </c>
      <c r="R192">
        <f t="shared" ref="R192" si="937">R193+Q192</f>
        <v>-40144277.259697258</v>
      </c>
      <c r="S192">
        <f t="shared" ref="S192" si="938">R192/100000</f>
        <v>-401.44277259697259</v>
      </c>
      <c r="T192">
        <f t="shared" si="934"/>
        <v>-0.40144277259697259</v>
      </c>
    </row>
    <row r="193" spans="1:20" x14ac:dyDescent="0.25">
      <c r="A193" s="5">
        <v>44400</v>
      </c>
      <c r="B193">
        <v>0.49199999999999999</v>
      </c>
      <c r="C193">
        <v>0.74490000000000001</v>
      </c>
      <c r="D193">
        <v>0.48680000000000001</v>
      </c>
      <c r="E193">
        <v>0.62460000000000004</v>
      </c>
      <c r="F193">
        <v>11834693.9</v>
      </c>
      <c r="G193">
        <v>0.62460000000000004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6.7803177063154099E-2</v>
      </c>
      <c r="Q193">
        <f t="shared" ref="Q193" si="940">F193*P193</f>
        <v>802429.84598992974</v>
      </c>
      <c r="R193">
        <f t="shared" ref="R193" si="941">R194+Q193</f>
        <v>-34941891.972591124</v>
      </c>
      <c r="S193">
        <f t="shared" ref="S193" si="942">R193/100000</f>
        <v>-349.41891972591122</v>
      </c>
      <c r="T193">
        <f t="shared" si="934"/>
        <v>-0.34941891972591121</v>
      </c>
    </row>
    <row r="194" spans="1:20" x14ac:dyDescent="0.25">
      <c r="A194" s="5">
        <v>44399</v>
      </c>
      <c r="B194">
        <v>0.47820000000000001</v>
      </c>
      <c r="C194">
        <v>0.5353</v>
      </c>
      <c r="D194">
        <v>0.46600000000000003</v>
      </c>
      <c r="E194">
        <v>0.49180000000000001</v>
      </c>
      <c r="F194">
        <v>1606480.25</v>
      </c>
      <c r="G194">
        <v>0.49180000000000001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-0.25541125541125542</v>
      </c>
      <c r="Q194">
        <f t="shared" ref="Q194" si="944">F194*P194</f>
        <v>-410313.13744588749</v>
      </c>
      <c r="R194">
        <f t="shared" ref="R194" si="945">R195+Q194</f>
        <v>-35744321.818581052</v>
      </c>
      <c r="S194">
        <f t="shared" ref="S194" si="946">R194/100000</f>
        <v>-357.44321818581051</v>
      </c>
      <c r="T194">
        <f t="shared" si="934"/>
        <v>-0.35744321818581049</v>
      </c>
    </row>
    <row r="195" spans="1:20" x14ac:dyDescent="0.25">
      <c r="A195" s="5">
        <v>44398</v>
      </c>
      <c r="B195">
        <v>0.4456</v>
      </c>
      <c r="C195">
        <v>0.50509999999999999</v>
      </c>
      <c r="D195">
        <v>0.43149999999999999</v>
      </c>
      <c r="E195">
        <v>0.47789999999999999</v>
      </c>
      <c r="F195">
        <v>707252.33</v>
      </c>
      <c r="G195">
        <v>0.47789999999999999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0.26086956521739124</v>
      </c>
      <c r="Q195">
        <f t="shared" ref="Q195" si="948">F195*P195</f>
        <v>184500.6078260869</v>
      </c>
      <c r="R195">
        <f t="shared" ref="R195" si="949">R196+Q195</f>
        <v>-35334008.681135163</v>
      </c>
      <c r="S195">
        <f t="shared" ref="S195" si="950">R195/100000</f>
        <v>-353.34008681135163</v>
      </c>
      <c r="T195">
        <f t="shared" si="934"/>
        <v>-0.35334008681135165</v>
      </c>
    </row>
    <row r="196" spans="1:20" x14ac:dyDescent="0.25">
      <c r="A196" s="5">
        <v>44397</v>
      </c>
      <c r="B196">
        <v>0.49149999999999999</v>
      </c>
      <c r="C196">
        <v>0.49390000000000001</v>
      </c>
      <c r="D196">
        <v>0.43180000000000002</v>
      </c>
      <c r="E196">
        <v>0.44550000000000001</v>
      </c>
      <c r="F196">
        <v>1870773.07</v>
      </c>
      <c r="G196">
        <v>0.44550000000000001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-0.55877616747181991</v>
      </c>
      <c r="Q196">
        <f t="shared" ref="Q196" si="952">F196*P196</f>
        <v>-1045343.4062640907</v>
      </c>
      <c r="R196">
        <f t="shared" ref="R196" si="953">R197+Q196</f>
        <v>-35518509.288961247</v>
      </c>
      <c r="S196">
        <f t="shared" ref="S196" si="954">R196/100000</f>
        <v>-355.18509288961246</v>
      </c>
      <c r="T196">
        <f t="shared" si="934"/>
        <v>-0.35518509288961247</v>
      </c>
    </row>
    <row r="197" spans="1:20" x14ac:dyDescent="0.25">
      <c r="A197" s="5">
        <v>44396</v>
      </c>
      <c r="B197">
        <v>0.56659999999999999</v>
      </c>
      <c r="C197">
        <v>0.5766</v>
      </c>
      <c r="D197">
        <v>0.44159999999999999</v>
      </c>
      <c r="E197">
        <v>0.49149999999999999</v>
      </c>
      <c r="F197">
        <v>949525.54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-0.26074074074074077</v>
      </c>
      <c r="Q197">
        <f t="shared" ref="Q197" si="956">F197*P197</f>
        <v>-247579.99265185191</v>
      </c>
      <c r="R197">
        <f t="shared" ref="R197" si="957">R198+Q197</f>
        <v>-34473165.882697158</v>
      </c>
      <c r="S197">
        <f t="shared" ref="S197" si="958">R197/100000</f>
        <v>-344.73165882697157</v>
      </c>
      <c r="T197">
        <f t="shared" si="934"/>
        <v>-0.34473165882697154</v>
      </c>
    </row>
    <row r="198" spans="1:20" x14ac:dyDescent="0.25">
      <c r="A198" s="5">
        <v>44395</v>
      </c>
      <c r="B198">
        <v>0.54990000000000006</v>
      </c>
      <c r="C198">
        <v>0.70209999999999995</v>
      </c>
      <c r="D198">
        <v>0.54600000000000004</v>
      </c>
      <c r="E198">
        <v>0.56659999999999999</v>
      </c>
      <c r="F198">
        <v>2408599.37</v>
      </c>
      <c r="G198">
        <v>0</v>
      </c>
      <c r="L198" t="s">
        <v>8</v>
      </c>
      <c r="M198" t="s">
        <v>8</v>
      </c>
      <c r="N198" t="s">
        <v>8</v>
      </c>
      <c r="P198">
        <f t="shared" ref="P198:P261" si="959">IF(C198=D198,0,((E198-D198)-(C198-E198))/(C198-D198))</f>
        <v>-0.73606662395900113</v>
      </c>
      <c r="Q198">
        <f t="shared" ref="Q198:Q261" si="960">F198*P198</f>
        <v>-1772889.6067456771</v>
      </c>
      <c r="R198">
        <f t="shared" ref="R198:R261" si="961">R199+Q198</f>
        <v>-34225585.890045308</v>
      </c>
      <c r="S198">
        <f t="shared" ref="S198:S261" si="962">R198/100000</f>
        <v>-342.25585890045306</v>
      </c>
      <c r="T198">
        <f t="shared" ref="T198:T261" si="963">S198/1000</f>
        <v>-0.34225585890045307</v>
      </c>
    </row>
    <row r="199" spans="1:20" x14ac:dyDescent="0.25">
      <c r="A199" s="5">
        <v>44394</v>
      </c>
      <c r="B199">
        <v>0.55420000000000003</v>
      </c>
      <c r="C199">
        <v>0.57540000000000002</v>
      </c>
      <c r="D199">
        <v>0.51259999999999994</v>
      </c>
      <c r="E199">
        <v>0.55000000000000004</v>
      </c>
      <c r="F199">
        <v>350570.95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0.19108280254777241</v>
      </c>
      <c r="Q199">
        <f t="shared" si="960"/>
        <v>66988.079617834999</v>
      </c>
      <c r="R199">
        <f t="shared" si="961"/>
        <v>-32452696.283299632</v>
      </c>
      <c r="S199">
        <f t="shared" si="962"/>
        <v>-324.52696283299633</v>
      </c>
      <c r="T199">
        <f t="shared" si="963"/>
        <v>-0.32452696283299631</v>
      </c>
    </row>
    <row r="200" spans="1:20" x14ac:dyDescent="0.25">
      <c r="A200" s="5">
        <v>44393</v>
      </c>
      <c r="B200">
        <v>0.58340000000000003</v>
      </c>
      <c r="C200">
        <v>0.59599999999999997</v>
      </c>
      <c r="D200">
        <v>0.54630000000000001</v>
      </c>
      <c r="E200">
        <v>0.55420000000000003</v>
      </c>
      <c r="F200">
        <v>212929.3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-0.68209255533199098</v>
      </c>
      <c r="Q200">
        <f t="shared" si="960"/>
        <v>-145237.4903420521</v>
      </c>
      <c r="R200">
        <f t="shared" si="961"/>
        <v>-32519684.362917468</v>
      </c>
      <c r="S200">
        <f t="shared" si="962"/>
        <v>-325.19684362917468</v>
      </c>
      <c r="T200">
        <f t="shared" si="963"/>
        <v>-0.32519684362917467</v>
      </c>
    </row>
    <row r="201" spans="1:20" x14ac:dyDescent="0.25">
      <c r="A201" s="5">
        <v>44392</v>
      </c>
      <c r="B201">
        <v>0.61299999999999999</v>
      </c>
      <c r="C201">
        <v>0.62490000000000001</v>
      </c>
      <c r="D201">
        <v>0.57289999999999996</v>
      </c>
      <c r="E201">
        <v>0.58750000000000002</v>
      </c>
      <c r="F201">
        <v>358403.78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-0.43846153846153674</v>
      </c>
      <c r="Q201">
        <f t="shared" si="960"/>
        <v>-157146.27276923016</v>
      </c>
      <c r="R201">
        <f t="shared" si="961"/>
        <v>-32374446.872575417</v>
      </c>
      <c r="S201">
        <f t="shared" si="962"/>
        <v>-323.74446872575419</v>
      </c>
      <c r="T201">
        <f t="shared" si="963"/>
        <v>-0.32374446872575419</v>
      </c>
    </row>
    <row r="202" spans="1:20" x14ac:dyDescent="0.25">
      <c r="A202" s="5">
        <v>44391</v>
      </c>
      <c r="B202">
        <v>0.62280000000000002</v>
      </c>
      <c r="C202">
        <v>0.62909999999999999</v>
      </c>
      <c r="D202">
        <v>0.56950000000000001</v>
      </c>
      <c r="E202">
        <v>0.61299999999999999</v>
      </c>
      <c r="F202">
        <v>328842.46000000002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0.45973154362416085</v>
      </c>
      <c r="Q202">
        <f t="shared" si="960"/>
        <v>151179.25174496637</v>
      </c>
      <c r="R202">
        <f t="shared" si="961"/>
        <v>-32217300.599806186</v>
      </c>
      <c r="S202">
        <f t="shared" si="962"/>
        <v>-322.17300599806185</v>
      </c>
      <c r="T202">
        <f t="shared" si="963"/>
        <v>-0.32217300599806187</v>
      </c>
    </row>
    <row r="203" spans="1:20" x14ac:dyDescent="0.25">
      <c r="A203" s="5">
        <v>44390</v>
      </c>
      <c r="B203">
        <v>0.64280000000000004</v>
      </c>
      <c r="C203">
        <v>0.64280000000000004</v>
      </c>
      <c r="D203">
        <v>0.60009999999999997</v>
      </c>
      <c r="E203">
        <v>0.62009999999999998</v>
      </c>
      <c r="F203">
        <v>4722718.54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-6.3231850117096755E-2</v>
      </c>
      <c r="Q203">
        <f t="shared" si="960"/>
        <v>-298626.23086651403</v>
      </c>
      <c r="R203">
        <f t="shared" si="961"/>
        <v>-32368479.851551153</v>
      </c>
      <c r="S203">
        <f t="shared" si="962"/>
        <v>-323.68479851551155</v>
      </c>
      <c r="T203">
        <f t="shared" si="963"/>
        <v>-0.32368479851551152</v>
      </c>
    </row>
    <row r="204" spans="1:20" x14ac:dyDescent="0.25">
      <c r="A204" s="5">
        <v>44389</v>
      </c>
      <c r="B204">
        <v>0.6774</v>
      </c>
      <c r="C204">
        <v>0.68930000000000002</v>
      </c>
      <c r="D204">
        <v>0.62870000000000004</v>
      </c>
      <c r="E204">
        <v>0.64390000000000003</v>
      </c>
      <c r="F204">
        <v>361387.55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-0.49834983498349855</v>
      </c>
      <c r="Q204">
        <f t="shared" si="960"/>
        <v>-180097.42590759083</v>
      </c>
      <c r="R204">
        <f t="shared" si="961"/>
        <v>-32069853.620684639</v>
      </c>
      <c r="S204">
        <f t="shared" si="962"/>
        <v>-320.69853620684637</v>
      </c>
      <c r="T204">
        <f t="shared" si="963"/>
        <v>-0.32069853620684635</v>
      </c>
    </row>
    <row r="205" spans="1:20" x14ac:dyDescent="0.25">
      <c r="A205" s="5">
        <v>44388</v>
      </c>
      <c r="B205">
        <v>0.66800000000000004</v>
      </c>
      <c r="C205">
        <v>0.69899999999999995</v>
      </c>
      <c r="D205">
        <v>0.65980000000000005</v>
      </c>
      <c r="E205">
        <v>0.67869999999999997</v>
      </c>
      <c r="F205">
        <v>258666.34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-3.5714285714287537E-2</v>
      </c>
      <c r="Q205">
        <f t="shared" si="960"/>
        <v>-9238.0835714290424</v>
      </c>
      <c r="R205">
        <f t="shared" si="961"/>
        <v>-31889756.194777049</v>
      </c>
      <c r="S205">
        <f t="shared" si="962"/>
        <v>-318.8975619477705</v>
      </c>
      <c r="T205">
        <f t="shared" si="963"/>
        <v>-0.31889756194777052</v>
      </c>
    </row>
    <row r="206" spans="1:20" x14ac:dyDescent="0.25">
      <c r="A206" s="5">
        <v>44387</v>
      </c>
      <c r="B206">
        <v>0.69499999999999995</v>
      </c>
      <c r="C206">
        <v>0.70820000000000005</v>
      </c>
      <c r="D206">
        <v>0.66100000000000003</v>
      </c>
      <c r="E206">
        <v>0.6663</v>
      </c>
      <c r="F206">
        <v>348761.94</v>
      </c>
      <c r="G206">
        <v>0</v>
      </c>
      <c r="L206" t="s">
        <v>7</v>
      </c>
      <c r="M206" t="s">
        <v>7</v>
      </c>
      <c r="N206" t="s">
        <v>8</v>
      </c>
      <c r="P206">
        <f t="shared" si="959"/>
        <v>-0.77542372881356059</v>
      </c>
      <c r="Q206">
        <f t="shared" si="960"/>
        <v>-270438.28398305131</v>
      </c>
      <c r="R206">
        <f t="shared" si="961"/>
        <v>-31880518.111205619</v>
      </c>
      <c r="S206">
        <f t="shared" si="962"/>
        <v>-318.80518111205618</v>
      </c>
      <c r="T206">
        <f t="shared" si="963"/>
        <v>-0.31880518111205619</v>
      </c>
    </row>
    <row r="207" spans="1:20" x14ac:dyDescent="0.25">
      <c r="A207" s="5">
        <v>44386</v>
      </c>
      <c r="B207">
        <v>0.71440000000000003</v>
      </c>
      <c r="C207">
        <v>0.73570000000000002</v>
      </c>
      <c r="D207">
        <v>0.68300000000000005</v>
      </c>
      <c r="E207">
        <v>0.69899999999999995</v>
      </c>
      <c r="F207">
        <v>272764.28999999998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-0.39278937381404505</v>
      </c>
      <c r="Q207">
        <f t="shared" si="960"/>
        <v>-107138.91466793258</v>
      </c>
      <c r="R207">
        <f t="shared" si="961"/>
        <v>-31610079.827222567</v>
      </c>
      <c r="S207">
        <f t="shared" si="962"/>
        <v>-316.10079827222569</v>
      </c>
      <c r="T207">
        <f t="shared" si="963"/>
        <v>-0.3161007982722257</v>
      </c>
    </row>
    <row r="208" spans="1:20" x14ac:dyDescent="0.25">
      <c r="A208" s="5">
        <v>44385</v>
      </c>
      <c r="B208">
        <v>0.81299999999999994</v>
      </c>
      <c r="C208">
        <v>0.81299999999999994</v>
      </c>
      <c r="D208">
        <v>0.69779999999999998</v>
      </c>
      <c r="E208">
        <v>0.71440000000000003</v>
      </c>
      <c r="F208">
        <v>448005.41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-0.71180555555555447</v>
      </c>
      <c r="Q208">
        <f t="shared" si="960"/>
        <v>-318892.73975694395</v>
      </c>
      <c r="R208">
        <f t="shared" si="961"/>
        <v>-31502940.912554633</v>
      </c>
      <c r="S208">
        <f t="shared" si="962"/>
        <v>-315.02940912554635</v>
      </c>
      <c r="T208">
        <f t="shared" si="963"/>
        <v>-0.31502940912554633</v>
      </c>
    </row>
    <row r="209" spans="1:20" x14ac:dyDescent="0.25">
      <c r="A209" s="5">
        <v>44384</v>
      </c>
      <c r="B209">
        <v>0.76439999999999997</v>
      </c>
      <c r="C209">
        <v>0.84230000000000005</v>
      </c>
      <c r="D209">
        <v>0.76439999999999997</v>
      </c>
      <c r="E209">
        <v>0.81299999999999994</v>
      </c>
      <c r="F209">
        <v>1022323.94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0.24775353016687873</v>
      </c>
      <c r="Q209">
        <f t="shared" si="960"/>
        <v>253284.36510911232</v>
      </c>
      <c r="R209">
        <f t="shared" si="961"/>
        <v>-31184048.172797687</v>
      </c>
      <c r="S209">
        <f t="shared" si="962"/>
        <v>-311.84048172797685</v>
      </c>
      <c r="T209">
        <f t="shared" si="963"/>
        <v>-0.31184048172797685</v>
      </c>
    </row>
    <row r="210" spans="1:20" x14ac:dyDescent="0.25">
      <c r="A210" s="5">
        <v>44383</v>
      </c>
      <c r="B210">
        <v>0.74450000000000005</v>
      </c>
      <c r="C210">
        <v>0.81</v>
      </c>
      <c r="D210">
        <v>0.73599999999999999</v>
      </c>
      <c r="E210">
        <v>0.76359999999999995</v>
      </c>
      <c r="F210">
        <v>3367137.82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-0.25405405405405584</v>
      </c>
      <c r="Q210">
        <f t="shared" si="960"/>
        <v>-855435.01372973574</v>
      </c>
      <c r="R210">
        <f t="shared" si="961"/>
        <v>-31437332.537906799</v>
      </c>
      <c r="S210">
        <f t="shared" si="962"/>
        <v>-314.37332537906798</v>
      </c>
      <c r="T210">
        <f t="shared" si="963"/>
        <v>-0.31437332537906798</v>
      </c>
    </row>
    <row r="211" spans="1:20" x14ac:dyDescent="0.25">
      <c r="A211" s="5">
        <v>44382</v>
      </c>
      <c r="B211">
        <v>0.77710000000000001</v>
      </c>
      <c r="C211">
        <v>0.77800000000000002</v>
      </c>
      <c r="D211">
        <v>0.71499999999999997</v>
      </c>
      <c r="E211">
        <v>0.74680000000000002</v>
      </c>
      <c r="F211">
        <v>1252780.04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9.523809523810229E-3</v>
      </c>
      <c r="Q211">
        <f t="shared" si="960"/>
        <v>11931.23847619136</v>
      </c>
      <c r="R211">
        <f t="shared" si="961"/>
        <v>-30581897.524177063</v>
      </c>
      <c r="S211">
        <f t="shared" si="962"/>
        <v>-305.81897524177066</v>
      </c>
      <c r="T211">
        <f t="shared" si="963"/>
        <v>-0.30581897524177065</v>
      </c>
    </row>
    <row r="212" spans="1:20" x14ac:dyDescent="0.25">
      <c r="A212" s="5">
        <v>44381</v>
      </c>
      <c r="B212">
        <v>0.72760000000000002</v>
      </c>
      <c r="C212">
        <v>0.80589999999999995</v>
      </c>
      <c r="D212">
        <v>0.70989999999999998</v>
      </c>
      <c r="E212">
        <v>0.77549999999999997</v>
      </c>
      <c r="F212">
        <v>1174493.1100000001</v>
      </c>
      <c r="G212">
        <v>0</v>
      </c>
      <c r="L212" t="s">
        <v>8</v>
      </c>
      <c r="M212" t="s">
        <v>7</v>
      </c>
      <c r="N212" t="s">
        <v>8</v>
      </c>
      <c r="P212">
        <f t="shared" si="959"/>
        <v>0.36666666666666686</v>
      </c>
      <c r="Q212">
        <f t="shared" si="960"/>
        <v>430647.47366666695</v>
      </c>
      <c r="R212">
        <f t="shared" si="961"/>
        <v>-30593828.762653254</v>
      </c>
      <c r="S212">
        <f t="shared" si="962"/>
        <v>-305.93828762653254</v>
      </c>
      <c r="T212">
        <f t="shared" si="963"/>
        <v>-0.30593828762653252</v>
      </c>
    </row>
    <row r="213" spans="1:20" x14ac:dyDescent="0.25">
      <c r="A213" s="5">
        <v>44380</v>
      </c>
      <c r="B213">
        <v>0.71299999999999997</v>
      </c>
      <c r="C213">
        <v>0.747</v>
      </c>
      <c r="D213">
        <v>0.69750000000000001</v>
      </c>
      <c r="E213">
        <v>0.72699999999999998</v>
      </c>
      <c r="F213">
        <v>1058239.6000000001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0.19191919191919102</v>
      </c>
      <c r="Q213">
        <f t="shared" si="960"/>
        <v>203096.48888888795</v>
      </c>
      <c r="R213">
        <f t="shared" si="961"/>
        <v>-31024476.236319922</v>
      </c>
      <c r="S213">
        <f t="shared" si="962"/>
        <v>-310.24476236319924</v>
      </c>
      <c r="T213">
        <f t="shared" si="963"/>
        <v>-0.31024476236319926</v>
      </c>
    </row>
    <row r="214" spans="1:20" x14ac:dyDescent="0.25">
      <c r="A214" s="5">
        <v>44379</v>
      </c>
      <c r="B214">
        <v>0.70109999999999995</v>
      </c>
      <c r="C214">
        <v>0.71340000000000003</v>
      </c>
      <c r="D214">
        <v>0.68</v>
      </c>
      <c r="E214">
        <v>0.71319999999999995</v>
      </c>
      <c r="F214">
        <v>692927.96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0.98802395209580307</v>
      </c>
      <c r="Q214">
        <f t="shared" si="960"/>
        <v>684629.42155688256</v>
      </c>
      <c r="R214">
        <f t="shared" si="961"/>
        <v>-31227572.725208811</v>
      </c>
      <c r="S214">
        <f t="shared" si="962"/>
        <v>-312.27572725208813</v>
      </c>
      <c r="T214">
        <f t="shared" si="963"/>
        <v>-0.31227572725208813</v>
      </c>
    </row>
    <row r="215" spans="1:20" x14ac:dyDescent="0.25">
      <c r="A215" s="5">
        <v>44378</v>
      </c>
      <c r="B215">
        <v>0.75390000000000001</v>
      </c>
      <c r="C215">
        <v>0.75429999999999997</v>
      </c>
      <c r="D215">
        <v>0.69</v>
      </c>
      <c r="E215">
        <v>0.70199999999999996</v>
      </c>
      <c r="F215">
        <v>988498.32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-0.62674961119751149</v>
      </c>
      <c r="Q215">
        <f t="shared" si="960"/>
        <v>-619540.93772939325</v>
      </c>
      <c r="R215">
        <f t="shared" si="961"/>
        <v>-31912202.146765694</v>
      </c>
      <c r="S215">
        <f t="shared" si="962"/>
        <v>-319.12202146765696</v>
      </c>
      <c r="T215">
        <f t="shared" si="963"/>
        <v>-0.31912202146765695</v>
      </c>
    </row>
    <row r="216" spans="1:20" x14ac:dyDescent="0.25">
      <c r="A216" s="5">
        <v>44377</v>
      </c>
      <c r="B216">
        <v>0.77190000000000003</v>
      </c>
      <c r="C216">
        <v>0.85</v>
      </c>
      <c r="D216">
        <v>0.7157</v>
      </c>
      <c r="E216">
        <v>0.75439999999999996</v>
      </c>
      <c r="F216">
        <v>1514494.25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-0.42367833209233113</v>
      </c>
      <c r="Q216">
        <f t="shared" si="960"/>
        <v>-641658.39780342602</v>
      </c>
      <c r="R216">
        <f t="shared" si="961"/>
        <v>-31292661.209036302</v>
      </c>
      <c r="S216">
        <f t="shared" si="962"/>
        <v>-312.92661209036299</v>
      </c>
      <c r="T216">
        <f t="shared" si="963"/>
        <v>-0.31292661209036299</v>
      </c>
    </row>
    <row r="217" spans="1:20" x14ac:dyDescent="0.25">
      <c r="A217" s="5">
        <v>44376</v>
      </c>
      <c r="B217">
        <v>0.69589999999999996</v>
      </c>
      <c r="C217">
        <v>0.78620000000000001</v>
      </c>
      <c r="D217">
        <v>0.68089999999999995</v>
      </c>
      <c r="E217">
        <v>0.77100000000000002</v>
      </c>
      <c r="F217">
        <v>836440.44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0.71130104463437827</v>
      </c>
      <c r="Q217">
        <f t="shared" si="960"/>
        <v>594960.95874643896</v>
      </c>
      <c r="R217">
        <f t="shared" si="961"/>
        <v>-30651002.811232876</v>
      </c>
      <c r="S217">
        <f t="shared" si="962"/>
        <v>-306.51002811232877</v>
      </c>
      <c r="T217">
        <f t="shared" si="963"/>
        <v>-0.30651002811232875</v>
      </c>
    </row>
    <row r="218" spans="1:20" x14ac:dyDescent="0.25">
      <c r="A218" s="5">
        <v>44375</v>
      </c>
      <c r="B218">
        <v>0.66749999999999998</v>
      </c>
      <c r="C218">
        <v>0.71760000000000002</v>
      </c>
      <c r="D218">
        <v>0.65700000000000003</v>
      </c>
      <c r="E218">
        <v>0.69699999999999995</v>
      </c>
      <c r="F218">
        <v>636339.74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0.3201320132013179</v>
      </c>
      <c r="Q218">
        <f t="shared" si="960"/>
        <v>203712.72204620318</v>
      </c>
      <c r="R218">
        <f t="shared" si="961"/>
        <v>-31245963.769979317</v>
      </c>
      <c r="S218">
        <f t="shared" si="962"/>
        <v>-312.45963769979318</v>
      </c>
      <c r="T218">
        <f t="shared" si="963"/>
        <v>-0.31245963769979318</v>
      </c>
    </row>
    <row r="219" spans="1:20" x14ac:dyDescent="0.25">
      <c r="A219" s="5">
        <v>44374</v>
      </c>
      <c r="B219">
        <v>0.63139999999999996</v>
      </c>
      <c r="C219">
        <v>0.67200000000000004</v>
      </c>
      <c r="D219">
        <v>0.62909999999999999</v>
      </c>
      <c r="E219">
        <v>0.67010000000000003</v>
      </c>
      <c r="F219">
        <v>725635.37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0.91142191142191098</v>
      </c>
      <c r="Q219">
        <f t="shared" si="960"/>
        <v>661359.97592074564</v>
      </c>
      <c r="R219">
        <f t="shared" si="961"/>
        <v>-31449676.492025521</v>
      </c>
      <c r="S219">
        <f t="shared" si="962"/>
        <v>-314.4967649202552</v>
      </c>
      <c r="T219">
        <f t="shared" si="963"/>
        <v>-0.31449676492025519</v>
      </c>
    </row>
    <row r="220" spans="1:20" x14ac:dyDescent="0.25">
      <c r="A220" s="5">
        <v>44373</v>
      </c>
      <c r="B220">
        <v>0.63049999999999995</v>
      </c>
      <c r="C220">
        <v>0.65429999999999999</v>
      </c>
      <c r="D220">
        <v>0.59279999999999999</v>
      </c>
      <c r="E220">
        <v>0.63009999999999999</v>
      </c>
      <c r="F220">
        <v>621813.5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0.21300813008130082</v>
      </c>
      <c r="Q220">
        <f t="shared" si="960"/>
        <v>132451.33089430895</v>
      </c>
      <c r="R220">
        <f t="shared" si="961"/>
        <v>-32111036.467946265</v>
      </c>
      <c r="S220">
        <f t="shared" si="962"/>
        <v>-321.11036467946263</v>
      </c>
      <c r="T220">
        <f t="shared" si="963"/>
        <v>-0.32111036467946263</v>
      </c>
    </row>
    <row r="221" spans="1:20" x14ac:dyDescent="0.25">
      <c r="A221" s="5">
        <v>44372</v>
      </c>
      <c r="B221">
        <v>0.70440000000000003</v>
      </c>
      <c r="C221">
        <v>0.72519999999999996</v>
      </c>
      <c r="D221">
        <v>0.62680000000000002</v>
      </c>
      <c r="E221">
        <v>0.63390000000000002</v>
      </c>
      <c r="F221">
        <v>837083.48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-0.85569105691056913</v>
      </c>
      <c r="Q221">
        <f t="shared" si="960"/>
        <v>-716284.84772357729</v>
      </c>
      <c r="R221">
        <f t="shared" si="961"/>
        <v>-32243487.798840575</v>
      </c>
      <c r="S221">
        <f t="shared" si="962"/>
        <v>-322.43487798840573</v>
      </c>
      <c r="T221">
        <f t="shared" si="963"/>
        <v>-0.32243487798840575</v>
      </c>
    </row>
    <row r="222" spans="1:20" x14ac:dyDescent="0.25">
      <c r="A222" s="5">
        <v>44371</v>
      </c>
      <c r="B222">
        <v>0.69220000000000004</v>
      </c>
      <c r="C222">
        <v>0.73570000000000002</v>
      </c>
      <c r="D222">
        <v>0.65610000000000002</v>
      </c>
      <c r="E222">
        <v>0.70240000000000002</v>
      </c>
      <c r="F222">
        <v>1269298.05</v>
      </c>
      <c r="G222">
        <v>0</v>
      </c>
      <c r="L222" t="s">
        <v>7</v>
      </c>
      <c r="M222" t="s">
        <v>7</v>
      </c>
      <c r="N222" t="s">
        <v>8</v>
      </c>
      <c r="P222">
        <f t="shared" si="959"/>
        <v>0.16331658291457299</v>
      </c>
      <c r="Q222">
        <f t="shared" si="960"/>
        <v>207297.42022613081</v>
      </c>
      <c r="R222">
        <f t="shared" si="961"/>
        <v>-31527202.951116998</v>
      </c>
      <c r="S222">
        <f t="shared" si="962"/>
        <v>-315.27202951116999</v>
      </c>
      <c r="T222">
        <f t="shared" si="963"/>
        <v>-0.31527202951117</v>
      </c>
    </row>
    <row r="223" spans="1:20" x14ac:dyDescent="0.25">
      <c r="A223" s="5">
        <v>44370</v>
      </c>
      <c r="B223">
        <v>0.62880000000000003</v>
      </c>
      <c r="C223">
        <v>0.80330000000000001</v>
      </c>
      <c r="D223">
        <v>0.6139</v>
      </c>
      <c r="E223">
        <v>0.68859999999999999</v>
      </c>
      <c r="F223">
        <v>326533.40000000002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-0.21119324181626206</v>
      </c>
      <c r="Q223">
        <f t="shared" si="960"/>
        <v>-68961.647307286228</v>
      </c>
      <c r="R223">
        <f t="shared" si="961"/>
        <v>-31734500.371343128</v>
      </c>
      <c r="S223">
        <f t="shared" si="962"/>
        <v>-317.34500371343131</v>
      </c>
      <c r="T223">
        <f t="shared" si="963"/>
        <v>-0.31734500371343133</v>
      </c>
    </row>
    <row r="224" spans="1:20" x14ac:dyDescent="0.25">
      <c r="A224" s="5">
        <v>44369</v>
      </c>
      <c r="B224">
        <v>0.70030000000000003</v>
      </c>
      <c r="C224">
        <v>0.71870000000000001</v>
      </c>
      <c r="D224">
        <v>0.55089999999999995</v>
      </c>
      <c r="E224">
        <v>0.63009999999999999</v>
      </c>
      <c r="F224">
        <v>798350.86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-5.6019070321811443E-2</v>
      </c>
      <c r="Q224">
        <f t="shared" si="960"/>
        <v>-44722.872967818643</v>
      </c>
      <c r="R224">
        <f t="shared" si="961"/>
        <v>-31665538.72403584</v>
      </c>
      <c r="S224">
        <f t="shared" si="962"/>
        <v>-316.65538724035838</v>
      </c>
      <c r="T224">
        <f t="shared" si="963"/>
        <v>-0.31665538724035835</v>
      </c>
    </row>
    <row r="225" spans="1:20" x14ac:dyDescent="0.25">
      <c r="A225" s="5">
        <v>44368</v>
      </c>
      <c r="B225">
        <v>0.93240000000000001</v>
      </c>
      <c r="C225">
        <v>0.93400000000000005</v>
      </c>
      <c r="D225">
        <v>0.67490000000000006</v>
      </c>
      <c r="E225">
        <v>0.70030000000000003</v>
      </c>
      <c r="F225">
        <v>617656.25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-0.80393670397529926</v>
      </c>
      <c r="Q225">
        <f t="shared" si="960"/>
        <v>-496556.52981474344</v>
      </c>
      <c r="R225">
        <f t="shared" si="961"/>
        <v>-31620815.851068024</v>
      </c>
      <c r="S225">
        <f t="shared" si="962"/>
        <v>-316.20815851068022</v>
      </c>
      <c r="T225">
        <f t="shared" si="963"/>
        <v>-0.31620815851068024</v>
      </c>
    </row>
    <row r="226" spans="1:20" x14ac:dyDescent="0.25">
      <c r="A226" s="5">
        <v>44367</v>
      </c>
      <c r="B226">
        <v>0.8921</v>
      </c>
      <c r="C226">
        <v>0.93969999999999998</v>
      </c>
      <c r="D226">
        <v>0.82579999999999998</v>
      </c>
      <c r="E226">
        <v>0.93259999999999998</v>
      </c>
      <c r="F226">
        <v>454686.8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0.8753292361720808</v>
      </c>
      <c r="Q226">
        <f t="shared" si="960"/>
        <v>398000.64934152766</v>
      </c>
      <c r="R226">
        <f t="shared" si="961"/>
        <v>-31124259.321253281</v>
      </c>
      <c r="S226">
        <f t="shared" si="962"/>
        <v>-311.24259321253282</v>
      </c>
      <c r="T226">
        <f t="shared" si="963"/>
        <v>-0.31124259321253284</v>
      </c>
    </row>
    <row r="227" spans="1:20" x14ac:dyDescent="0.25">
      <c r="A227" s="5">
        <v>44366</v>
      </c>
      <c r="B227">
        <v>0.92420000000000002</v>
      </c>
      <c r="C227">
        <v>0.97</v>
      </c>
      <c r="D227">
        <v>0.87760000000000005</v>
      </c>
      <c r="E227">
        <v>0.89139999999999997</v>
      </c>
      <c r="F227">
        <v>390420.37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-0.70129870129870275</v>
      </c>
      <c r="Q227">
        <f t="shared" si="960"/>
        <v>-273801.29844155902</v>
      </c>
      <c r="R227">
        <f t="shared" si="961"/>
        <v>-31522259.970594808</v>
      </c>
      <c r="S227">
        <f t="shared" si="962"/>
        <v>-315.22259970594808</v>
      </c>
      <c r="T227">
        <f t="shared" si="963"/>
        <v>-0.31522259970594807</v>
      </c>
    </row>
    <row r="228" spans="1:20" x14ac:dyDescent="0.25">
      <c r="A228" s="5">
        <v>44365</v>
      </c>
      <c r="B228">
        <v>0.98089999999999999</v>
      </c>
      <c r="C228">
        <v>1.0327999999999999</v>
      </c>
      <c r="D228">
        <v>0.89300000000000002</v>
      </c>
      <c r="E228">
        <v>0.92390000000000005</v>
      </c>
      <c r="F228">
        <v>548009.21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-0.5579399141630893</v>
      </c>
      <c r="Q228">
        <f t="shared" si="960"/>
        <v>-305756.21158798237</v>
      </c>
      <c r="R228">
        <f t="shared" si="961"/>
        <v>-31248458.672153249</v>
      </c>
      <c r="S228">
        <f t="shared" si="962"/>
        <v>-312.48458672153248</v>
      </c>
      <c r="T228">
        <f t="shared" si="963"/>
        <v>-0.31248458672153245</v>
      </c>
    </row>
    <row r="229" spans="1:20" x14ac:dyDescent="0.25">
      <c r="A229" s="5">
        <v>44364</v>
      </c>
      <c r="B229">
        <v>0.98629999999999995</v>
      </c>
      <c r="C229">
        <v>1.0224</v>
      </c>
      <c r="D229">
        <v>0.96150000000000002</v>
      </c>
      <c r="E229">
        <v>0.98089999999999999</v>
      </c>
      <c r="F229">
        <v>364830.65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-0.36288998357963914</v>
      </c>
      <c r="Q229">
        <f t="shared" si="960"/>
        <v>-132393.38858784907</v>
      </c>
      <c r="R229">
        <f t="shared" si="961"/>
        <v>-30942702.460565265</v>
      </c>
      <c r="S229">
        <f t="shared" si="962"/>
        <v>-309.42702460565266</v>
      </c>
      <c r="T229">
        <f t="shared" si="963"/>
        <v>-0.30942702460565263</v>
      </c>
    </row>
    <row r="230" spans="1:20" x14ac:dyDescent="0.25">
      <c r="A230" s="5">
        <v>44363</v>
      </c>
      <c r="B230">
        <v>1.0926</v>
      </c>
      <c r="C230">
        <v>1.0961000000000001</v>
      </c>
      <c r="D230">
        <v>0.97660000000000002</v>
      </c>
      <c r="E230">
        <v>0.98309999999999997</v>
      </c>
      <c r="F230">
        <v>449178.24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-0.89121338912133974</v>
      </c>
      <c r="Q230">
        <f t="shared" si="960"/>
        <v>-400313.66158995853</v>
      </c>
      <c r="R230">
        <f t="shared" si="961"/>
        <v>-30810309.071977418</v>
      </c>
      <c r="S230">
        <f t="shared" si="962"/>
        <v>-308.10309071977417</v>
      </c>
      <c r="T230">
        <f t="shared" si="963"/>
        <v>-0.30810309071977415</v>
      </c>
    </row>
    <row r="231" spans="1:20" x14ac:dyDescent="0.25">
      <c r="A231" s="5">
        <v>44362</v>
      </c>
      <c r="B231">
        <v>1.0434000000000001</v>
      </c>
      <c r="C231">
        <v>1.1679999999999999</v>
      </c>
      <c r="D231">
        <v>1.04</v>
      </c>
      <c r="E231">
        <v>1.0953999999999999</v>
      </c>
      <c r="F231">
        <v>555672.36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-0.13437500000000094</v>
      </c>
      <c r="Q231">
        <f t="shared" si="960"/>
        <v>-74668.473375000525</v>
      </c>
      <c r="R231">
        <f t="shared" si="961"/>
        <v>-30409995.41038746</v>
      </c>
      <c r="S231">
        <f t="shared" si="962"/>
        <v>-304.09995410387461</v>
      </c>
      <c r="T231">
        <f t="shared" si="963"/>
        <v>-0.30409995410387458</v>
      </c>
    </row>
    <row r="232" spans="1:20" x14ac:dyDescent="0.25">
      <c r="A232" s="5">
        <v>44361</v>
      </c>
      <c r="B232">
        <v>1.0331999999999999</v>
      </c>
      <c r="C232">
        <v>1.1873</v>
      </c>
      <c r="D232">
        <v>0.98919999999999997</v>
      </c>
      <c r="E232">
        <v>1.0434000000000001</v>
      </c>
      <c r="F232">
        <v>2032323.83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-0.45280161534578373</v>
      </c>
      <c r="Q232">
        <f t="shared" si="960"/>
        <v>-920239.51312973001</v>
      </c>
      <c r="R232">
        <f t="shared" si="961"/>
        <v>-30335326.93701246</v>
      </c>
      <c r="S232">
        <f t="shared" si="962"/>
        <v>-303.35326937012462</v>
      </c>
      <c r="T232">
        <f t="shared" si="963"/>
        <v>-0.30335326937012463</v>
      </c>
    </row>
    <row r="233" spans="1:20" x14ac:dyDescent="0.25">
      <c r="A233" s="5">
        <v>44360</v>
      </c>
      <c r="B233">
        <v>0.9254</v>
      </c>
      <c r="C233">
        <v>1.0387</v>
      </c>
      <c r="D233">
        <v>0.9103</v>
      </c>
      <c r="E233">
        <v>1.0333000000000001</v>
      </c>
      <c r="F233">
        <v>409292.11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0.91588785046729204</v>
      </c>
      <c r="Q233">
        <f t="shared" si="960"/>
        <v>374865.67084112245</v>
      </c>
      <c r="R233">
        <f t="shared" si="961"/>
        <v>-29415087.42388273</v>
      </c>
      <c r="S233">
        <f t="shared" si="962"/>
        <v>-294.15087423882733</v>
      </c>
      <c r="T233">
        <f t="shared" si="963"/>
        <v>-0.29415087423882735</v>
      </c>
    </row>
    <row r="234" spans="1:20" x14ac:dyDescent="0.25">
      <c r="A234" s="5">
        <v>44359</v>
      </c>
      <c r="B234">
        <v>0.97550000000000003</v>
      </c>
      <c r="C234">
        <v>0.98250000000000004</v>
      </c>
      <c r="D234">
        <v>0.87</v>
      </c>
      <c r="E234">
        <v>0.92830000000000001</v>
      </c>
      <c r="F234">
        <v>546479.30000000005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3.6444444444444363E-2</v>
      </c>
      <c r="Q234">
        <f t="shared" si="960"/>
        <v>19916.134488888845</v>
      </c>
      <c r="R234">
        <f t="shared" si="961"/>
        <v>-29789953.094723854</v>
      </c>
      <c r="S234">
        <f t="shared" si="962"/>
        <v>-297.89953094723853</v>
      </c>
      <c r="T234">
        <f t="shared" si="963"/>
        <v>-0.29789953094723853</v>
      </c>
    </row>
    <row r="235" spans="1:20" x14ac:dyDescent="0.25">
      <c r="A235" s="5">
        <v>44358</v>
      </c>
      <c r="B235">
        <v>1.1472</v>
      </c>
      <c r="C235">
        <v>1.1676</v>
      </c>
      <c r="D235">
        <v>0.95699999999999996</v>
      </c>
      <c r="E235">
        <v>0.98070000000000002</v>
      </c>
      <c r="F235">
        <v>616464.37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-0.77492877492877443</v>
      </c>
      <c r="Q235">
        <f t="shared" si="960"/>
        <v>-477715.97903133871</v>
      </c>
      <c r="R235">
        <f t="shared" si="961"/>
        <v>-29809869.229212742</v>
      </c>
      <c r="S235">
        <f t="shared" si="962"/>
        <v>-298.0986922921274</v>
      </c>
      <c r="T235">
        <f t="shared" si="963"/>
        <v>-0.29809869229212738</v>
      </c>
    </row>
    <row r="236" spans="1:20" x14ac:dyDescent="0.25">
      <c r="A236" s="5">
        <v>44357</v>
      </c>
      <c r="B236">
        <v>1.1736</v>
      </c>
      <c r="C236">
        <v>1.2101999999999999</v>
      </c>
      <c r="D236">
        <v>1.0857000000000001</v>
      </c>
      <c r="E236">
        <v>1.1516999999999999</v>
      </c>
      <c r="F236">
        <v>404441.82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6.0240963855420486E-2</v>
      </c>
      <c r="Q236">
        <f t="shared" si="960"/>
        <v>24363.96506024048</v>
      </c>
      <c r="R236">
        <f t="shared" si="961"/>
        <v>-29332153.250181403</v>
      </c>
      <c r="S236">
        <f t="shared" si="962"/>
        <v>-293.32153250181403</v>
      </c>
      <c r="T236">
        <f t="shared" si="963"/>
        <v>-0.29332153250181403</v>
      </c>
    </row>
    <row r="237" spans="1:20" x14ac:dyDescent="0.25">
      <c r="A237" s="5">
        <v>44356</v>
      </c>
      <c r="B237">
        <v>1.1278999999999999</v>
      </c>
      <c r="C237">
        <v>1.2202999999999999</v>
      </c>
      <c r="D237">
        <v>1.0301</v>
      </c>
      <c r="E237">
        <v>1.1762999999999999</v>
      </c>
      <c r="F237">
        <v>698525.2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0.53732912723448945</v>
      </c>
      <c r="Q237">
        <f t="shared" si="960"/>
        <v>375337.93606729718</v>
      </c>
      <c r="R237">
        <f t="shared" si="961"/>
        <v>-29356517.215241645</v>
      </c>
      <c r="S237">
        <f t="shared" si="962"/>
        <v>-293.56517215241644</v>
      </c>
      <c r="T237">
        <f t="shared" si="963"/>
        <v>-0.29356517215241645</v>
      </c>
    </row>
    <row r="238" spans="1:20" x14ac:dyDescent="0.25">
      <c r="A238" s="5">
        <v>44355</v>
      </c>
      <c r="B238">
        <v>1.1588000000000001</v>
      </c>
      <c r="C238">
        <v>1.23</v>
      </c>
      <c r="D238">
        <v>0.95499999999999996</v>
      </c>
      <c r="E238">
        <v>1.1281000000000001</v>
      </c>
      <c r="F238">
        <v>1586568.11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0.25890909090909187</v>
      </c>
      <c r="Q238">
        <f t="shared" si="960"/>
        <v>410776.90702545608</v>
      </c>
      <c r="R238">
        <f t="shared" si="961"/>
        <v>-29731855.151308943</v>
      </c>
      <c r="S238">
        <f t="shared" si="962"/>
        <v>-297.3185515130894</v>
      </c>
      <c r="T238">
        <f t="shared" si="963"/>
        <v>-0.29731855151308939</v>
      </c>
    </row>
    <row r="239" spans="1:20" x14ac:dyDescent="0.25">
      <c r="A239" s="5">
        <v>44354</v>
      </c>
      <c r="B239">
        <v>1.3939999999999999</v>
      </c>
      <c r="C239">
        <v>1.4502999999999999</v>
      </c>
      <c r="D239">
        <v>1.1240000000000001</v>
      </c>
      <c r="E239">
        <v>1.1568000000000001</v>
      </c>
      <c r="F239">
        <v>862523.24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-0.79895801409745659</v>
      </c>
      <c r="Q239">
        <f t="shared" si="960"/>
        <v>-689119.85494330397</v>
      </c>
      <c r="R239">
        <f t="shared" si="961"/>
        <v>-30142632.058334399</v>
      </c>
      <c r="S239">
        <f t="shared" si="962"/>
        <v>-301.42632058334397</v>
      </c>
      <c r="T239">
        <f t="shared" si="963"/>
        <v>-0.30142632058334395</v>
      </c>
    </row>
    <row r="240" spans="1:20" x14ac:dyDescent="0.25">
      <c r="A240" s="5">
        <v>44353</v>
      </c>
      <c r="B240">
        <v>1.4533</v>
      </c>
      <c r="C240">
        <v>1.5235000000000001</v>
      </c>
      <c r="D240">
        <v>1.36</v>
      </c>
      <c r="E240">
        <v>1.3937999999999999</v>
      </c>
      <c r="F240">
        <v>625052.21</v>
      </c>
      <c r="G240">
        <v>0</v>
      </c>
      <c r="L240" t="s">
        <v>7</v>
      </c>
      <c r="M240" t="s">
        <v>7</v>
      </c>
      <c r="N240" t="s">
        <v>7</v>
      </c>
      <c r="P240">
        <f t="shared" si="959"/>
        <v>-0.58654434250764731</v>
      </c>
      <c r="Q240">
        <f t="shared" si="960"/>
        <v>-366620.8375474019</v>
      </c>
      <c r="R240">
        <f t="shared" si="961"/>
        <v>-29453512.203391094</v>
      </c>
      <c r="S240">
        <f t="shared" si="962"/>
        <v>-294.53512203391097</v>
      </c>
      <c r="T240">
        <f t="shared" si="963"/>
        <v>-0.29453512203391097</v>
      </c>
    </row>
    <row r="241" spans="1:20" x14ac:dyDescent="0.25">
      <c r="A241" s="5">
        <v>44352</v>
      </c>
      <c r="B241">
        <v>1.3551</v>
      </c>
      <c r="C241">
        <v>1.7239</v>
      </c>
      <c r="D241">
        <v>1.3435999999999999</v>
      </c>
      <c r="E241">
        <v>1.462</v>
      </c>
      <c r="F241">
        <v>2012589.33</v>
      </c>
      <c r="G241">
        <v>0</v>
      </c>
      <c r="L241" t="s">
        <v>8</v>
      </c>
      <c r="M241" t="s">
        <v>8</v>
      </c>
      <c r="N241" t="s">
        <v>7</v>
      </c>
      <c r="P241">
        <f t="shared" si="959"/>
        <v>-0.37733368393373634</v>
      </c>
      <c r="Q241">
        <f t="shared" si="960"/>
        <v>-759417.74613463017</v>
      </c>
      <c r="R241">
        <f t="shared" si="961"/>
        <v>-29086891.365843691</v>
      </c>
      <c r="S241">
        <f t="shared" si="962"/>
        <v>-290.8689136584369</v>
      </c>
      <c r="T241">
        <f t="shared" si="963"/>
        <v>-0.29086891365843692</v>
      </c>
    </row>
    <row r="242" spans="1:20" x14ac:dyDescent="0.25">
      <c r="A242" s="5">
        <v>44351</v>
      </c>
      <c r="B242">
        <v>1.5589999999999999</v>
      </c>
      <c r="C242">
        <v>1.6424000000000001</v>
      </c>
      <c r="D242">
        <v>1.2701</v>
      </c>
      <c r="E242">
        <v>1.3564000000000001</v>
      </c>
      <c r="F242">
        <v>2173787.09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-0.536395380069836</v>
      </c>
      <c r="Q242">
        <f t="shared" si="960"/>
        <v>-1166009.3523314528</v>
      </c>
      <c r="R242">
        <f t="shared" si="961"/>
        <v>-28327473.61970906</v>
      </c>
      <c r="S242">
        <f t="shared" si="962"/>
        <v>-283.27473619709059</v>
      </c>
      <c r="T242">
        <f t="shared" si="963"/>
        <v>-0.28327473619709059</v>
      </c>
    </row>
    <row r="243" spans="1:20" x14ac:dyDescent="0.25">
      <c r="A243" s="5">
        <v>44350</v>
      </c>
      <c r="B243">
        <v>1.2162999999999999</v>
      </c>
      <c r="C243">
        <v>1.8</v>
      </c>
      <c r="D243">
        <v>1.165</v>
      </c>
      <c r="E243">
        <v>1.5589999999999999</v>
      </c>
      <c r="F243">
        <v>3289321.93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0.24094488188976346</v>
      </c>
      <c r="Q243">
        <f t="shared" si="960"/>
        <v>792545.28392125887</v>
      </c>
      <c r="R243">
        <f t="shared" si="961"/>
        <v>-27161464.267377608</v>
      </c>
      <c r="S243">
        <f t="shared" si="962"/>
        <v>-271.61464267377607</v>
      </c>
      <c r="T243">
        <f t="shared" si="963"/>
        <v>-0.27161464267377605</v>
      </c>
    </row>
    <row r="244" spans="1:20" x14ac:dyDescent="0.25">
      <c r="A244" s="5">
        <v>44349</v>
      </c>
      <c r="B244">
        <v>1.2226999999999999</v>
      </c>
      <c r="C244">
        <v>1.32</v>
      </c>
      <c r="D244">
        <v>1.1529</v>
      </c>
      <c r="E244">
        <v>1.2195</v>
      </c>
      <c r="F244">
        <v>2704135.27</v>
      </c>
      <c r="G244">
        <v>0</v>
      </c>
      <c r="L244" t="s">
        <v>7</v>
      </c>
      <c r="M244" t="s">
        <v>7</v>
      </c>
      <c r="N244" t="s">
        <v>8</v>
      </c>
      <c r="P244">
        <f t="shared" si="959"/>
        <v>-0.2028725314183126</v>
      </c>
      <c r="Q244">
        <f t="shared" si="960"/>
        <v>-548594.76752244227</v>
      </c>
      <c r="R244">
        <f t="shared" si="961"/>
        <v>-27954009.551298868</v>
      </c>
      <c r="S244">
        <f t="shared" si="962"/>
        <v>-279.54009551298867</v>
      </c>
      <c r="T244">
        <f t="shared" si="963"/>
        <v>-0.2795400955129887</v>
      </c>
    </row>
    <row r="245" spans="1:20" x14ac:dyDescent="0.25">
      <c r="A245" s="5">
        <v>44348</v>
      </c>
      <c r="B245">
        <v>0.91410000000000002</v>
      </c>
      <c r="C245">
        <v>1.4</v>
      </c>
      <c r="D245">
        <v>0.87180000000000002</v>
      </c>
      <c r="E245">
        <v>1.2226999999999999</v>
      </c>
      <c r="F245">
        <v>3940275.54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0.32866338508140835</v>
      </c>
      <c r="Q245">
        <f t="shared" si="960"/>
        <v>1295024.2971298744</v>
      </c>
      <c r="R245">
        <f t="shared" si="961"/>
        <v>-27405414.783776425</v>
      </c>
      <c r="S245">
        <f t="shared" si="962"/>
        <v>-274.05414783776428</v>
      </c>
      <c r="T245">
        <f t="shared" si="963"/>
        <v>-0.27405414783776427</v>
      </c>
    </row>
    <row r="246" spans="1:20" x14ac:dyDescent="0.25">
      <c r="A246" s="5">
        <v>44347</v>
      </c>
      <c r="B246">
        <v>0.84899999999999998</v>
      </c>
      <c r="C246">
        <v>0.93300000000000005</v>
      </c>
      <c r="D246">
        <v>0.80630000000000002</v>
      </c>
      <c r="E246">
        <v>0.91949999999999998</v>
      </c>
      <c r="F246">
        <v>386492.91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0.78689818468823891</v>
      </c>
      <c r="Q246">
        <f t="shared" si="960"/>
        <v>304130.56927387486</v>
      </c>
      <c r="R246">
        <f t="shared" si="961"/>
        <v>-28700439.080906298</v>
      </c>
      <c r="S246">
        <f t="shared" si="962"/>
        <v>-287.00439080906295</v>
      </c>
      <c r="T246">
        <f t="shared" si="963"/>
        <v>-0.28700439080906298</v>
      </c>
    </row>
    <row r="247" spans="1:20" x14ac:dyDescent="0.25">
      <c r="A247" s="5">
        <v>44346</v>
      </c>
      <c r="B247">
        <v>0.79700000000000004</v>
      </c>
      <c r="C247">
        <v>0.9</v>
      </c>
      <c r="D247">
        <v>0.76339999999999997</v>
      </c>
      <c r="E247">
        <v>0.84960000000000002</v>
      </c>
      <c r="F247">
        <v>272704.26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0.26207906295754058</v>
      </c>
      <c r="Q247">
        <f t="shared" si="960"/>
        <v>71470.076925329515</v>
      </c>
      <c r="R247">
        <f t="shared" si="961"/>
        <v>-29004569.650180172</v>
      </c>
      <c r="S247">
        <f t="shared" si="962"/>
        <v>-290.04569650180173</v>
      </c>
      <c r="T247">
        <f t="shared" si="963"/>
        <v>-0.29004569650180173</v>
      </c>
    </row>
    <row r="248" spans="1:20" x14ac:dyDescent="0.25">
      <c r="A248" s="5">
        <v>44345</v>
      </c>
      <c r="B248">
        <v>0.83289999999999997</v>
      </c>
      <c r="C248">
        <v>0.9274</v>
      </c>
      <c r="D248">
        <v>0.76559999999999995</v>
      </c>
      <c r="E248">
        <v>0.79730000000000001</v>
      </c>
      <c r="F248">
        <v>427616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-0.6081582200247212</v>
      </c>
      <c r="Q248">
        <f t="shared" si="960"/>
        <v>-260058.18541409119</v>
      </c>
      <c r="R248">
        <f t="shared" si="961"/>
        <v>-29076039.727105502</v>
      </c>
      <c r="S248">
        <f t="shared" si="962"/>
        <v>-290.76039727105501</v>
      </c>
      <c r="T248">
        <f t="shared" si="963"/>
        <v>-0.29076039727105502</v>
      </c>
    </row>
    <row r="249" spans="1:20" x14ac:dyDescent="0.25">
      <c r="A249" s="5">
        <v>44344</v>
      </c>
      <c r="B249">
        <v>0.96550000000000002</v>
      </c>
      <c r="C249">
        <v>1.0073000000000001</v>
      </c>
      <c r="D249">
        <v>0.81220000000000003</v>
      </c>
      <c r="E249">
        <v>0.83299999999999996</v>
      </c>
      <c r="F249">
        <v>577682.81000000006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-0.78677601230138472</v>
      </c>
      <c r="Q249">
        <f t="shared" si="960"/>
        <v>-454506.97762685851</v>
      </c>
      <c r="R249">
        <f t="shared" si="961"/>
        <v>-28815981.541691411</v>
      </c>
      <c r="S249">
        <f t="shared" si="962"/>
        <v>-288.15981541691411</v>
      </c>
      <c r="T249">
        <f t="shared" si="963"/>
        <v>-0.2881598154169141</v>
      </c>
    </row>
    <row r="250" spans="1:20" x14ac:dyDescent="0.25">
      <c r="A250" s="5">
        <v>44343</v>
      </c>
      <c r="B250">
        <v>1.0183</v>
      </c>
      <c r="C250">
        <v>1.19</v>
      </c>
      <c r="D250">
        <v>0.91720000000000002</v>
      </c>
      <c r="E250">
        <v>0.97540000000000004</v>
      </c>
      <c r="F250">
        <v>1553531.33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-0.57331378299120206</v>
      </c>
      <c r="Q250">
        <f t="shared" si="960"/>
        <v>-890660.92379765352</v>
      </c>
      <c r="R250">
        <f t="shared" si="961"/>
        <v>-28361474.564064551</v>
      </c>
      <c r="S250">
        <f t="shared" si="962"/>
        <v>-283.61474564064554</v>
      </c>
      <c r="T250">
        <f t="shared" si="963"/>
        <v>-0.28361474564064554</v>
      </c>
    </row>
    <row r="251" spans="1:20" x14ac:dyDescent="0.25">
      <c r="A251" s="5">
        <v>44342</v>
      </c>
      <c r="B251">
        <v>0.88180000000000003</v>
      </c>
      <c r="C251">
        <v>1.0255000000000001</v>
      </c>
      <c r="D251">
        <v>0.86080000000000001</v>
      </c>
      <c r="E251">
        <v>1.0229999999999999</v>
      </c>
      <c r="F251">
        <v>885307.36</v>
      </c>
      <c r="G251">
        <v>0</v>
      </c>
      <c r="L251" t="s">
        <v>8</v>
      </c>
      <c r="M251" t="s">
        <v>8</v>
      </c>
      <c r="N251" t="s">
        <v>7</v>
      </c>
      <c r="P251">
        <f t="shared" si="959"/>
        <v>0.96964177292045939</v>
      </c>
      <c r="Q251">
        <f t="shared" si="960"/>
        <v>858430.99812993139</v>
      </c>
      <c r="R251">
        <f t="shared" si="961"/>
        <v>-27470813.640266899</v>
      </c>
      <c r="S251">
        <f t="shared" si="962"/>
        <v>-274.70813640266897</v>
      </c>
      <c r="T251">
        <f t="shared" si="963"/>
        <v>-0.27470813640266895</v>
      </c>
    </row>
    <row r="252" spans="1:20" x14ac:dyDescent="0.25">
      <c r="A252" s="5">
        <v>44341</v>
      </c>
      <c r="B252">
        <v>0.89280000000000004</v>
      </c>
      <c r="C252">
        <v>1.1000000000000001</v>
      </c>
      <c r="D252">
        <v>0.76319999999999999</v>
      </c>
      <c r="E252">
        <v>0.88180000000000003</v>
      </c>
      <c r="F252">
        <v>2180822.36</v>
      </c>
      <c r="G252">
        <v>0</v>
      </c>
      <c r="L252" t="s">
        <v>7</v>
      </c>
      <c r="M252" t="s">
        <v>7</v>
      </c>
      <c r="N252" t="s">
        <v>7</v>
      </c>
      <c r="P252">
        <f t="shared" si="959"/>
        <v>-0.29572446555819476</v>
      </c>
      <c r="Q252">
        <f t="shared" si="960"/>
        <v>-644922.52688836097</v>
      </c>
      <c r="R252">
        <f t="shared" si="961"/>
        <v>-28329244.638396829</v>
      </c>
      <c r="S252">
        <f t="shared" si="962"/>
        <v>-283.2924463839683</v>
      </c>
      <c r="T252">
        <f t="shared" si="963"/>
        <v>-0.28329244638396828</v>
      </c>
    </row>
    <row r="253" spans="1:20" x14ac:dyDescent="0.25">
      <c r="A253" s="5">
        <v>44340</v>
      </c>
      <c r="B253">
        <v>0.5998</v>
      </c>
      <c r="C253">
        <v>1.19</v>
      </c>
      <c r="D253">
        <v>0.57050000000000001</v>
      </c>
      <c r="E253">
        <v>0.8992</v>
      </c>
      <c r="F253">
        <v>2433200.41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6.1178369652945999E-2</v>
      </c>
      <c r="Q253">
        <f t="shared" si="960"/>
        <v>148859.23412267977</v>
      </c>
      <c r="R253">
        <f t="shared" si="961"/>
        <v>-27684322.11150847</v>
      </c>
      <c r="S253">
        <f t="shared" si="962"/>
        <v>-276.8432211150847</v>
      </c>
      <c r="T253">
        <f t="shared" si="963"/>
        <v>-0.27684322111508469</v>
      </c>
    </row>
    <row r="254" spans="1:20" x14ac:dyDescent="0.25">
      <c r="A254" s="5">
        <v>44339</v>
      </c>
      <c r="B254">
        <v>0.71519999999999995</v>
      </c>
      <c r="C254">
        <v>0.74480000000000002</v>
      </c>
      <c r="D254">
        <v>0.4743</v>
      </c>
      <c r="E254">
        <v>0.6</v>
      </c>
      <c r="F254">
        <v>1292954.6499999999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-7.0609981515711864E-2</v>
      </c>
      <c r="Q254">
        <f t="shared" si="960"/>
        <v>-91295.503937153699</v>
      </c>
      <c r="R254">
        <f t="shared" si="961"/>
        <v>-27833181.345631149</v>
      </c>
      <c r="S254">
        <f t="shared" si="962"/>
        <v>-278.33181345631147</v>
      </c>
      <c r="T254">
        <f t="shared" si="963"/>
        <v>-0.27833181345631147</v>
      </c>
    </row>
    <row r="255" spans="1:20" x14ac:dyDescent="0.25">
      <c r="A255" s="5">
        <v>44338</v>
      </c>
      <c r="B255">
        <v>0.81059999999999999</v>
      </c>
      <c r="C255">
        <v>0.85589999999999999</v>
      </c>
      <c r="D255">
        <v>0.70020000000000004</v>
      </c>
      <c r="E255">
        <v>0.70779999999999998</v>
      </c>
      <c r="F255">
        <v>949819.59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-0.90237636480411121</v>
      </c>
      <c r="Q255">
        <f t="shared" si="960"/>
        <v>-857094.74884393136</v>
      </c>
      <c r="R255">
        <f t="shared" si="961"/>
        <v>-27741885.841693994</v>
      </c>
      <c r="S255">
        <f t="shared" si="962"/>
        <v>-277.41885841693994</v>
      </c>
      <c r="T255">
        <f t="shared" si="963"/>
        <v>-0.27741885841693992</v>
      </c>
    </row>
    <row r="256" spans="1:20" x14ac:dyDescent="0.25">
      <c r="A256" s="5">
        <v>44337</v>
      </c>
      <c r="B256">
        <v>1.0153000000000001</v>
      </c>
      <c r="C256">
        <v>1.0920000000000001</v>
      </c>
      <c r="D256">
        <v>0.69979999999999998</v>
      </c>
      <c r="E256">
        <v>0.81169999999999998</v>
      </c>
      <c r="F256">
        <v>1373070.94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-0.42937276899541066</v>
      </c>
      <c r="Q256">
        <f t="shared" si="960"/>
        <v>-589559.27153493138</v>
      </c>
      <c r="R256">
        <f t="shared" si="961"/>
        <v>-26884791.092850063</v>
      </c>
      <c r="S256">
        <f t="shared" si="962"/>
        <v>-268.84791092850065</v>
      </c>
      <c r="T256">
        <f t="shared" si="963"/>
        <v>-0.26884791092850063</v>
      </c>
    </row>
    <row r="257" spans="1:20" x14ac:dyDescent="0.25">
      <c r="A257" s="5">
        <v>44336</v>
      </c>
      <c r="B257">
        <v>0.95520000000000005</v>
      </c>
      <c r="C257">
        <v>1.1003000000000001</v>
      </c>
      <c r="D257">
        <v>0.84050000000000002</v>
      </c>
      <c r="E257">
        <v>1.0156000000000001</v>
      </c>
      <c r="F257">
        <v>816990.77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0.34795996920708244</v>
      </c>
      <c r="Q257">
        <f t="shared" si="960"/>
        <v>284280.08317167056</v>
      </c>
      <c r="R257">
        <f t="shared" si="961"/>
        <v>-26295231.821315132</v>
      </c>
      <c r="S257">
        <f t="shared" si="962"/>
        <v>-262.95231821315133</v>
      </c>
      <c r="T257">
        <f t="shared" si="963"/>
        <v>-0.26295231821315135</v>
      </c>
    </row>
    <row r="258" spans="1:20" x14ac:dyDescent="0.25">
      <c r="A258" s="5">
        <v>44335</v>
      </c>
      <c r="B258">
        <v>1.4198999999999999</v>
      </c>
      <c r="C258">
        <v>1.43</v>
      </c>
      <c r="D258">
        <v>0.77</v>
      </c>
      <c r="E258">
        <v>0.95520000000000005</v>
      </c>
      <c r="F258">
        <v>1425817.02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-0.43878787878787862</v>
      </c>
      <c r="Q258">
        <f t="shared" si="960"/>
        <v>-625631.22574545431</v>
      </c>
      <c r="R258">
        <f t="shared" si="961"/>
        <v>-26579511.904486801</v>
      </c>
      <c r="S258">
        <f t="shared" si="962"/>
        <v>-265.79511904486799</v>
      </c>
      <c r="T258">
        <f t="shared" si="963"/>
        <v>-0.26579511904486797</v>
      </c>
    </row>
    <row r="259" spans="1:20" x14ac:dyDescent="0.25">
      <c r="A259" s="5">
        <v>44334</v>
      </c>
      <c r="B259">
        <v>1.2727999999999999</v>
      </c>
      <c r="C259">
        <v>1.4562999999999999</v>
      </c>
      <c r="D259">
        <v>1.2562</v>
      </c>
      <c r="E259">
        <v>1.4212</v>
      </c>
      <c r="F259">
        <v>832234.92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0.64917541229385389</v>
      </c>
      <c r="Q259">
        <f t="shared" si="960"/>
        <v>540266.4473163425</v>
      </c>
      <c r="R259">
        <f t="shared" si="961"/>
        <v>-25953880.678741347</v>
      </c>
      <c r="S259">
        <f t="shared" si="962"/>
        <v>-259.53880678741348</v>
      </c>
      <c r="T259">
        <f t="shared" si="963"/>
        <v>-0.25953880678741348</v>
      </c>
    </row>
    <row r="260" spans="1:20" x14ac:dyDescent="0.25">
      <c r="A260" s="5">
        <v>44333</v>
      </c>
      <c r="B260">
        <v>1.3378000000000001</v>
      </c>
      <c r="C260">
        <v>1.3613</v>
      </c>
      <c r="D260">
        <v>1.2</v>
      </c>
      <c r="E260">
        <v>1.2599</v>
      </c>
      <c r="F260">
        <v>761499.31</v>
      </c>
      <c r="G260">
        <v>0</v>
      </c>
      <c r="L260" t="s">
        <v>8</v>
      </c>
      <c r="M260" t="s">
        <v>7</v>
      </c>
      <c r="N260" t="s">
        <v>7</v>
      </c>
      <c r="P260">
        <f t="shared" si="959"/>
        <v>-0.25728456292622365</v>
      </c>
      <c r="Q260">
        <f t="shared" si="960"/>
        <v>-195922.01714197089</v>
      </c>
      <c r="R260">
        <f t="shared" si="961"/>
        <v>-26494147.126057688</v>
      </c>
      <c r="S260">
        <f t="shared" si="962"/>
        <v>-264.94147126057686</v>
      </c>
      <c r="T260">
        <f t="shared" si="963"/>
        <v>-0.26494147126057688</v>
      </c>
    </row>
    <row r="261" spans="1:20" x14ac:dyDescent="0.25">
      <c r="A261" s="5">
        <v>44332</v>
      </c>
      <c r="B261">
        <v>1.3386</v>
      </c>
      <c r="C261">
        <v>1.4999</v>
      </c>
      <c r="D261">
        <v>1.2</v>
      </c>
      <c r="E261">
        <v>1.335</v>
      </c>
      <c r="F261">
        <v>1118974.31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-9.9699899966655653E-2</v>
      </c>
      <c r="Q261">
        <f t="shared" si="960"/>
        <v>-111561.62677225754</v>
      </c>
      <c r="R261">
        <f t="shared" si="961"/>
        <v>-26298225.108915716</v>
      </c>
      <c r="S261">
        <f t="shared" si="962"/>
        <v>-262.98225108915716</v>
      </c>
      <c r="T261">
        <f t="shared" si="963"/>
        <v>-0.26298225108915718</v>
      </c>
    </row>
    <row r="262" spans="1:20" x14ac:dyDescent="0.25">
      <c r="A262" s="5">
        <v>44331</v>
      </c>
      <c r="B262">
        <v>1.5051000000000001</v>
      </c>
      <c r="C262">
        <v>1.5384</v>
      </c>
      <c r="D262">
        <v>1.3376999999999999</v>
      </c>
      <c r="E262">
        <v>1.3418000000000001</v>
      </c>
      <c r="F262">
        <v>701643.44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-0.95914299950174176</v>
      </c>
      <c r="Q262">
        <f t="shared" ref="Q262:Q325" si="965">F262*P262</f>
        <v>-672976.39362232026</v>
      </c>
      <c r="R262">
        <f t="shared" ref="R262:R325" si="966">R263+Q262</f>
        <v>-26186663.482143458</v>
      </c>
      <c r="S262">
        <f t="shared" ref="S262:S325" si="967">R262/100000</f>
        <v>-261.86663482143456</v>
      </c>
      <c r="T262">
        <f t="shared" ref="T262:T325" si="968">S262/1000</f>
        <v>-0.26186663482143457</v>
      </c>
    </row>
    <row r="263" spans="1:20" x14ac:dyDescent="0.25">
      <c r="A263" s="5">
        <v>44330</v>
      </c>
      <c r="B263">
        <v>1.4045000000000001</v>
      </c>
      <c r="C263">
        <v>1.6400999999999999</v>
      </c>
      <c r="D263">
        <v>1.3882000000000001</v>
      </c>
      <c r="E263">
        <v>1.4999</v>
      </c>
      <c r="F263">
        <v>1101333.8999999999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-0.11314013497419609</v>
      </c>
      <c r="Q263">
        <f t="shared" si="965"/>
        <v>-124605.06609765776</v>
      </c>
      <c r="R263">
        <f t="shared" si="966"/>
        <v>-25513687.088521138</v>
      </c>
      <c r="S263">
        <f t="shared" si="967"/>
        <v>-255.13687088521138</v>
      </c>
      <c r="T263">
        <f t="shared" si="968"/>
        <v>-0.25513687088521136</v>
      </c>
    </row>
    <row r="264" spans="1:20" x14ac:dyDescent="0.25">
      <c r="A264" s="5">
        <v>44329</v>
      </c>
      <c r="B264">
        <v>1.407</v>
      </c>
      <c r="C264">
        <v>1.6011</v>
      </c>
      <c r="D264">
        <v>1.3031999999999999</v>
      </c>
      <c r="E264">
        <v>1.4044000000000001</v>
      </c>
      <c r="F264">
        <v>1325204.2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-0.32057737495803851</v>
      </c>
      <c r="Q264">
        <f t="shared" si="965"/>
        <v>-424830.48371936742</v>
      </c>
      <c r="R264">
        <f t="shared" si="966"/>
        <v>-25389082.02242348</v>
      </c>
      <c r="S264">
        <f t="shared" si="967"/>
        <v>-253.8908202242348</v>
      </c>
      <c r="T264">
        <f t="shared" si="968"/>
        <v>-0.25389082022423481</v>
      </c>
    </row>
    <row r="265" spans="1:20" x14ac:dyDescent="0.25">
      <c r="A265" s="5">
        <v>44328</v>
      </c>
      <c r="B265">
        <v>1.7044999999999999</v>
      </c>
      <c r="C265">
        <v>1.71</v>
      </c>
      <c r="D265">
        <v>1.4</v>
      </c>
      <c r="E265">
        <v>1.4071</v>
      </c>
      <c r="F265">
        <v>1151097.78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-0.95419354838709614</v>
      </c>
      <c r="Q265">
        <f t="shared" si="965"/>
        <v>-1098370.0752387089</v>
      </c>
      <c r="R265">
        <f t="shared" si="966"/>
        <v>-24964251.538704112</v>
      </c>
      <c r="S265">
        <f t="shared" si="967"/>
        <v>-249.64251538704113</v>
      </c>
      <c r="T265">
        <f t="shared" si="968"/>
        <v>-0.24964251538704113</v>
      </c>
    </row>
    <row r="266" spans="1:20" x14ac:dyDescent="0.25">
      <c r="A266" s="5">
        <v>44327</v>
      </c>
      <c r="B266">
        <v>1.6903999999999999</v>
      </c>
      <c r="C266">
        <v>1.88</v>
      </c>
      <c r="D266">
        <v>1.5123</v>
      </c>
      <c r="E266">
        <v>1.7121999999999999</v>
      </c>
      <c r="F266">
        <v>2031768.38</v>
      </c>
      <c r="G266">
        <v>0</v>
      </c>
      <c r="L266" t="s">
        <v>7</v>
      </c>
      <c r="M266" t="s">
        <v>7</v>
      </c>
      <c r="N266" t="s">
        <v>7</v>
      </c>
      <c r="P266">
        <f t="shared" si="964"/>
        <v>8.7299428882241029E-2</v>
      </c>
      <c r="Q266">
        <f t="shared" si="965"/>
        <v>177372.21919499605</v>
      </c>
      <c r="R266">
        <f t="shared" si="966"/>
        <v>-23865881.463465404</v>
      </c>
      <c r="S266">
        <f t="shared" si="967"/>
        <v>-238.65881463465405</v>
      </c>
      <c r="T266">
        <f t="shared" si="968"/>
        <v>-0.23865881463465405</v>
      </c>
    </row>
    <row r="267" spans="1:20" x14ac:dyDescent="0.25">
      <c r="A267" s="5">
        <v>44326</v>
      </c>
      <c r="B267">
        <v>1.659</v>
      </c>
      <c r="C267">
        <v>2.3887999999999998</v>
      </c>
      <c r="D267">
        <v>1.62</v>
      </c>
      <c r="E267">
        <v>1.6990000000000001</v>
      </c>
      <c r="F267">
        <v>5861285.29</v>
      </c>
      <c r="G267">
        <v>0</v>
      </c>
      <c r="L267" t="s">
        <v>8</v>
      </c>
      <c r="M267" t="s">
        <v>8</v>
      </c>
      <c r="N267" t="s">
        <v>8</v>
      </c>
      <c r="P267">
        <f t="shared" si="964"/>
        <v>-0.7944849115504683</v>
      </c>
      <c r="Q267">
        <f t="shared" si="965"/>
        <v>-4656702.725197711</v>
      </c>
      <c r="R267">
        <f t="shared" si="966"/>
        <v>-24043253.682660401</v>
      </c>
      <c r="S267">
        <f t="shared" si="967"/>
        <v>-240.43253682660401</v>
      </c>
      <c r="T267">
        <f t="shared" si="968"/>
        <v>-0.24043253682660401</v>
      </c>
    </row>
    <row r="268" spans="1:20" x14ac:dyDescent="0.25">
      <c r="A268" s="5">
        <v>44325</v>
      </c>
      <c r="B268">
        <v>1.6698</v>
      </c>
      <c r="C268">
        <v>1.7</v>
      </c>
      <c r="D268">
        <v>1.5</v>
      </c>
      <c r="E268">
        <v>1.6600999999999999</v>
      </c>
      <c r="F268">
        <v>998932.57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0.60099999999999942</v>
      </c>
      <c r="Q268">
        <f t="shared" si="965"/>
        <v>600358.47456999938</v>
      </c>
      <c r="R268">
        <f t="shared" si="966"/>
        <v>-19386550.957462691</v>
      </c>
      <c r="S268">
        <f t="shared" si="967"/>
        <v>-193.86550957462691</v>
      </c>
      <c r="T268">
        <f t="shared" si="968"/>
        <v>-0.19386550957462692</v>
      </c>
    </row>
    <row r="269" spans="1:20" x14ac:dyDescent="0.25">
      <c r="A269" s="5">
        <v>44324</v>
      </c>
      <c r="B269">
        <v>1.6768000000000001</v>
      </c>
      <c r="C269">
        <v>1.7599</v>
      </c>
      <c r="D269">
        <v>1.6101000000000001</v>
      </c>
      <c r="E269">
        <v>1.6698</v>
      </c>
      <c r="F269">
        <v>769919.99</v>
      </c>
      <c r="G269">
        <v>0</v>
      </c>
      <c r="L269" t="s">
        <v>8</v>
      </c>
      <c r="M269" t="s">
        <v>7</v>
      </c>
      <c r="N269" t="s">
        <v>7</v>
      </c>
      <c r="P269">
        <f t="shared" si="964"/>
        <v>-0.20293724966622309</v>
      </c>
      <c r="Q269">
        <f t="shared" si="965"/>
        <v>-156245.44523364599</v>
      </c>
      <c r="R269">
        <f t="shared" si="966"/>
        <v>-19986909.432032689</v>
      </c>
      <c r="S269">
        <f t="shared" si="967"/>
        <v>-199.86909432032689</v>
      </c>
      <c r="T269">
        <f t="shared" si="968"/>
        <v>-0.1998690943203269</v>
      </c>
    </row>
    <row r="270" spans="1:20" x14ac:dyDescent="0.25">
      <c r="A270" s="5">
        <v>44323</v>
      </c>
      <c r="B270">
        <v>1.6242000000000001</v>
      </c>
      <c r="C270">
        <v>1.75</v>
      </c>
      <c r="D270">
        <v>1.58</v>
      </c>
      <c r="E270">
        <v>1.6758</v>
      </c>
      <c r="F270">
        <v>801881.11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0.12705882352941089</v>
      </c>
      <c r="Q270">
        <f t="shared" si="965"/>
        <v>101886.07044705813</v>
      </c>
      <c r="R270">
        <f t="shared" si="966"/>
        <v>-19830663.986799043</v>
      </c>
      <c r="S270">
        <f t="shared" si="967"/>
        <v>-198.30663986799041</v>
      </c>
      <c r="T270">
        <f t="shared" si="968"/>
        <v>-0.19830663986799041</v>
      </c>
    </row>
    <row r="271" spans="1:20" x14ac:dyDescent="0.25">
      <c r="A271" s="5">
        <v>44322</v>
      </c>
      <c r="B271">
        <v>1.7092000000000001</v>
      </c>
      <c r="C271">
        <v>1.88</v>
      </c>
      <c r="D271">
        <v>1.5798000000000001</v>
      </c>
      <c r="E271">
        <v>1.6241000000000001</v>
      </c>
      <c r="F271">
        <v>1421513.97</v>
      </c>
      <c r="G271">
        <v>0</v>
      </c>
      <c r="L271" t="s">
        <v>8</v>
      </c>
      <c r="M271" t="s">
        <v>7</v>
      </c>
      <c r="N271" t="s">
        <v>7</v>
      </c>
      <c r="P271">
        <f t="shared" si="964"/>
        <v>-0.70486342438374394</v>
      </c>
      <c r="Q271">
        <f t="shared" si="965"/>
        <v>-1001973.2047035306</v>
      </c>
      <c r="R271">
        <f t="shared" si="966"/>
        <v>-19932550.0572461</v>
      </c>
      <c r="S271">
        <f t="shared" si="967"/>
        <v>-199.32550057246101</v>
      </c>
      <c r="T271">
        <f t="shared" si="968"/>
        <v>-0.19932550057246101</v>
      </c>
    </row>
    <row r="272" spans="1:20" x14ac:dyDescent="0.25">
      <c r="A272" s="5">
        <v>44321</v>
      </c>
      <c r="B272">
        <v>1.698</v>
      </c>
      <c r="C272">
        <v>1.827</v>
      </c>
      <c r="D272">
        <v>1.6728000000000001</v>
      </c>
      <c r="E272">
        <v>1.7092000000000001</v>
      </c>
      <c r="F272">
        <v>1267760.99</v>
      </c>
      <c r="G272">
        <v>0</v>
      </c>
      <c r="L272" t="s">
        <v>8</v>
      </c>
      <c r="M272" t="s">
        <v>7</v>
      </c>
      <c r="N272" t="s">
        <v>7</v>
      </c>
      <c r="P272">
        <f t="shared" si="964"/>
        <v>-0.5278858625162125</v>
      </c>
      <c r="Q272">
        <f t="shared" si="965"/>
        <v>-669233.1036705575</v>
      </c>
      <c r="R272">
        <f t="shared" si="966"/>
        <v>-18930576.852542568</v>
      </c>
      <c r="S272">
        <f t="shared" si="967"/>
        <v>-189.30576852542569</v>
      </c>
      <c r="T272">
        <f t="shared" si="968"/>
        <v>-0.18930576852542569</v>
      </c>
    </row>
    <row r="273" spans="1:20" x14ac:dyDescent="0.25">
      <c r="A273" s="5">
        <v>44320</v>
      </c>
      <c r="B273">
        <v>1.9388000000000001</v>
      </c>
      <c r="C273">
        <v>1.9388000000000001</v>
      </c>
      <c r="D273">
        <v>1.6497999999999999</v>
      </c>
      <c r="E273">
        <v>1.6980999999999999</v>
      </c>
      <c r="F273">
        <v>1489732.75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-0.6657439446366783</v>
      </c>
      <c r="Q273">
        <f t="shared" si="965"/>
        <v>-991780.55743944657</v>
      </c>
      <c r="R273">
        <f t="shared" si="966"/>
        <v>-18261343.748872012</v>
      </c>
      <c r="S273">
        <f t="shared" si="967"/>
        <v>-182.61343748872011</v>
      </c>
      <c r="T273">
        <f t="shared" si="968"/>
        <v>-0.18261343748872011</v>
      </c>
    </row>
    <row r="274" spans="1:20" x14ac:dyDescent="0.25">
      <c r="A274" s="5">
        <v>44319</v>
      </c>
      <c r="B274">
        <v>1.8786</v>
      </c>
      <c r="C274">
        <v>2.2000000000000002</v>
      </c>
      <c r="D274">
        <v>1.8214999999999999</v>
      </c>
      <c r="E274">
        <v>1.9390000000000001</v>
      </c>
      <c r="F274">
        <v>2705042.67</v>
      </c>
      <c r="G274">
        <v>0</v>
      </c>
      <c r="L274" t="s">
        <v>8</v>
      </c>
      <c r="M274" t="s">
        <v>8</v>
      </c>
      <c r="N274" t="s">
        <v>7</v>
      </c>
      <c r="P274">
        <f t="shared" si="964"/>
        <v>-0.37912813738441176</v>
      </c>
      <c r="Q274">
        <f t="shared" si="965"/>
        <v>-1025557.7890224559</v>
      </c>
      <c r="R274">
        <f t="shared" si="966"/>
        <v>-17269563.191432565</v>
      </c>
      <c r="S274">
        <f t="shared" si="967"/>
        <v>-172.69563191432565</v>
      </c>
      <c r="T274">
        <f t="shared" si="968"/>
        <v>-0.17269563191432563</v>
      </c>
    </row>
    <row r="275" spans="1:20" x14ac:dyDescent="0.25">
      <c r="A275" s="5">
        <v>44318</v>
      </c>
      <c r="B275">
        <v>1.9089</v>
      </c>
      <c r="C275">
        <v>1.9759</v>
      </c>
      <c r="D275">
        <v>1.75</v>
      </c>
      <c r="E275">
        <v>1.8787</v>
      </c>
      <c r="F275">
        <v>2391139.4300000002</v>
      </c>
      <c r="G275">
        <v>0</v>
      </c>
      <c r="L275" t="s">
        <v>7</v>
      </c>
      <c r="M275" t="s">
        <v>7</v>
      </c>
      <c r="N275" t="s">
        <v>7</v>
      </c>
      <c r="P275">
        <f t="shared" si="964"/>
        <v>0.13944223107569759</v>
      </c>
      <c r="Q275">
        <f t="shared" si="965"/>
        <v>333425.81693227182</v>
      </c>
      <c r="R275">
        <f t="shared" si="966"/>
        <v>-16244005.402410109</v>
      </c>
      <c r="S275">
        <f t="shared" si="967"/>
        <v>-162.44005402410107</v>
      </c>
      <c r="T275">
        <f t="shared" si="968"/>
        <v>-0.16244005402410108</v>
      </c>
    </row>
    <row r="276" spans="1:20" x14ac:dyDescent="0.25">
      <c r="A276" s="5">
        <v>44317</v>
      </c>
      <c r="B276">
        <v>1.9888999999999999</v>
      </c>
      <c r="C276">
        <v>2.0528</v>
      </c>
      <c r="D276">
        <v>1.8474999999999999</v>
      </c>
      <c r="E276">
        <v>1.9118999999999999</v>
      </c>
      <c r="F276">
        <v>2363898.29</v>
      </c>
      <c r="G276">
        <v>0</v>
      </c>
      <c r="L276" t="s">
        <v>8</v>
      </c>
      <c r="M276" t="s">
        <v>7</v>
      </c>
      <c r="N276" t="s">
        <v>8</v>
      </c>
      <c r="P276">
        <f t="shared" si="964"/>
        <v>-0.37262542620555283</v>
      </c>
      <c r="Q276">
        <f t="shared" si="965"/>
        <v>-880848.60781782749</v>
      </c>
      <c r="R276">
        <f t="shared" si="966"/>
        <v>-16577431.219342381</v>
      </c>
      <c r="S276">
        <f t="shared" si="967"/>
        <v>-165.77431219342381</v>
      </c>
      <c r="T276">
        <f t="shared" si="968"/>
        <v>-0.16577431219342381</v>
      </c>
    </row>
    <row r="277" spans="1:20" x14ac:dyDescent="0.25">
      <c r="A277" s="5">
        <v>44316</v>
      </c>
      <c r="B277">
        <v>2.0575000000000001</v>
      </c>
      <c r="C277">
        <v>2.4500000000000002</v>
      </c>
      <c r="D277">
        <v>1.8</v>
      </c>
      <c r="E277">
        <v>1.9919</v>
      </c>
      <c r="F277">
        <v>9781604.3300000001</v>
      </c>
      <c r="G277">
        <v>0</v>
      </c>
      <c r="L277" t="s">
        <v>7</v>
      </c>
      <c r="M277" t="s">
        <v>7</v>
      </c>
      <c r="N277" t="s">
        <v>8</v>
      </c>
      <c r="P277">
        <f t="shared" si="964"/>
        <v>-0.4095384615384618</v>
      </c>
      <c r="Q277">
        <f t="shared" si="965"/>
        <v>-4005943.1886861562</v>
      </c>
      <c r="R277">
        <f t="shared" si="966"/>
        <v>-15696582.611524554</v>
      </c>
      <c r="S277">
        <f t="shared" si="967"/>
        <v>-156.96582611524553</v>
      </c>
      <c r="T277">
        <f t="shared" si="968"/>
        <v>-0.15696582611524554</v>
      </c>
    </row>
    <row r="278" spans="1:20" x14ac:dyDescent="0.25">
      <c r="A278" s="5">
        <v>44315</v>
      </c>
      <c r="B278">
        <v>1.3703000000000001</v>
      </c>
      <c r="C278">
        <v>2.4895999999999998</v>
      </c>
      <c r="D278">
        <v>1.2608999999999999</v>
      </c>
      <c r="E278">
        <v>2.0585</v>
      </c>
      <c r="F278">
        <v>15166029.130000001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0.29828273785301562</v>
      </c>
      <c r="Q278">
        <f t="shared" si="965"/>
        <v>4523764.6912549892</v>
      </c>
      <c r="R278">
        <f t="shared" si="966"/>
        <v>-11690639.422838397</v>
      </c>
      <c r="S278">
        <f t="shared" si="967"/>
        <v>-116.90639422838397</v>
      </c>
      <c r="T278">
        <f t="shared" si="968"/>
        <v>-0.11690639422838398</v>
      </c>
    </row>
    <row r="279" spans="1:20" x14ac:dyDescent="0.25">
      <c r="A279" s="5">
        <v>44314</v>
      </c>
      <c r="B279">
        <v>1.4263999999999999</v>
      </c>
      <c r="C279">
        <v>1.4552</v>
      </c>
      <c r="D279">
        <v>1.1816</v>
      </c>
      <c r="E279">
        <v>1.3703000000000001</v>
      </c>
      <c r="F279">
        <v>1697569.8</v>
      </c>
      <c r="G279">
        <v>0</v>
      </c>
      <c r="L279" t="s">
        <v>7</v>
      </c>
      <c r="M279" t="s">
        <v>7</v>
      </c>
      <c r="N279" t="s">
        <v>7</v>
      </c>
      <c r="P279">
        <f t="shared" si="964"/>
        <v>0.37938596491228105</v>
      </c>
      <c r="Q279">
        <f t="shared" si="965"/>
        <v>644034.15657894802</v>
      </c>
      <c r="R279">
        <f t="shared" si="966"/>
        <v>-16214404.114093387</v>
      </c>
      <c r="S279">
        <f t="shared" si="967"/>
        <v>-162.14404114093387</v>
      </c>
      <c r="T279">
        <f t="shared" si="968"/>
        <v>-0.16214404114093386</v>
      </c>
    </row>
    <row r="280" spans="1:20" x14ac:dyDescent="0.25">
      <c r="A280" s="5">
        <v>44313</v>
      </c>
      <c r="B280">
        <v>1.3138000000000001</v>
      </c>
      <c r="C280">
        <v>1.4479</v>
      </c>
      <c r="D280">
        <v>1.2901</v>
      </c>
      <c r="E280">
        <v>1.4262999999999999</v>
      </c>
      <c r="F280">
        <v>1186730.8400000001</v>
      </c>
      <c r="G280">
        <v>0</v>
      </c>
      <c r="L280" t="s">
        <v>7</v>
      </c>
      <c r="M280" t="s">
        <v>8</v>
      </c>
      <c r="N280" t="s">
        <v>7</v>
      </c>
      <c r="P280">
        <f t="shared" si="964"/>
        <v>0.72623574144486602</v>
      </c>
      <c r="Q280">
        <f t="shared" si="965"/>
        <v>861846.35148288868</v>
      </c>
      <c r="R280">
        <f t="shared" si="966"/>
        <v>-16858438.270672336</v>
      </c>
      <c r="S280">
        <f t="shared" si="967"/>
        <v>-168.58438270672337</v>
      </c>
      <c r="T280">
        <f t="shared" si="968"/>
        <v>-0.16858438270672338</v>
      </c>
    </row>
    <row r="281" spans="1:20" x14ac:dyDescent="0.25">
      <c r="A281" s="5">
        <v>44312</v>
      </c>
      <c r="B281">
        <v>1.1363000000000001</v>
      </c>
      <c r="C281">
        <v>1.43</v>
      </c>
      <c r="D281">
        <v>1.1362000000000001</v>
      </c>
      <c r="E281">
        <v>1.3154999999999999</v>
      </c>
      <c r="F281">
        <v>901490.73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0.22055820285908706</v>
      </c>
      <c r="Q281">
        <f t="shared" si="965"/>
        <v>198831.17530292648</v>
      </c>
      <c r="R281">
        <f t="shared" si="966"/>
        <v>-17720284.622155227</v>
      </c>
      <c r="S281">
        <f t="shared" si="967"/>
        <v>-177.20284622155228</v>
      </c>
      <c r="T281">
        <f t="shared" si="968"/>
        <v>-0.17720284622155227</v>
      </c>
    </row>
    <row r="282" spans="1:20" x14ac:dyDescent="0.25">
      <c r="A282" s="5">
        <v>44311</v>
      </c>
      <c r="B282">
        <v>1.1063000000000001</v>
      </c>
      <c r="C282">
        <v>1.2410000000000001</v>
      </c>
      <c r="D282">
        <v>1.0209999999999999</v>
      </c>
      <c r="E282">
        <v>1.1332</v>
      </c>
      <c r="F282">
        <v>610411.38</v>
      </c>
      <c r="G282">
        <v>0</v>
      </c>
      <c r="L282" t="s">
        <v>8</v>
      </c>
      <c r="M282" t="s">
        <v>8</v>
      </c>
      <c r="N282" t="s">
        <v>7</v>
      </c>
      <c r="P282">
        <f t="shared" si="964"/>
        <v>1.9999999999999799E-2</v>
      </c>
      <c r="Q282">
        <f t="shared" si="965"/>
        <v>12208.227599999878</v>
      </c>
      <c r="R282">
        <f t="shared" si="966"/>
        <v>-17919115.797458153</v>
      </c>
      <c r="S282">
        <f t="shared" si="967"/>
        <v>-179.19115797458153</v>
      </c>
      <c r="T282">
        <f t="shared" si="968"/>
        <v>-0.17919115797458152</v>
      </c>
    </row>
    <row r="283" spans="1:20" x14ac:dyDescent="0.25">
      <c r="A283" s="5">
        <v>44310</v>
      </c>
      <c r="B283">
        <v>1.1361000000000001</v>
      </c>
      <c r="C283">
        <v>1.2045999999999999</v>
      </c>
      <c r="D283">
        <v>1.0645</v>
      </c>
      <c r="E283">
        <v>1.1277999999999999</v>
      </c>
      <c r="F283">
        <v>657936.15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-9.6359743040685786E-2</v>
      </c>
      <c r="Q283">
        <f t="shared" si="965"/>
        <v>-63398.558351178101</v>
      </c>
      <c r="R283">
        <f t="shared" si="966"/>
        <v>-17931324.025058154</v>
      </c>
      <c r="S283">
        <f t="shared" si="967"/>
        <v>-179.31324025058154</v>
      </c>
      <c r="T283">
        <f t="shared" si="968"/>
        <v>-0.17931324025058154</v>
      </c>
    </row>
    <row r="284" spans="1:20" x14ac:dyDescent="0.25">
      <c r="A284" s="5">
        <v>44309</v>
      </c>
      <c r="B284">
        <v>1.2458</v>
      </c>
      <c r="C284">
        <v>1.2499</v>
      </c>
      <c r="D284">
        <v>1.0189999999999999</v>
      </c>
      <c r="E284">
        <v>1.1372</v>
      </c>
      <c r="F284">
        <v>936687.86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2.381983542659185E-2</v>
      </c>
      <c r="Q284">
        <f t="shared" si="965"/>
        <v>22311.750671286507</v>
      </c>
      <c r="R284">
        <f t="shared" si="966"/>
        <v>-17867925.466706976</v>
      </c>
      <c r="S284">
        <f t="shared" si="967"/>
        <v>-178.67925466706976</v>
      </c>
      <c r="T284">
        <f t="shared" si="968"/>
        <v>-0.17867925466706974</v>
      </c>
    </row>
    <row r="285" spans="1:20" x14ac:dyDescent="0.25">
      <c r="A285" s="5">
        <v>44308</v>
      </c>
      <c r="B285">
        <v>1.3008999999999999</v>
      </c>
      <c r="C285">
        <v>1.5117</v>
      </c>
      <c r="D285">
        <v>1.1599999999999999</v>
      </c>
      <c r="E285">
        <v>1.2464999999999999</v>
      </c>
      <c r="F285">
        <v>989222.12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-0.50810349729883431</v>
      </c>
      <c r="Q285">
        <f t="shared" si="965"/>
        <v>-502627.21877736715</v>
      </c>
      <c r="R285">
        <f t="shared" si="966"/>
        <v>-17890237.217378262</v>
      </c>
      <c r="S285">
        <f t="shared" si="967"/>
        <v>-178.90237217378262</v>
      </c>
      <c r="T285">
        <f t="shared" si="968"/>
        <v>-0.17890237217378263</v>
      </c>
    </row>
    <row r="286" spans="1:20" x14ac:dyDescent="0.25">
      <c r="A286" s="5">
        <v>44307</v>
      </c>
      <c r="B286">
        <v>1.3923000000000001</v>
      </c>
      <c r="C286">
        <v>1.589</v>
      </c>
      <c r="D286">
        <v>1.2849999999999999</v>
      </c>
      <c r="E286">
        <v>1.2996000000000001</v>
      </c>
      <c r="F286">
        <v>786882.03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-0.9039473684210515</v>
      </c>
      <c r="Q286">
        <f t="shared" si="965"/>
        <v>-711299.94027631497</v>
      </c>
      <c r="R286">
        <f t="shared" si="966"/>
        <v>-17387609.998600896</v>
      </c>
      <c r="S286">
        <f t="shared" si="967"/>
        <v>-173.87609998600897</v>
      </c>
      <c r="T286">
        <f t="shared" si="968"/>
        <v>-0.17387609998600898</v>
      </c>
    </row>
    <row r="287" spans="1:20" x14ac:dyDescent="0.25">
      <c r="A287" s="5">
        <v>44306</v>
      </c>
      <c r="B287">
        <v>1.4832000000000001</v>
      </c>
      <c r="C287">
        <v>1.5201</v>
      </c>
      <c r="D287">
        <v>1.2825</v>
      </c>
      <c r="E287">
        <v>1.3889</v>
      </c>
      <c r="F287">
        <v>886084.49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-0.10437710437710408</v>
      </c>
      <c r="Q287">
        <f t="shared" si="965"/>
        <v>-92486.93329966304</v>
      </c>
      <c r="R287">
        <f t="shared" si="966"/>
        <v>-16676310.058324581</v>
      </c>
      <c r="S287">
        <f t="shared" si="967"/>
        <v>-166.7631005832458</v>
      </c>
      <c r="T287">
        <f t="shared" si="968"/>
        <v>-0.16676310058324581</v>
      </c>
    </row>
    <row r="288" spans="1:20" x14ac:dyDescent="0.25">
      <c r="A288" s="5">
        <v>44305</v>
      </c>
      <c r="B288">
        <v>1.69</v>
      </c>
      <c r="C288">
        <v>1.7896000000000001</v>
      </c>
      <c r="D288">
        <v>1.4641</v>
      </c>
      <c r="E288">
        <v>1.4819</v>
      </c>
      <c r="F288">
        <v>934705.37</v>
      </c>
      <c r="G288">
        <v>0</v>
      </c>
      <c r="L288" t="s">
        <v>7</v>
      </c>
      <c r="M288" t="s">
        <v>7</v>
      </c>
      <c r="N288" t="s">
        <v>7</v>
      </c>
      <c r="P288">
        <f t="shared" si="964"/>
        <v>-0.8906298003072195</v>
      </c>
      <c r="Q288">
        <f t="shared" si="965"/>
        <v>-832476.45702918572</v>
      </c>
      <c r="R288">
        <f t="shared" si="966"/>
        <v>-16583823.125024918</v>
      </c>
      <c r="S288">
        <f t="shared" si="967"/>
        <v>-165.83823125024918</v>
      </c>
      <c r="T288">
        <f t="shared" si="968"/>
        <v>-0.16583823125024919</v>
      </c>
    </row>
    <row r="289" spans="1:20" x14ac:dyDescent="0.25">
      <c r="A289" s="5">
        <v>44304</v>
      </c>
      <c r="B289">
        <v>1.8214999999999999</v>
      </c>
      <c r="C289">
        <v>1.8777999999999999</v>
      </c>
      <c r="D289">
        <v>1.64</v>
      </c>
      <c r="E289">
        <v>1.69</v>
      </c>
      <c r="F289">
        <v>903155.44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-0.57947855340622334</v>
      </c>
      <c r="Q289">
        <f t="shared" si="965"/>
        <v>-523359.20787216112</v>
      </c>
      <c r="R289">
        <f t="shared" si="966"/>
        <v>-15751346.667995732</v>
      </c>
      <c r="S289">
        <f t="shared" si="967"/>
        <v>-157.51346667995733</v>
      </c>
      <c r="T289">
        <f t="shared" si="968"/>
        <v>-0.15751346667995733</v>
      </c>
    </row>
    <row r="290" spans="1:20" x14ac:dyDescent="0.25">
      <c r="A290" s="5">
        <v>44303</v>
      </c>
      <c r="B290">
        <v>1.9417</v>
      </c>
      <c r="C290">
        <v>2.1718999999999999</v>
      </c>
      <c r="D290">
        <v>1.7438</v>
      </c>
      <c r="E290">
        <v>1.8211999999999999</v>
      </c>
      <c r="F290">
        <v>1360309.73</v>
      </c>
      <c r="G290">
        <v>0</v>
      </c>
      <c r="L290" t="s">
        <v>7</v>
      </c>
      <c r="M290" t="s">
        <v>7</v>
      </c>
      <c r="N290" t="s">
        <v>7</v>
      </c>
      <c r="P290">
        <f t="shared" si="964"/>
        <v>-0.63840224246671373</v>
      </c>
      <c r="Q290">
        <f t="shared" si="965"/>
        <v>-868424.78208128992</v>
      </c>
      <c r="R290">
        <f t="shared" si="966"/>
        <v>-15227987.460123571</v>
      </c>
      <c r="S290">
        <f t="shared" si="967"/>
        <v>-152.27987460123572</v>
      </c>
      <c r="T290">
        <f t="shared" si="968"/>
        <v>-0.15227987460123571</v>
      </c>
    </row>
    <row r="291" spans="1:20" x14ac:dyDescent="0.25">
      <c r="A291" s="5">
        <v>44302</v>
      </c>
      <c r="B291">
        <v>2.3340000000000001</v>
      </c>
      <c r="C291">
        <v>2.4500000000000002</v>
      </c>
      <c r="D291">
        <v>1.7964</v>
      </c>
      <c r="E291">
        <v>1.9499</v>
      </c>
      <c r="F291">
        <v>2123496.09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-0.53029375764993902</v>
      </c>
      <c r="Q291">
        <f t="shared" si="965"/>
        <v>-1126076.7209210531</v>
      </c>
      <c r="R291">
        <f t="shared" si="966"/>
        <v>-14359562.678042281</v>
      </c>
      <c r="S291">
        <f t="shared" si="967"/>
        <v>-143.5956267804228</v>
      </c>
      <c r="T291">
        <f t="shared" si="968"/>
        <v>-0.14359562678042281</v>
      </c>
    </row>
    <row r="292" spans="1:20" x14ac:dyDescent="0.25">
      <c r="A292" s="5">
        <v>44301</v>
      </c>
      <c r="B292">
        <v>2.3906999999999998</v>
      </c>
      <c r="C292">
        <v>2.5998999999999999</v>
      </c>
      <c r="D292">
        <v>2.2363</v>
      </c>
      <c r="E292">
        <v>2.3340000000000001</v>
      </c>
      <c r="F292">
        <v>785685.85</v>
      </c>
      <c r="G292">
        <v>0</v>
      </c>
      <c r="L292" t="s">
        <v>8</v>
      </c>
      <c r="M292" t="s">
        <v>8</v>
      </c>
      <c r="N292" t="s">
        <v>7</v>
      </c>
      <c r="P292">
        <f t="shared" si="964"/>
        <v>-0.46259625962596185</v>
      </c>
      <c r="Q292">
        <f t="shared" si="965"/>
        <v>-363455.33545104449</v>
      </c>
      <c r="R292">
        <f t="shared" si="966"/>
        <v>-13233485.957121229</v>
      </c>
      <c r="S292">
        <f t="shared" si="967"/>
        <v>-132.33485957121229</v>
      </c>
      <c r="T292">
        <f t="shared" si="968"/>
        <v>-0.1323348595712123</v>
      </c>
    </row>
    <row r="293" spans="1:20" x14ac:dyDescent="0.25">
      <c r="A293" s="5">
        <v>44300</v>
      </c>
      <c r="B293">
        <v>2.2353000000000001</v>
      </c>
      <c r="C293">
        <v>2.4500000000000002</v>
      </c>
      <c r="D293">
        <v>2.1570999999999998</v>
      </c>
      <c r="E293">
        <v>2.3889</v>
      </c>
      <c r="F293">
        <v>758583.63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0.58279276203482366</v>
      </c>
      <c r="Q293">
        <f t="shared" si="965"/>
        <v>442097.04896210274</v>
      </c>
      <c r="R293">
        <f t="shared" si="966"/>
        <v>-12870030.621670185</v>
      </c>
      <c r="S293">
        <f t="shared" si="967"/>
        <v>-128.70030621670185</v>
      </c>
      <c r="T293">
        <f t="shared" si="968"/>
        <v>-0.12870030621670184</v>
      </c>
    </row>
    <row r="294" spans="1:20" x14ac:dyDescent="0.25">
      <c r="A294" s="5">
        <v>44299</v>
      </c>
      <c r="B294">
        <v>2.3268</v>
      </c>
      <c r="C294">
        <v>2.39</v>
      </c>
      <c r="D294">
        <v>2.2301000000000002</v>
      </c>
      <c r="E294">
        <v>2.2355</v>
      </c>
      <c r="F294">
        <v>572998.55000000005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-0.93245778611632457</v>
      </c>
      <c r="Q294">
        <f t="shared" si="965"/>
        <v>-534296.95938086417</v>
      </c>
      <c r="R294">
        <f t="shared" si="966"/>
        <v>-13312127.670632288</v>
      </c>
      <c r="S294">
        <f t="shared" si="967"/>
        <v>-133.12127670632287</v>
      </c>
      <c r="T294">
        <f t="shared" si="968"/>
        <v>-0.13312127670632287</v>
      </c>
    </row>
    <row r="295" spans="1:20" x14ac:dyDescent="0.25">
      <c r="A295" s="5">
        <v>44298</v>
      </c>
      <c r="B295">
        <v>2.415</v>
      </c>
      <c r="C295">
        <v>2.4710000000000001</v>
      </c>
      <c r="D295">
        <v>2.3001</v>
      </c>
      <c r="E295">
        <v>2.3332999999999999</v>
      </c>
      <c r="F295">
        <v>687560.93</v>
      </c>
      <c r="G295">
        <v>0</v>
      </c>
      <c r="L295" t="s">
        <v>8</v>
      </c>
      <c r="M295" t="s">
        <v>7</v>
      </c>
      <c r="N295" t="s">
        <v>7</v>
      </c>
      <c r="P295">
        <f t="shared" si="964"/>
        <v>-0.61146869514336</v>
      </c>
      <c r="Q295">
        <f t="shared" si="965"/>
        <v>-420421.98469865514</v>
      </c>
      <c r="R295">
        <f t="shared" si="966"/>
        <v>-12777830.711251423</v>
      </c>
      <c r="S295">
        <f t="shared" si="967"/>
        <v>-127.77830711251423</v>
      </c>
      <c r="T295">
        <f t="shared" si="968"/>
        <v>-0.12777830711251423</v>
      </c>
    </row>
    <row r="296" spans="1:20" x14ac:dyDescent="0.25">
      <c r="A296" s="5">
        <v>44297</v>
      </c>
      <c r="B296">
        <v>2.46</v>
      </c>
      <c r="C296">
        <v>2.4841000000000002</v>
      </c>
      <c r="D296">
        <v>2.2599999999999998</v>
      </c>
      <c r="E296">
        <v>2.4135</v>
      </c>
      <c r="F296">
        <v>503275.85</v>
      </c>
      <c r="G296">
        <v>0</v>
      </c>
      <c r="L296" t="s">
        <v>7</v>
      </c>
      <c r="M296" t="s">
        <v>7</v>
      </c>
      <c r="N296" t="s">
        <v>7</v>
      </c>
      <c r="P296">
        <f t="shared" si="964"/>
        <v>0.36992414100847754</v>
      </c>
      <c r="Q296">
        <f t="shared" si="965"/>
        <v>186173.88650156138</v>
      </c>
      <c r="R296">
        <f t="shared" si="966"/>
        <v>-12357408.726552768</v>
      </c>
      <c r="S296">
        <f t="shared" si="967"/>
        <v>-123.57408726552768</v>
      </c>
      <c r="T296">
        <f t="shared" si="968"/>
        <v>-0.12357408726552768</v>
      </c>
    </row>
    <row r="297" spans="1:20" x14ac:dyDescent="0.25">
      <c r="A297" s="5">
        <v>44296</v>
      </c>
      <c r="B297">
        <v>2.5059</v>
      </c>
      <c r="C297">
        <v>2.61</v>
      </c>
      <c r="D297">
        <v>2.4011999999999998</v>
      </c>
      <c r="E297">
        <v>2.4662000000000002</v>
      </c>
      <c r="F297">
        <v>582302.63</v>
      </c>
      <c r="G297">
        <v>0</v>
      </c>
      <c r="L297" t="s">
        <v>7</v>
      </c>
      <c r="M297" t="s">
        <v>7</v>
      </c>
      <c r="N297" t="s">
        <v>7</v>
      </c>
      <c r="P297">
        <f t="shared" si="964"/>
        <v>-0.37739463601532219</v>
      </c>
      <c r="Q297">
        <f t="shared" si="965"/>
        <v>-219757.88909961484</v>
      </c>
      <c r="R297">
        <f t="shared" si="966"/>
        <v>-12543582.61305433</v>
      </c>
      <c r="S297">
        <f t="shared" si="967"/>
        <v>-125.43582613054329</v>
      </c>
      <c r="T297">
        <f t="shared" si="968"/>
        <v>-0.1254358261305433</v>
      </c>
    </row>
    <row r="298" spans="1:20" x14ac:dyDescent="0.25">
      <c r="A298" s="5">
        <v>44295</v>
      </c>
      <c r="B298">
        <v>2.6572</v>
      </c>
      <c r="C298">
        <v>2.7172999999999998</v>
      </c>
      <c r="D298">
        <v>2.4580000000000002</v>
      </c>
      <c r="E298">
        <v>2.4925999999999999</v>
      </c>
      <c r="F298">
        <v>615066.9</v>
      </c>
      <c r="G298">
        <v>0</v>
      </c>
      <c r="L298" t="s">
        <v>7</v>
      </c>
      <c r="M298" t="s">
        <v>7</v>
      </c>
      <c r="N298" t="s">
        <v>7</v>
      </c>
      <c r="P298">
        <f t="shared" si="964"/>
        <v>-0.73312765136907221</v>
      </c>
      <c r="Q298">
        <f t="shared" si="965"/>
        <v>-450922.55183185602</v>
      </c>
      <c r="R298">
        <f t="shared" si="966"/>
        <v>-12323824.723954715</v>
      </c>
      <c r="S298">
        <f t="shared" si="967"/>
        <v>-123.23824723954715</v>
      </c>
      <c r="T298">
        <f t="shared" si="968"/>
        <v>-0.12323824723954716</v>
      </c>
    </row>
    <row r="299" spans="1:20" x14ac:dyDescent="0.25">
      <c r="A299" s="5">
        <v>44294</v>
      </c>
      <c r="B299">
        <v>2.7696999999999998</v>
      </c>
      <c r="C299">
        <v>2.9487999999999999</v>
      </c>
      <c r="D299">
        <v>2.6101999999999999</v>
      </c>
      <c r="E299">
        <v>2.6572</v>
      </c>
      <c r="F299">
        <v>1041434.35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-0.72238629651506114</v>
      </c>
      <c r="Q299">
        <f t="shared" si="965"/>
        <v>-752317.90316006995</v>
      </c>
      <c r="R299">
        <f t="shared" si="966"/>
        <v>-11872902.172122858</v>
      </c>
      <c r="S299">
        <f t="shared" si="967"/>
        <v>-118.72902172122859</v>
      </c>
      <c r="T299">
        <f t="shared" si="968"/>
        <v>-0.11872902172122859</v>
      </c>
    </row>
    <row r="300" spans="1:20" x14ac:dyDescent="0.25">
      <c r="A300" s="5">
        <v>44293</v>
      </c>
      <c r="B300">
        <v>2.4982000000000002</v>
      </c>
      <c r="C300">
        <v>2.8289</v>
      </c>
      <c r="D300">
        <v>2.2999999999999998</v>
      </c>
      <c r="E300">
        <v>2.7696999999999998</v>
      </c>
      <c r="F300">
        <v>1444615.45</v>
      </c>
      <c r="G300">
        <v>0</v>
      </c>
      <c r="L300" t="s">
        <v>7</v>
      </c>
      <c r="M300" t="s">
        <v>8</v>
      </c>
      <c r="N300" t="s">
        <v>7</v>
      </c>
      <c r="P300">
        <f t="shared" si="964"/>
        <v>0.77613915674040412</v>
      </c>
      <c r="Q300">
        <f t="shared" si="965"/>
        <v>1121222.6171771593</v>
      </c>
      <c r="R300">
        <f t="shared" si="966"/>
        <v>-11120584.268962789</v>
      </c>
      <c r="S300">
        <f t="shared" si="967"/>
        <v>-111.2058426896279</v>
      </c>
      <c r="T300">
        <f t="shared" si="968"/>
        <v>-0.1112058426896279</v>
      </c>
    </row>
    <row r="301" spans="1:20" x14ac:dyDescent="0.25">
      <c r="A301" s="5">
        <v>44292</v>
      </c>
      <c r="B301">
        <v>2.5341</v>
      </c>
      <c r="C301">
        <v>2.6080000000000001</v>
      </c>
      <c r="D301">
        <v>2.3906000000000001</v>
      </c>
      <c r="E301">
        <v>2.5105</v>
      </c>
      <c r="F301">
        <v>712330.4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0.10303587856485626</v>
      </c>
      <c r="Q301">
        <f t="shared" si="965"/>
        <v>73395.58859245549</v>
      </c>
      <c r="R301">
        <f t="shared" si="966"/>
        <v>-12241806.886139948</v>
      </c>
      <c r="S301">
        <f t="shared" si="967"/>
        <v>-122.41806886139948</v>
      </c>
      <c r="T301">
        <f t="shared" si="968"/>
        <v>-0.12241806886139947</v>
      </c>
    </row>
    <row r="302" spans="1:20" x14ac:dyDescent="0.25">
      <c r="A302" s="5">
        <v>44291</v>
      </c>
      <c r="B302">
        <v>2.3816000000000002</v>
      </c>
      <c r="C302">
        <v>2.65</v>
      </c>
      <c r="D302">
        <v>2.2281</v>
      </c>
      <c r="E302">
        <v>2.5341</v>
      </c>
      <c r="F302">
        <v>1023372.19</v>
      </c>
      <c r="G302">
        <v>0</v>
      </c>
      <c r="L302" t="s">
        <v>8</v>
      </c>
      <c r="M302" t="s">
        <v>7</v>
      </c>
      <c r="N302" t="s">
        <v>7</v>
      </c>
      <c r="P302">
        <f t="shared" si="964"/>
        <v>0.45058070632851432</v>
      </c>
      <c r="Q302">
        <f t="shared" si="965"/>
        <v>461111.76420715853</v>
      </c>
      <c r="R302">
        <f t="shared" si="966"/>
        <v>-12315202.474732403</v>
      </c>
      <c r="S302">
        <f t="shared" si="967"/>
        <v>-123.15202474732402</v>
      </c>
      <c r="T302">
        <f t="shared" si="968"/>
        <v>-0.12315202474732402</v>
      </c>
    </row>
    <row r="303" spans="1:20" x14ac:dyDescent="0.25">
      <c r="A303" s="5">
        <v>44290</v>
      </c>
      <c r="B303">
        <v>2.2801</v>
      </c>
      <c r="C303">
        <v>2.4571999999999998</v>
      </c>
      <c r="D303">
        <v>2.2201</v>
      </c>
      <c r="E303">
        <v>2.3675000000000002</v>
      </c>
      <c r="F303">
        <v>651980.63</v>
      </c>
      <c r="G303">
        <v>0</v>
      </c>
      <c r="L303" t="s">
        <v>8</v>
      </c>
      <c r="M303" t="s">
        <v>7</v>
      </c>
      <c r="N303" t="s">
        <v>7</v>
      </c>
      <c r="P303">
        <f t="shared" si="964"/>
        <v>0.24335723323492434</v>
      </c>
      <c r="Q303">
        <f t="shared" si="965"/>
        <v>158664.2022395629</v>
      </c>
      <c r="R303">
        <f t="shared" si="966"/>
        <v>-12776314.238939561</v>
      </c>
      <c r="S303">
        <f t="shared" si="967"/>
        <v>-127.76314238939561</v>
      </c>
      <c r="T303">
        <f t="shared" si="968"/>
        <v>-0.12776314238939562</v>
      </c>
    </row>
    <row r="304" spans="1:20" x14ac:dyDescent="0.25">
      <c r="A304" s="5">
        <v>44289</v>
      </c>
      <c r="B304">
        <v>2.5110000000000001</v>
      </c>
      <c r="C304">
        <v>2.5455000000000001</v>
      </c>
      <c r="D304">
        <v>2.202</v>
      </c>
      <c r="E304">
        <v>2.2858000000000001</v>
      </c>
      <c r="F304">
        <v>1039319.95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-0.5120815138282383</v>
      </c>
      <c r="Q304">
        <f t="shared" si="965"/>
        <v>-532216.53334788897</v>
      </c>
      <c r="R304">
        <f t="shared" si="966"/>
        <v>-12934978.441179125</v>
      </c>
      <c r="S304">
        <f t="shared" si="967"/>
        <v>-129.34978441179123</v>
      </c>
      <c r="T304">
        <f t="shared" si="968"/>
        <v>-0.12934978441179124</v>
      </c>
    </row>
    <row r="305" spans="1:20" x14ac:dyDescent="0.25">
      <c r="A305" s="5">
        <v>44288</v>
      </c>
      <c r="B305">
        <v>2.4698000000000002</v>
      </c>
      <c r="C305">
        <v>2.78</v>
      </c>
      <c r="D305">
        <v>2.4003999999999999</v>
      </c>
      <c r="E305">
        <v>2.5110000000000001</v>
      </c>
      <c r="F305">
        <v>1349444.77</v>
      </c>
      <c r="G305">
        <v>0</v>
      </c>
      <c r="L305" t="s">
        <v>8</v>
      </c>
      <c r="M305" t="s">
        <v>7</v>
      </c>
      <c r="N305" t="s">
        <v>7</v>
      </c>
      <c r="P305">
        <f t="shared" si="964"/>
        <v>-0.41728134878819667</v>
      </c>
      <c r="Q305">
        <f t="shared" si="965"/>
        <v>-563098.13374077785</v>
      </c>
      <c r="R305">
        <f t="shared" si="966"/>
        <v>-12402761.907831235</v>
      </c>
      <c r="S305">
        <f t="shared" si="967"/>
        <v>-124.02761907831236</v>
      </c>
      <c r="T305">
        <f t="shared" si="968"/>
        <v>-0.12402761907831236</v>
      </c>
    </row>
    <row r="306" spans="1:20" x14ac:dyDescent="0.25">
      <c r="A306" s="5">
        <v>44287</v>
      </c>
      <c r="B306">
        <v>2.8249</v>
      </c>
      <c r="C306">
        <v>2.8249</v>
      </c>
      <c r="D306">
        <v>2.33</v>
      </c>
      <c r="E306">
        <v>2.4714</v>
      </c>
      <c r="F306">
        <v>1095971.77</v>
      </c>
      <c r="G306">
        <v>0</v>
      </c>
      <c r="L306" t="s">
        <v>7</v>
      </c>
      <c r="M306" t="s">
        <v>7</v>
      </c>
      <c r="N306" t="s">
        <v>7</v>
      </c>
      <c r="P306">
        <f t="shared" si="964"/>
        <v>-0.42857142857142855</v>
      </c>
      <c r="Q306">
        <f t="shared" si="965"/>
        <v>-469702.18714285712</v>
      </c>
      <c r="R306">
        <f t="shared" si="966"/>
        <v>-11839663.774090458</v>
      </c>
      <c r="S306">
        <f t="shared" si="967"/>
        <v>-118.39663774090458</v>
      </c>
      <c r="T306">
        <f t="shared" si="968"/>
        <v>-0.11839663774090459</v>
      </c>
    </row>
    <row r="307" spans="1:20" x14ac:dyDescent="0.25">
      <c r="A307" s="5">
        <v>44286</v>
      </c>
      <c r="B307">
        <v>2.8296000000000001</v>
      </c>
      <c r="C307">
        <v>2.9710000000000001</v>
      </c>
      <c r="D307">
        <v>2.5261</v>
      </c>
      <c r="E307">
        <v>2.8247</v>
      </c>
      <c r="F307">
        <v>1663291.51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0.3423241177792759</v>
      </c>
      <c r="Q307">
        <f t="shared" si="965"/>
        <v>569384.79877050966</v>
      </c>
      <c r="R307">
        <f t="shared" si="966"/>
        <v>-11369961.586947601</v>
      </c>
      <c r="S307">
        <f t="shared" si="967"/>
        <v>-113.69961586947602</v>
      </c>
      <c r="T307">
        <f t="shared" si="968"/>
        <v>-0.11369961586947602</v>
      </c>
    </row>
    <row r="308" spans="1:20" x14ac:dyDescent="0.25">
      <c r="A308" s="5">
        <v>44285</v>
      </c>
      <c r="B308">
        <v>3.0263</v>
      </c>
      <c r="C308">
        <v>3.25</v>
      </c>
      <c r="D308">
        <v>2.7763</v>
      </c>
      <c r="E308">
        <v>2.8201000000000001</v>
      </c>
      <c r="F308">
        <v>1200638.33</v>
      </c>
      <c r="G308">
        <v>0</v>
      </c>
      <c r="L308" t="s">
        <v>7</v>
      </c>
      <c r="M308" t="s">
        <v>7</v>
      </c>
      <c r="N308" t="s">
        <v>8</v>
      </c>
      <c r="P308">
        <f t="shared" si="964"/>
        <v>-0.8150728309056362</v>
      </c>
      <c r="Q308">
        <f t="shared" si="965"/>
        <v>-978607.68252691545</v>
      </c>
      <c r="R308">
        <f t="shared" si="966"/>
        <v>-11939346.385718111</v>
      </c>
      <c r="S308">
        <f t="shared" si="967"/>
        <v>-119.3934638571811</v>
      </c>
      <c r="T308">
        <f t="shared" si="968"/>
        <v>-0.11939346385718111</v>
      </c>
    </row>
    <row r="309" spans="1:20" x14ac:dyDescent="0.25">
      <c r="A309" s="5">
        <v>44284</v>
      </c>
      <c r="B309">
        <v>3.077</v>
      </c>
      <c r="C309">
        <v>3.2719</v>
      </c>
      <c r="D309">
        <v>2.8822000000000001</v>
      </c>
      <c r="E309">
        <v>3.0322</v>
      </c>
      <c r="F309">
        <v>1084598.25</v>
      </c>
      <c r="G309">
        <v>0</v>
      </c>
      <c r="L309" t="s">
        <v>8</v>
      </c>
      <c r="M309" t="s">
        <v>7</v>
      </c>
      <c r="N309" t="s">
        <v>8</v>
      </c>
      <c r="P309">
        <f t="shared" si="964"/>
        <v>-0.23017705927636675</v>
      </c>
      <c r="Q309">
        <f t="shared" si="965"/>
        <v>-249649.63568129364</v>
      </c>
      <c r="R309">
        <f t="shared" si="966"/>
        <v>-10960738.703191195</v>
      </c>
      <c r="S309">
        <f t="shared" si="967"/>
        <v>-109.60738703191194</v>
      </c>
      <c r="T309">
        <f t="shared" si="968"/>
        <v>-0.10960738703191195</v>
      </c>
    </row>
    <row r="310" spans="1:20" x14ac:dyDescent="0.25">
      <c r="A310" s="5">
        <v>44283</v>
      </c>
      <c r="B310">
        <v>3.1225999999999998</v>
      </c>
      <c r="C310">
        <v>3.3014999999999999</v>
      </c>
      <c r="D310">
        <v>2.8136000000000001</v>
      </c>
      <c r="E310">
        <v>3.077</v>
      </c>
      <c r="F310">
        <v>1018493.36</v>
      </c>
      <c r="G310">
        <v>0</v>
      </c>
      <c r="L310" t="s">
        <v>7</v>
      </c>
      <c r="M310" t="s">
        <v>7</v>
      </c>
      <c r="N310" t="s">
        <v>8</v>
      </c>
      <c r="P310">
        <f t="shared" si="964"/>
        <v>7.9729452756712338E-2</v>
      </c>
      <c r="Q310">
        <f t="shared" si="965"/>
        <v>81203.918229145216</v>
      </c>
      <c r="R310">
        <f t="shared" si="966"/>
        <v>-10711089.067509901</v>
      </c>
      <c r="S310">
        <f t="shared" si="967"/>
        <v>-107.11089067509901</v>
      </c>
      <c r="T310">
        <f t="shared" si="968"/>
        <v>-0.10711089067509902</v>
      </c>
    </row>
    <row r="311" spans="1:20" x14ac:dyDescent="0.25">
      <c r="A311" s="5">
        <v>44282</v>
      </c>
      <c r="B311">
        <v>2.9514</v>
      </c>
      <c r="C311">
        <v>3.399</v>
      </c>
      <c r="D311">
        <v>2.8586</v>
      </c>
      <c r="E311">
        <v>3.1303000000000001</v>
      </c>
      <c r="F311">
        <v>1417703.41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5.5514433752777825E-3</v>
      </c>
      <c r="Q311">
        <f t="shared" si="965"/>
        <v>7870.3002035532218</v>
      </c>
      <c r="R311">
        <f t="shared" si="966"/>
        <v>-10792292.985739047</v>
      </c>
      <c r="S311">
        <f t="shared" si="967"/>
        <v>-107.92292985739047</v>
      </c>
      <c r="T311">
        <f t="shared" si="968"/>
        <v>-0.10792292985739046</v>
      </c>
    </row>
    <row r="312" spans="1:20" x14ac:dyDescent="0.25">
      <c r="A312" s="5">
        <v>44281</v>
      </c>
      <c r="B312">
        <v>2.6720000000000002</v>
      </c>
      <c r="C312">
        <v>3.1</v>
      </c>
      <c r="D312">
        <v>2.6528</v>
      </c>
      <c r="E312">
        <v>2.9474</v>
      </c>
      <c r="F312">
        <v>1070134.2</v>
      </c>
      <c r="G312">
        <v>0</v>
      </c>
      <c r="L312" t="s">
        <v>8</v>
      </c>
      <c r="M312" t="s">
        <v>8</v>
      </c>
      <c r="N312" t="s">
        <v>8</v>
      </c>
      <c r="P312">
        <f t="shared" si="964"/>
        <v>0.31753130590339868</v>
      </c>
      <c r="Q312">
        <f t="shared" si="965"/>
        <v>339801.11001788883</v>
      </c>
      <c r="R312">
        <f t="shared" si="966"/>
        <v>-10800163.285942599</v>
      </c>
      <c r="S312">
        <f t="shared" si="967"/>
        <v>-108.001632859426</v>
      </c>
      <c r="T312">
        <f t="shared" si="968"/>
        <v>-0.108001632859426</v>
      </c>
    </row>
    <row r="313" spans="1:20" x14ac:dyDescent="0.25">
      <c r="A313" s="5">
        <v>44280</v>
      </c>
      <c r="B313">
        <v>2.6995</v>
      </c>
      <c r="C313">
        <v>2.8995000000000002</v>
      </c>
      <c r="D313">
        <v>2.5089000000000001</v>
      </c>
      <c r="E313">
        <v>2.6713</v>
      </c>
      <c r="F313">
        <v>875663.97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-0.16845878136200793</v>
      </c>
      <c r="Q313">
        <f t="shared" si="965"/>
        <v>-147513.28526881785</v>
      </c>
      <c r="R313">
        <f t="shared" si="966"/>
        <v>-11139964.395960487</v>
      </c>
      <c r="S313">
        <f t="shared" si="967"/>
        <v>-111.39964395960487</v>
      </c>
      <c r="T313">
        <f t="shared" si="968"/>
        <v>-0.11139964395960487</v>
      </c>
    </row>
    <row r="314" spans="1:20" x14ac:dyDescent="0.25">
      <c r="A314" s="5">
        <v>44279</v>
      </c>
      <c r="B314">
        <v>2.9239000000000002</v>
      </c>
      <c r="C314">
        <v>3.2930999999999999</v>
      </c>
      <c r="D314">
        <v>2.5743999999999998</v>
      </c>
      <c r="E314">
        <v>2.7</v>
      </c>
      <c r="F314">
        <v>1387710.82</v>
      </c>
      <c r="G314">
        <v>0</v>
      </c>
      <c r="L314" t="s">
        <v>8</v>
      </c>
      <c r="M314" t="s">
        <v>8</v>
      </c>
      <c r="N314" t="s">
        <v>8</v>
      </c>
      <c r="P314">
        <f t="shared" si="964"/>
        <v>-0.65048003339362637</v>
      </c>
      <c r="Q314">
        <f t="shared" si="965"/>
        <v>-902678.18053429667</v>
      </c>
      <c r="R314">
        <f t="shared" si="966"/>
        <v>-10992451.11069167</v>
      </c>
      <c r="S314">
        <f t="shared" si="967"/>
        <v>-109.9245111069167</v>
      </c>
      <c r="T314">
        <f t="shared" si="968"/>
        <v>-0.1099245111069167</v>
      </c>
    </row>
    <row r="315" spans="1:20" x14ac:dyDescent="0.25">
      <c r="A315" s="5">
        <v>44278</v>
      </c>
      <c r="B315">
        <v>2.5329999999999999</v>
      </c>
      <c r="C315">
        <v>3</v>
      </c>
      <c r="D315">
        <v>2.2568999999999999</v>
      </c>
      <c r="E315">
        <v>2.9350000000000001</v>
      </c>
      <c r="F315">
        <v>1034023.53</v>
      </c>
      <c r="G315">
        <v>0</v>
      </c>
      <c r="L315" t="s">
        <v>8</v>
      </c>
      <c r="M315" t="s">
        <v>7</v>
      </c>
      <c r="N315" t="s">
        <v>7</v>
      </c>
      <c r="P315">
        <f t="shared" si="964"/>
        <v>0.82505719284080226</v>
      </c>
      <c r="Q315">
        <f t="shared" si="965"/>
        <v>853128.55099313706</v>
      </c>
      <c r="R315">
        <f t="shared" si="966"/>
        <v>-10089772.930157375</v>
      </c>
      <c r="S315">
        <f t="shared" si="967"/>
        <v>-100.89772930157375</v>
      </c>
      <c r="T315">
        <f t="shared" si="968"/>
        <v>-0.10089772930157374</v>
      </c>
    </row>
    <row r="316" spans="1:20" x14ac:dyDescent="0.25">
      <c r="A316" s="5">
        <v>44277</v>
      </c>
      <c r="B316">
        <v>2.8100999999999998</v>
      </c>
      <c r="C316">
        <v>2.8871000000000002</v>
      </c>
      <c r="D316">
        <v>2.5131000000000001</v>
      </c>
      <c r="E316">
        <v>2.5365000000000002</v>
      </c>
      <c r="F316">
        <v>870065.86</v>
      </c>
      <c r="G316">
        <v>0</v>
      </c>
      <c r="L316" t="s">
        <v>8</v>
      </c>
      <c r="M316" t="s">
        <v>7</v>
      </c>
      <c r="N316" t="s">
        <v>7</v>
      </c>
      <c r="P316">
        <f t="shared" si="964"/>
        <v>-0.87486631016042737</v>
      </c>
      <c r="Q316">
        <f t="shared" si="965"/>
        <v>-761191.30853475898</v>
      </c>
      <c r="R316">
        <f t="shared" si="966"/>
        <v>-10942901.481150512</v>
      </c>
      <c r="S316">
        <f t="shared" si="967"/>
        <v>-109.42901481150511</v>
      </c>
      <c r="T316">
        <f t="shared" si="968"/>
        <v>-0.10942901481150512</v>
      </c>
    </row>
    <row r="317" spans="1:20" x14ac:dyDescent="0.25">
      <c r="A317" s="5">
        <v>44276</v>
      </c>
      <c r="B317">
        <v>3.0036999999999998</v>
      </c>
      <c r="C317">
        <v>3.0556000000000001</v>
      </c>
      <c r="D317">
        <v>2.4801000000000002</v>
      </c>
      <c r="E317">
        <v>2.8</v>
      </c>
      <c r="F317">
        <v>1195034.98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0.11172893136403018</v>
      </c>
      <c r="Q317">
        <f t="shared" si="965"/>
        <v>133519.98125803517</v>
      </c>
      <c r="R317">
        <f t="shared" si="966"/>
        <v>-10181710.172615753</v>
      </c>
      <c r="S317">
        <f t="shared" si="967"/>
        <v>-101.81710172615753</v>
      </c>
      <c r="T317">
        <f t="shared" si="968"/>
        <v>-0.10181710172615753</v>
      </c>
    </row>
    <row r="318" spans="1:20" x14ac:dyDescent="0.25">
      <c r="A318" s="5">
        <v>44275</v>
      </c>
      <c r="B318">
        <v>3.2303999999999999</v>
      </c>
      <c r="C318">
        <v>3.3195000000000001</v>
      </c>
      <c r="D318">
        <v>2.9601999999999999</v>
      </c>
      <c r="E318">
        <v>3.0072000000000001</v>
      </c>
      <c r="F318">
        <v>827936.95</v>
      </c>
      <c r="G318">
        <v>0</v>
      </c>
      <c r="L318" t="s">
        <v>7</v>
      </c>
      <c r="M318" t="s">
        <v>7</v>
      </c>
      <c r="N318" t="s">
        <v>8</v>
      </c>
      <c r="P318">
        <f t="shared" si="964"/>
        <v>-0.73838018369050862</v>
      </c>
      <c r="Q318">
        <f t="shared" si="965"/>
        <v>-611332.23722515942</v>
      </c>
      <c r="R318">
        <f t="shared" si="966"/>
        <v>-10315230.153873788</v>
      </c>
      <c r="S318">
        <f t="shared" si="967"/>
        <v>-103.15230153873789</v>
      </c>
      <c r="T318">
        <f t="shared" si="968"/>
        <v>-0.10315230153873789</v>
      </c>
    </row>
    <row r="319" spans="1:20" x14ac:dyDescent="0.25">
      <c r="A319" s="5">
        <v>44274</v>
      </c>
      <c r="B319">
        <v>3.2551000000000001</v>
      </c>
      <c r="C319">
        <v>3.4214000000000002</v>
      </c>
      <c r="D319">
        <v>3.1396000000000002</v>
      </c>
      <c r="E319">
        <v>3.2214999999999998</v>
      </c>
      <c r="F319">
        <v>664955.77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-0.41873669268985364</v>
      </c>
      <c r="Q319">
        <f t="shared" si="965"/>
        <v>-278441.37991483498</v>
      </c>
      <c r="R319">
        <f t="shared" si="966"/>
        <v>-9703897.9166486282</v>
      </c>
      <c r="S319">
        <f t="shared" si="967"/>
        <v>-97.038979166486286</v>
      </c>
      <c r="T319">
        <f t="shared" si="968"/>
        <v>-9.7038979166486281E-2</v>
      </c>
    </row>
    <row r="320" spans="1:20" x14ac:dyDescent="0.25">
      <c r="A320" s="5">
        <v>44273</v>
      </c>
      <c r="B320">
        <v>3.2206000000000001</v>
      </c>
      <c r="C320">
        <v>3.6</v>
      </c>
      <c r="D320">
        <v>3.0888</v>
      </c>
      <c r="E320">
        <v>3.2549999999999999</v>
      </c>
      <c r="F320">
        <v>1095780.53</v>
      </c>
      <c r="G320">
        <v>0</v>
      </c>
      <c r="L320" t="s">
        <v>7</v>
      </c>
      <c r="M320" t="s">
        <v>8</v>
      </c>
      <c r="N320" t="s">
        <v>8</v>
      </c>
      <c r="P320">
        <f t="shared" si="964"/>
        <v>-0.34976525821596294</v>
      </c>
      <c r="Q320">
        <f t="shared" si="965"/>
        <v>-383265.9600234747</v>
      </c>
      <c r="R320">
        <f t="shared" si="966"/>
        <v>-9425456.5367337931</v>
      </c>
      <c r="S320">
        <f t="shared" si="967"/>
        <v>-94.254565367337932</v>
      </c>
      <c r="T320">
        <f t="shared" si="968"/>
        <v>-9.4254565367337936E-2</v>
      </c>
    </row>
    <row r="321" spans="1:20" x14ac:dyDescent="0.25">
      <c r="A321" s="5">
        <v>44272</v>
      </c>
      <c r="B321">
        <v>3.2521</v>
      </c>
      <c r="C321">
        <v>3.6594000000000002</v>
      </c>
      <c r="D321">
        <v>3.0449999999999999</v>
      </c>
      <c r="E321">
        <v>3.2324000000000002</v>
      </c>
      <c r="F321">
        <v>876705.75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-0.38997395833333287</v>
      </c>
      <c r="Q321">
        <f t="shared" si="965"/>
        <v>-341892.41162109334</v>
      </c>
      <c r="R321">
        <f t="shared" si="966"/>
        <v>-9042190.5767103191</v>
      </c>
      <c r="S321">
        <f t="shared" si="967"/>
        <v>-90.421905767103198</v>
      </c>
      <c r="T321">
        <f t="shared" si="968"/>
        <v>-9.0421905767103197E-2</v>
      </c>
    </row>
    <row r="322" spans="1:20" x14ac:dyDescent="0.25">
      <c r="A322" s="5">
        <v>44271</v>
      </c>
      <c r="B322">
        <v>3.3988</v>
      </c>
      <c r="C322">
        <v>3.4954999999999998</v>
      </c>
      <c r="D322">
        <v>3.03</v>
      </c>
      <c r="E322">
        <v>3.2521</v>
      </c>
      <c r="F322">
        <v>911572.68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-4.5757250268527713E-2</v>
      </c>
      <c r="Q322">
        <f t="shared" si="965"/>
        <v>-41711.059256712528</v>
      </c>
      <c r="R322">
        <f t="shared" si="966"/>
        <v>-8700298.1650892254</v>
      </c>
      <c r="S322">
        <f t="shared" si="967"/>
        <v>-87.002981650892252</v>
      </c>
      <c r="T322">
        <f t="shared" si="968"/>
        <v>-8.700298165089225E-2</v>
      </c>
    </row>
    <row r="323" spans="1:20" x14ac:dyDescent="0.25">
      <c r="A323" s="5">
        <v>44270</v>
      </c>
      <c r="B323">
        <v>3.7416</v>
      </c>
      <c r="C323">
        <v>3.9279999999999999</v>
      </c>
      <c r="D323">
        <v>3.2625999999999999</v>
      </c>
      <c r="E323">
        <v>3.3986999999999998</v>
      </c>
      <c r="F323">
        <v>1196631.79</v>
      </c>
      <c r="G323">
        <v>0</v>
      </c>
      <c r="L323" t="s">
        <v>7</v>
      </c>
      <c r="M323" t="s">
        <v>8</v>
      </c>
      <c r="N323" t="s">
        <v>8</v>
      </c>
      <c r="P323">
        <f t="shared" si="964"/>
        <v>-0.59092275323113952</v>
      </c>
      <c r="Q323">
        <f t="shared" si="965"/>
        <v>-707116.95195070677</v>
      </c>
      <c r="R323">
        <f t="shared" si="966"/>
        <v>-8658587.1058325134</v>
      </c>
      <c r="S323">
        <f t="shared" si="967"/>
        <v>-86.585871058325139</v>
      </c>
      <c r="T323">
        <f t="shared" si="968"/>
        <v>-8.6585871058325145E-2</v>
      </c>
    </row>
    <row r="324" spans="1:20" x14ac:dyDescent="0.25">
      <c r="A324" s="5">
        <v>44269</v>
      </c>
      <c r="B324">
        <v>3.7742</v>
      </c>
      <c r="C324">
        <v>3.9866000000000001</v>
      </c>
      <c r="D324">
        <v>3.3599000000000001</v>
      </c>
      <c r="E324">
        <v>3.7416</v>
      </c>
      <c r="F324">
        <v>869979.74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0.21812669538854287</v>
      </c>
      <c r="Q324">
        <f t="shared" si="965"/>
        <v>189765.80574118372</v>
      </c>
      <c r="R324">
        <f t="shared" si="966"/>
        <v>-7951470.1538818059</v>
      </c>
      <c r="S324">
        <f t="shared" si="967"/>
        <v>-79.514701538818059</v>
      </c>
      <c r="T324">
        <f t="shared" si="968"/>
        <v>-7.9514701538818053E-2</v>
      </c>
    </row>
    <row r="325" spans="1:20" x14ac:dyDescent="0.25">
      <c r="A325" s="5">
        <v>44268</v>
      </c>
      <c r="B325">
        <v>3.4144000000000001</v>
      </c>
      <c r="C325">
        <v>4.05</v>
      </c>
      <c r="D325">
        <v>3.2168000000000001</v>
      </c>
      <c r="E325">
        <v>3.7742</v>
      </c>
      <c r="F325">
        <v>1149838.97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0.33797407585213657</v>
      </c>
      <c r="Q325">
        <f t="shared" si="965"/>
        <v>388615.7632645226</v>
      </c>
      <c r="R325">
        <f t="shared" si="966"/>
        <v>-8141235.9596229894</v>
      </c>
      <c r="S325">
        <f t="shared" si="967"/>
        <v>-81.412359596229891</v>
      </c>
      <c r="T325">
        <f t="shared" si="968"/>
        <v>-8.1412359596229888E-2</v>
      </c>
    </row>
    <row r="326" spans="1:20" x14ac:dyDescent="0.25">
      <c r="A326" s="5">
        <v>44267</v>
      </c>
      <c r="B326">
        <v>3.6669</v>
      </c>
      <c r="C326">
        <v>3.7</v>
      </c>
      <c r="D326">
        <v>3.06</v>
      </c>
      <c r="E326">
        <v>3.4117000000000002</v>
      </c>
      <c r="F326">
        <v>1014885.68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9.9062500000000178E-2</v>
      </c>
      <c r="Q326">
        <f t="shared" ref="Q326:Q389" si="970">F326*P326</f>
        <v>100537.11267500019</v>
      </c>
      <c r="R326">
        <f t="shared" ref="R326:R389" si="971">R327+Q326</f>
        <v>-8529851.7228875123</v>
      </c>
      <c r="S326">
        <f t="shared" ref="S326:S389" si="972">R326/100000</f>
        <v>-85.298517228875127</v>
      </c>
      <c r="T326">
        <f t="shared" ref="T326:T389" si="973">S326/1000</f>
        <v>-8.5298517228875131E-2</v>
      </c>
    </row>
    <row r="327" spans="1:20" x14ac:dyDescent="0.25">
      <c r="A327" s="5">
        <v>44266</v>
      </c>
      <c r="B327">
        <v>2.88</v>
      </c>
      <c r="C327">
        <v>3.93</v>
      </c>
      <c r="D327">
        <v>2.7763</v>
      </c>
      <c r="E327">
        <v>3.6791</v>
      </c>
      <c r="F327">
        <v>2093164.21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0.56505157319927179</v>
      </c>
      <c r="Q327">
        <f t="shared" si="970"/>
        <v>1182745.7298249109</v>
      </c>
      <c r="R327">
        <f t="shared" si="971"/>
        <v>-8630388.8355625123</v>
      </c>
      <c r="S327">
        <f t="shared" si="972"/>
        <v>-86.303888355625119</v>
      </c>
      <c r="T327">
        <f t="shared" si="973"/>
        <v>-8.6303888355625122E-2</v>
      </c>
    </row>
    <row r="328" spans="1:20" x14ac:dyDescent="0.25">
      <c r="A328" s="5">
        <v>44265</v>
      </c>
      <c r="B328">
        <v>2.9329000000000001</v>
      </c>
      <c r="C328">
        <v>3.2</v>
      </c>
      <c r="D328">
        <v>2.7</v>
      </c>
      <c r="E328">
        <v>2.8801999999999999</v>
      </c>
      <c r="F328">
        <v>1017981.04</v>
      </c>
      <c r="G328">
        <v>0</v>
      </c>
      <c r="L328" t="s">
        <v>7</v>
      </c>
      <c r="M328" t="s">
        <v>7</v>
      </c>
      <c r="N328" t="s">
        <v>7</v>
      </c>
      <c r="P328">
        <f t="shared" si="969"/>
        <v>-0.27920000000000122</v>
      </c>
      <c r="Q328">
        <f t="shared" si="970"/>
        <v>-284220.30636800127</v>
      </c>
      <c r="R328">
        <f t="shared" si="971"/>
        <v>-9813134.5653874241</v>
      </c>
      <c r="S328">
        <f t="shared" si="972"/>
        <v>-98.131345653874234</v>
      </c>
      <c r="T328">
        <f t="shared" si="973"/>
        <v>-9.8131345653874241E-2</v>
      </c>
    </row>
    <row r="329" spans="1:20" x14ac:dyDescent="0.25">
      <c r="A329" s="5">
        <v>44264</v>
      </c>
      <c r="B329">
        <v>2.9129</v>
      </c>
      <c r="C329">
        <v>3.1</v>
      </c>
      <c r="D329">
        <v>2.7543000000000002</v>
      </c>
      <c r="E329">
        <v>2.9329000000000001</v>
      </c>
      <c r="F329">
        <v>939208.18</v>
      </c>
      <c r="G329">
        <v>0</v>
      </c>
      <c r="L329" t="s">
        <v>7</v>
      </c>
      <c r="M329" t="s">
        <v>7</v>
      </c>
      <c r="N329" t="s">
        <v>7</v>
      </c>
      <c r="P329">
        <f t="shared" si="969"/>
        <v>3.3265837431298372E-2</v>
      </c>
      <c r="Q329">
        <f t="shared" si="970"/>
        <v>31243.546630025619</v>
      </c>
      <c r="R329">
        <f t="shared" si="971"/>
        <v>-9528914.2590194233</v>
      </c>
      <c r="S329">
        <f t="shared" si="972"/>
        <v>-95.289142590194231</v>
      </c>
      <c r="T329">
        <f t="shared" si="973"/>
        <v>-9.5289142590194234E-2</v>
      </c>
    </row>
    <row r="330" spans="1:20" x14ac:dyDescent="0.25">
      <c r="A330" s="5">
        <v>44263</v>
      </c>
      <c r="B330">
        <v>2.9946000000000002</v>
      </c>
      <c r="C330">
        <v>3.2835999999999999</v>
      </c>
      <c r="D330">
        <v>2.74</v>
      </c>
      <c r="E330">
        <v>2.9129999999999998</v>
      </c>
      <c r="F330">
        <v>1115867.54</v>
      </c>
      <c r="G330">
        <v>0</v>
      </c>
      <c r="L330" t="s">
        <v>8</v>
      </c>
      <c r="M330" t="s">
        <v>8</v>
      </c>
      <c r="N330" t="s">
        <v>7</v>
      </c>
      <c r="P330">
        <f t="shared" si="969"/>
        <v>-0.36350257542310627</v>
      </c>
      <c r="Q330">
        <f t="shared" si="970"/>
        <v>-405620.72462104604</v>
      </c>
      <c r="R330">
        <f t="shared" si="971"/>
        <v>-9560157.8056494482</v>
      </c>
      <c r="S330">
        <f t="shared" si="972"/>
        <v>-95.601578056494475</v>
      </c>
      <c r="T330">
        <f t="shared" si="973"/>
        <v>-9.5601578056494468E-2</v>
      </c>
    </row>
    <row r="331" spans="1:20" x14ac:dyDescent="0.25">
      <c r="A331" s="5">
        <v>44262</v>
      </c>
      <c r="B331">
        <v>2.6225000000000001</v>
      </c>
      <c r="C331">
        <v>3.2250000000000001</v>
      </c>
      <c r="D331">
        <v>2.5499999999999998</v>
      </c>
      <c r="E331">
        <v>2.9946999999999999</v>
      </c>
      <c r="F331">
        <v>608504.1</v>
      </c>
      <c r="G331">
        <v>0</v>
      </c>
      <c r="L331" t="s">
        <v>8</v>
      </c>
      <c r="M331" t="s">
        <v>8</v>
      </c>
      <c r="N331" t="s">
        <v>7</v>
      </c>
      <c r="P331">
        <f t="shared" si="969"/>
        <v>0.31762962962962937</v>
      </c>
      <c r="Q331">
        <f t="shared" si="970"/>
        <v>193278.93191111094</v>
      </c>
      <c r="R331">
        <f t="shared" si="971"/>
        <v>-9154537.0810284019</v>
      </c>
      <c r="S331">
        <f t="shared" si="972"/>
        <v>-91.545370810284012</v>
      </c>
      <c r="T331">
        <f t="shared" si="973"/>
        <v>-9.1545370810284007E-2</v>
      </c>
    </row>
    <row r="332" spans="1:20" x14ac:dyDescent="0.25">
      <c r="A332" s="5">
        <v>44261</v>
      </c>
      <c r="B332">
        <v>2.5870000000000002</v>
      </c>
      <c r="C332">
        <v>2.7985000000000002</v>
      </c>
      <c r="D332">
        <v>2.5499999999999998</v>
      </c>
      <c r="E332">
        <v>2.6274999999999999</v>
      </c>
      <c r="F332">
        <v>457344.68</v>
      </c>
      <c r="G332">
        <v>0</v>
      </c>
      <c r="L332" t="s">
        <v>8</v>
      </c>
      <c r="M332" t="s">
        <v>8</v>
      </c>
      <c r="N332" t="s">
        <v>7</v>
      </c>
      <c r="P332">
        <f t="shared" si="969"/>
        <v>-0.37625754527162975</v>
      </c>
      <c r="Q332">
        <f t="shared" si="970"/>
        <v>-172079.38663983901</v>
      </c>
      <c r="R332">
        <f t="shared" si="971"/>
        <v>-9347816.0129395127</v>
      </c>
      <c r="S332">
        <f t="shared" si="972"/>
        <v>-93.478160129395121</v>
      </c>
      <c r="T332">
        <f t="shared" si="973"/>
        <v>-9.3478160129395124E-2</v>
      </c>
    </row>
    <row r="333" spans="1:20" x14ac:dyDescent="0.25">
      <c r="A333" s="5">
        <v>44260</v>
      </c>
      <c r="B333">
        <v>2.8178000000000001</v>
      </c>
      <c r="C333">
        <v>2.8208000000000002</v>
      </c>
      <c r="D333">
        <v>2.4</v>
      </c>
      <c r="E333">
        <v>2.5886999999999998</v>
      </c>
      <c r="F333">
        <v>832146.58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-0.1031368821292788</v>
      </c>
      <c r="Q333">
        <f t="shared" si="970"/>
        <v>-85825.003735742459</v>
      </c>
      <c r="R333">
        <f t="shared" si="971"/>
        <v>-9175736.6262996737</v>
      </c>
      <c r="S333">
        <f t="shared" si="972"/>
        <v>-91.75736626299674</v>
      </c>
      <c r="T333">
        <f t="shared" si="973"/>
        <v>-9.1757366262996742E-2</v>
      </c>
    </row>
    <row r="334" spans="1:20" x14ac:dyDescent="0.25">
      <c r="A334" s="5">
        <v>44259</v>
      </c>
      <c r="B334">
        <v>2.8313999999999999</v>
      </c>
      <c r="C334">
        <v>3.0590999999999999</v>
      </c>
      <c r="D334">
        <v>2.7170000000000001</v>
      </c>
      <c r="E334">
        <v>2.8178999999999998</v>
      </c>
      <c r="F334">
        <v>972646.91</v>
      </c>
      <c r="G334">
        <v>0</v>
      </c>
      <c r="L334" t="s">
        <v>7</v>
      </c>
      <c r="M334" t="s">
        <v>7</v>
      </c>
      <c r="N334" t="s">
        <v>7</v>
      </c>
      <c r="P334">
        <f t="shared" si="969"/>
        <v>-0.41011400175387425</v>
      </c>
      <c r="Q334">
        <f t="shared" si="970"/>
        <v>-398896.1165536404</v>
      </c>
      <c r="R334">
        <f t="shared" si="971"/>
        <v>-9089911.6225639321</v>
      </c>
      <c r="S334">
        <f t="shared" si="972"/>
        <v>-90.899116225639318</v>
      </c>
      <c r="T334">
        <f t="shared" si="973"/>
        <v>-9.0899116225639315E-2</v>
      </c>
    </row>
    <row r="335" spans="1:20" x14ac:dyDescent="0.25">
      <c r="A335" s="5">
        <v>44258</v>
      </c>
      <c r="B335">
        <v>2.8656999999999999</v>
      </c>
      <c r="C335">
        <v>3.31</v>
      </c>
      <c r="D335">
        <v>2.83</v>
      </c>
      <c r="E335">
        <v>2.8313999999999999</v>
      </c>
      <c r="F335">
        <v>1283246.98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-0.99416666666666731</v>
      </c>
      <c r="Q335">
        <f t="shared" si="970"/>
        <v>-1275761.3726166675</v>
      </c>
      <c r="R335">
        <f t="shared" si="971"/>
        <v>-8691015.5060102921</v>
      </c>
      <c r="S335">
        <f t="shared" si="972"/>
        <v>-86.910155060102923</v>
      </c>
      <c r="T335">
        <f t="shared" si="973"/>
        <v>-8.6910155060102925E-2</v>
      </c>
    </row>
    <row r="336" spans="1:20" x14ac:dyDescent="0.25">
      <c r="A336" s="5">
        <v>44257</v>
      </c>
      <c r="B336">
        <v>3.0937999999999999</v>
      </c>
      <c r="C336">
        <v>3.38</v>
      </c>
      <c r="D336">
        <v>2.5499999999999998</v>
      </c>
      <c r="E336">
        <v>2.8624000000000001</v>
      </c>
      <c r="F336">
        <v>1677998.36</v>
      </c>
      <c r="G336">
        <v>0</v>
      </c>
      <c r="L336" t="s">
        <v>7</v>
      </c>
      <c r="M336" t="s">
        <v>7</v>
      </c>
      <c r="N336" t="s">
        <v>7</v>
      </c>
      <c r="P336">
        <f t="shared" si="969"/>
        <v>-0.24722891566265009</v>
      </c>
      <c r="Q336">
        <f t="shared" si="970"/>
        <v>-414849.71502650518</v>
      </c>
      <c r="R336">
        <f t="shared" si="971"/>
        <v>-7415254.1333936248</v>
      </c>
      <c r="S336">
        <f t="shared" si="972"/>
        <v>-74.152541333936242</v>
      </c>
      <c r="T336">
        <f t="shared" si="973"/>
        <v>-7.4152541333936242E-2</v>
      </c>
    </row>
    <row r="337" spans="1:20" x14ac:dyDescent="0.25">
      <c r="A337" s="5">
        <v>44256</v>
      </c>
      <c r="B337">
        <v>2.1375000000000002</v>
      </c>
      <c r="C337">
        <v>3.84</v>
      </c>
      <c r="D337">
        <v>2.0228000000000002</v>
      </c>
      <c r="E337">
        <v>3.0939000000000001</v>
      </c>
      <c r="F337">
        <v>4203740.47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0.17884657715166202</v>
      </c>
      <c r="Q337">
        <f t="shared" si="970"/>
        <v>751824.59429341892</v>
      </c>
      <c r="R337">
        <f t="shared" si="971"/>
        <v>-7000404.4183671195</v>
      </c>
      <c r="S337">
        <f t="shared" si="972"/>
        <v>-70.004044183671198</v>
      </c>
      <c r="T337">
        <f t="shared" si="973"/>
        <v>-7.0004044183671205E-2</v>
      </c>
    </row>
    <row r="338" spans="1:20" x14ac:dyDescent="0.25">
      <c r="A338" s="5">
        <v>44255</v>
      </c>
      <c r="B338">
        <v>2.3702999999999999</v>
      </c>
      <c r="C338">
        <v>2.4500000000000002</v>
      </c>
      <c r="D338">
        <v>1.9056999999999999</v>
      </c>
      <c r="E338">
        <v>2.1375999999999999</v>
      </c>
      <c r="F338">
        <v>1091238.58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-0.14789638067242367</v>
      </c>
      <c r="Q338">
        <f t="shared" si="970"/>
        <v>-161390.23643211505</v>
      </c>
      <c r="R338">
        <f t="shared" si="971"/>
        <v>-7752229.0126605388</v>
      </c>
      <c r="S338">
        <f t="shared" si="972"/>
        <v>-77.522290126605384</v>
      </c>
      <c r="T338">
        <f t="shared" si="973"/>
        <v>-7.7522290126605387E-2</v>
      </c>
    </row>
    <row r="339" spans="1:20" x14ac:dyDescent="0.25">
      <c r="A339" s="5">
        <v>44254</v>
      </c>
      <c r="B339">
        <v>1.9658</v>
      </c>
      <c r="C339">
        <v>2.4950000000000001</v>
      </c>
      <c r="D339">
        <v>1.85</v>
      </c>
      <c r="E339">
        <v>2.3702000000000001</v>
      </c>
      <c r="F339">
        <v>1362434.91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0.61302325581395345</v>
      </c>
      <c r="Q339">
        <f t="shared" si="970"/>
        <v>835204.28436279064</v>
      </c>
      <c r="R339">
        <f t="shared" si="971"/>
        <v>-7590838.7762284242</v>
      </c>
      <c r="S339">
        <f t="shared" si="972"/>
        <v>-75.908387762284235</v>
      </c>
      <c r="T339">
        <f t="shared" si="973"/>
        <v>-7.590838776228423E-2</v>
      </c>
    </row>
    <row r="340" spans="1:20" x14ac:dyDescent="0.25">
      <c r="A340" s="5">
        <v>44253</v>
      </c>
      <c r="B340">
        <v>2.0121000000000002</v>
      </c>
      <c r="C340">
        <v>2.2999999999999998</v>
      </c>
      <c r="D340">
        <v>1.8</v>
      </c>
      <c r="E340">
        <v>1.9665999999999999</v>
      </c>
      <c r="F340">
        <v>1334393.8600000001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-0.33360000000000029</v>
      </c>
      <c r="Q340">
        <f t="shared" si="970"/>
        <v>-445153.79169600044</v>
      </c>
      <c r="R340">
        <f t="shared" si="971"/>
        <v>-8426043.0605912153</v>
      </c>
      <c r="S340">
        <f t="shared" si="972"/>
        <v>-84.260430605912148</v>
      </c>
      <c r="T340">
        <f t="shared" si="973"/>
        <v>-8.4260430605912151E-2</v>
      </c>
    </row>
    <row r="341" spans="1:20" x14ac:dyDescent="0.25">
      <c r="A341" s="5">
        <v>44252</v>
      </c>
      <c r="B341">
        <v>2.649</v>
      </c>
      <c r="C341">
        <v>2.7978999999999998</v>
      </c>
      <c r="D341">
        <v>2.0099999999999998</v>
      </c>
      <c r="E341">
        <v>2.0106999999999999</v>
      </c>
      <c r="F341">
        <v>1894262.9</v>
      </c>
      <c r="G341">
        <v>0</v>
      </c>
      <c r="L341" t="s">
        <v>7</v>
      </c>
      <c r="M341" t="s">
        <v>7</v>
      </c>
      <c r="N341" t="s">
        <v>7</v>
      </c>
      <c r="P341">
        <f t="shared" si="969"/>
        <v>-0.99822312476202524</v>
      </c>
      <c r="Q341">
        <f t="shared" si="970"/>
        <v>-1890897.0311587756</v>
      </c>
      <c r="R341">
        <f t="shared" si="971"/>
        <v>-7980889.2688952144</v>
      </c>
      <c r="S341">
        <f t="shared" si="972"/>
        <v>-79.808892688952142</v>
      </c>
      <c r="T341">
        <f t="shared" si="973"/>
        <v>-7.9808892688952138E-2</v>
      </c>
    </row>
    <row r="342" spans="1:20" x14ac:dyDescent="0.25">
      <c r="A342" s="5">
        <v>44251</v>
      </c>
      <c r="B342">
        <v>3.1810999999999998</v>
      </c>
      <c r="C342">
        <v>3.3414000000000001</v>
      </c>
      <c r="D342">
        <v>2.5</v>
      </c>
      <c r="E342">
        <v>2.6482999999999999</v>
      </c>
      <c r="F342">
        <v>3967990.07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-0.64749227478012872</v>
      </c>
      <c r="Q342">
        <f t="shared" si="970"/>
        <v>-2569242.9167292621</v>
      </c>
      <c r="R342">
        <f t="shared" si="971"/>
        <v>-6089992.2377364384</v>
      </c>
      <c r="S342">
        <f t="shared" si="972"/>
        <v>-60.899922377364383</v>
      </c>
      <c r="T342">
        <f t="shared" si="973"/>
        <v>-6.0899922377364385E-2</v>
      </c>
    </row>
    <row r="343" spans="1:20" x14ac:dyDescent="0.25">
      <c r="A343" s="5">
        <v>44250</v>
      </c>
      <c r="B343">
        <v>1.82</v>
      </c>
      <c r="C343">
        <v>6</v>
      </c>
      <c r="D343">
        <v>1.82</v>
      </c>
      <c r="E343">
        <v>3.1897000000000002</v>
      </c>
      <c r="F343">
        <v>10215696.35</v>
      </c>
      <c r="G343">
        <v>0</v>
      </c>
      <c r="P343">
        <f t="shared" si="969"/>
        <v>-0.3446411483253588</v>
      </c>
      <c r="Q343">
        <f t="shared" si="970"/>
        <v>-3520749.3210071763</v>
      </c>
      <c r="R343">
        <f t="shared" si="971"/>
        <v>-3520749.3210071763</v>
      </c>
      <c r="S343">
        <f t="shared" si="972"/>
        <v>-35.20749321007176</v>
      </c>
      <c r="T343">
        <f t="shared" si="973"/>
        <v>-3.5207493210071758E-2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FX630" sqref="FX630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$A$629</v>
      </c>
      <c r="D111" s="1" t="str">
        <f>ADDRESS(C121-1,D121,1,1)</f>
        <v>$FX$629</v>
      </c>
      <c r="E111"/>
    </row>
    <row r="112" spans="1:5" x14ac:dyDescent="0.25">
      <c r="A112" s="7">
        <v>12164.144957890772</v>
      </c>
      <c r="C112" s="1" t="str">
        <f>ADDRESS(C121,1,1,1)</f>
        <v>$A$630</v>
      </c>
      <c r="D112" s="1" t="str">
        <f>ADDRESS(C121,D121-1,1,1)</f>
        <v>$FW$630</v>
      </c>
      <c r="E112"/>
    </row>
    <row r="113" spans="1:5" x14ac:dyDescent="0.25">
      <c r="A113" s="7">
        <v>11925.63231165762</v>
      </c>
      <c r="C113" s="1" t="str">
        <f>ADDRESS(C121+1,1,1,1)</f>
        <v>$A$631</v>
      </c>
      <c r="D113" s="1" t="str">
        <f>ADDRESS(C121-1,D121+1,1,1)</f>
        <v>$FY$629</v>
      </c>
    </row>
    <row r="114" spans="1:5" x14ac:dyDescent="0.25">
      <c r="A114" s="7">
        <v>11691.796383978059</v>
      </c>
      <c r="C114" s="1" t="str">
        <f>ADDRESS(C121,D121,1,1)</f>
        <v>$FX$630</v>
      </c>
      <c r="D114" s="1" t="str">
        <f>ADDRESS(C121+1,D121+1,1,1)</f>
        <v>$FY$631</v>
      </c>
    </row>
    <row r="115" spans="1:5" x14ac:dyDescent="0.25">
      <c r="A115" s="7">
        <v>11462.545474488292</v>
      </c>
      <c r="C115" s="1" t="str">
        <f>ADDRESS(C121+1,D121,1,1)</f>
        <v>$FX$631</v>
      </c>
    </row>
    <row r="116" spans="1:5" x14ac:dyDescent="0.25">
      <c r="A116" s="7">
        <v>11237.789680870874</v>
      </c>
      <c r="C116" s="1">
        <f>C117-1</f>
        <v>629</v>
      </c>
    </row>
    <row r="117" spans="1:5" x14ac:dyDescent="0.25">
      <c r="A117" s="7">
        <v>11017.440863598895</v>
      </c>
      <c r="C117" s="1">
        <f>C121</f>
        <v>630</v>
      </c>
      <c r="D117" s="1">
        <f>D121</f>
        <v>180</v>
      </c>
    </row>
    <row r="118" spans="1:5" x14ac:dyDescent="0.25">
      <c r="A118" s="7">
        <v>10801.412611371465</v>
      </c>
      <c r="C118" s="1">
        <f>C117+1</f>
        <v>631</v>
      </c>
      <c r="D118" s="1">
        <f>D117+1</f>
        <v>181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630</v>
      </c>
      <c r="D121" s="19">
        <v>180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R630</v>
      </c>
      <c r="D123" s="1" t="str">
        <f>"C"&amp;D121</f>
        <v>C180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0.4267687533313323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27" x14ac:dyDescent="0.25">
      <c r="A513" s="7">
        <v>4.3292504462035977</v>
      </c>
      <c r="B513"/>
      <c r="C513"/>
      <c r="D513"/>
      <c r="E513"/>
    </row>
    <row r="514" spans="1:27" x14ac:dyDescent="0.25">
      <c r="A514" s="7">
        <v>4.2443631825525463</v>
      </c>
      <c r="B514"/>
      <c r="C514"/>
      <c r="D514"/>
      <c r="E514"/>
    </row>
    <row r="515" spans="1:27" x14ac:dyDescent="0.25">
      <c r="A515" s="7">
        <v>4.1611403750515157</v>
      </c>
      <c r="B515"/>
      <c r="C515"/>
      <c r="D515"/>
      <c r="E515"/>
    </row>
    <row r="516" spans="1:27" x14ac:dyDescent="0.25">
      <c r="A516" s="7">
        <v>4.0795493873054074</v>
      </c>
      <c r="B516"/>
      <c r="C516"/>
      <c r="D516"/>
      <c r="E516"/>
    </row>
    <row r="517" spans="1:27" x14ac:dyDescent="0.25">
      <c r="A517" s="7">
        <v>3.9995582228484383</v>
      </c>
      <c r="B517"/>
      <c r="C517"/>
      <c r="D517"/>
      <c r="E517"/>
      <c r="Q517" s="27" t="s">
        <v>8</v>
      </c>
    </row>
    <row r="518" spans="1:27" x14ac:dyDescent="0.25">
      <c r="A518" s="7">
        <v>3.9211355125965079</v>
      </c>
      <c r="B518"/>
      <c r="C518"/>
      <c r="D518"/>
      <c r="E518"/>
      <c r="O518" s="27" t="s">
        <v>8</v>
      </c>
      <c r="Q518" s="27" t="s">
        <v>8</v>
      </c>
      <c r="R518" s="27" t="s">
        <v>7</v>
      </c>
    </row>
    <row r="519" spans="1:27" x14ac:dyDescent="0.25">
      <c r="A519" s="7">
        <v>3.844250502545596</v>
      </c>
      <c r="B519"/>
      <c r="C519"/>
      <c r="D519"/>
      <c r="E519"/>
      <c r="O519" s="27" t="s">
        <v>8</v>
      </c>
      <c r="P519" s="27" t="s">
        <v>7</v>
      </c>
      <c r="Q519" s="27" t="s">
        <v>8</v>
      </c>
      <c r="R519" s="27" t="s">
        <v>7</v>
      </c>
    </row>
    <row r="520" spans="1:27" x14ac:dyDescent="0.25">
      <c r="A520" s="7">
        <v>3.7688730417113687</v>
      </c>
      <c r="B520"/>
      <c r="C520"/>
      <c r="D520"/>
      <c r="E520"/>
      <c r="I520" s="27" t="s">
        <v>8</v>
      </c>
      <c r="O520" s="27" t="s">
        <v>8</v>
      </c>
      <c r="P520" s="27" t="s">
        <v>7</v>
      </c>
      <c r="Q520" s="27" t="s">
        <v>8</v>
      </c>
      <c r="R520" s="27" t="s">
        <v>7</v>
      </c>
    </row>
    <row r="521" spans="1:27" x14ac:dyDescent="0.25">
      <c r="A521" s="7">
        <v>3.6949735703052635</v>
      </c>
      <c r="B521"/>
      <c r="C521"/>
      <c r="D521"/>
      <c r="E521"/>
      <c r="I521" s="27" t="s">
        <v>8</v>
      </c>
      <c r="J521" s="27" t="s">
        <v>7</v>
      </c>
      <c r="O521" s="27" t="s">
        <v>8</v>
      </c>
      <c r="P521" s="27" t="s">
        <v>7</v>
      </c>
      <c r="Q521" s="27" t="s">
        <v>8</v>
      </c>
      <c r="R521" s="27" t="s">
        <v>7</v>
      </c>
    </row>
    <row r="522" spans="1:27" x14ac:dyDescent="0.25">
      <c r="A522" s="7">
        <v>3.6225231081424152</v>
      </c>
      <c r="B522"/>
      <c r="C522"/>
      <c r="D522"/>
      <c r="E522"/>
      <c r="I522" s="27" t="s">
        <v>8</v>
      </c>
      <c r="J522" s="27" t="s">
        <v>7</v>
      </c>
      <c r="O522" s="27" t="s">
        <v>8</v>
      </c>
      <c r="P522" s="27" t="s">
        <v>7</v>
      </c>
      <c r="Q522" s="27" t="s">
        <v>8</v>
      </c>
      <c r="R522" s="27" t="s">
        <v>7</v>
      </c>
      <c r="S522" s="27" t="s">
        <v>8</v>
      </c>
    </row>
    <row r="523" spans="1:27" x14ac:dyDescent="0.25">
      <c r="A523" s="7">
        <v>3.5514932432768775</v>
      </c>
      <c r="B523"/>
      <c r="C523"/>
      <c r="D523"/>
      <c r="E523"/>
      <c r="I523" s="27" t="s">
        <v>8</v>
      </c>
      <c r="J523" s="27" t="s">
        <v>7</v>
      </c>
      <c r="O523" s="27" t="s">
        <v>8</v>
      </c>
      <c r="P523" s="27" t="s">
        <v>7</v>
      </c>
      <c r="Q523" s="27" t="s">
        <v>8</v>
      </c>
      <c r="R523" s="27" t="s">
        <v>7</v>
      </c>
      <c r="S523" s="27" t="s">
        <v>8</v>
      </c>
      <c r="T523" s="27" t="s">
        <v>7</v>
      </c>
    </row>
    <row r="524" spans="1:27" x14ac:dyDescent="0.25">
      <c r="A524" s="7">
        <v>3.4818561208596837</v>
      </c>
      <c r="B524"/>
      <c r="C524"/>
      <c r="D524"/>
      <c r="E524"/>
      <c r="I524" s="27" t="s">
        <v>8</v>
      </c>
      <c r="J524" s="27" t="s">
        <v>7</v>
      </c>
      <c r="O524" s="27" t="s">
        <v>8</v>
      </c>
      <c r="P524" s="27" t="s">
        <v>7</v>
      </c>
      <c r="Q524" s="27" t="s">
        <v>8</v>
      </c>
      <c r="R524" s="27" t="s">
        <v>7</v>
      </c>
      <c r="S524" s="27" t="s">
        <v>8</v>
      </c>
      <c r="T524" s="27" t="s">
        <v>7</v>
      </c>
    </row>
    <row r="525" spans="1:27" x14ac:dyDescent="0.25">
      <c r="A525" s="7">
        <v>3.4135844322153761</v>
      </c>
      <c r="B525"/>
      <c r="C525"/>
      <c r="D525"/>
      <c r="E525"/>
      <c r="I525" s="27" t="s">
        <v>8</v>
      </c>
      <c r="J525" s="27" t="s">
        <v>7</v>
      </c>
      <c r="O525" s="27" t="s">
        <v>8</v>
      </c>
      <c r="P525" s="27" t="s">
        <v>7</v>
      </c>
      <c r="Q525" s="27" t="s">
        <v>8</v>
      </c>
      <c r="R525" s="27" t="s">
        <v>7</v>
      </c>
      <c r="S525" s="27" t="s">
        <v>8</v>
      </c>
      <c r="T525" s="27" t="s">
        <v>7</v>
      </c>
      <c r="U525" s="27" t="s">
        <v>8</v>
      </c>
    </row>
    <row r="526" spans="1:27" x14ac:dyDescent="0.25">
      <c r="A526" s="7">
        <v>3.3466514041327216</v>
      </c>
      <c r="B526"/>
      <c r="C526"/>
      <c r="D526"/>
      <c r="E526"/>
      <c r="I526" s="27" t="s">
        <v>8</v>
      </c>
      <c r="J526" s="27" t="s">
        <v>7</v>
      </c>
      <c r="O526" s="27" t="s">
        <v>8</v>
      </c>
      <c r="P526" s="27" t="s">
        <v>7</v>
      </c>
      <c r="Q526" s="27" t="s">
        <v>8</v>
      </c>
      <c r="R526" s="27" t="s">
        <v>7</v>
      </c>
      <c r="S526" s="27" t="s">
        <v>8</v>
      </c>
      <c r="T526" s="27" t="s">
        <v>7</v>
      </c>
      <c r="U526" s="27" t="s">
        <v>8</v>
      </c>
      <c r="V526" s="27" t="s">
        <v>7</v>
      </c>
      <c r="Y526" s="27" t="s">
        <v>8</v>
      </c>
    </row>
    <row r="527" spans="1:27" x14ac:dyDescent="0.25">
      <c r="A527" s="7">
        <v>3.2810307883654133</v>
      </c>
      <c r="B527"/>
      <c r="C527"/>
      <c r="D527"/>
      <c r="E527" t="s">
        <v>8</v>
      </c>
      <c r="I527" s="27" t="s">
        <v>8</v>
      </c>
      <c r="J527" s="27" t="s">
        <v>7</v>
      </c>
      <c r="K527" s="27" t="s">
        <v>8</v>
      </c>
      <c r="M527" s="27" t="s">
        <v>8</v>
      </c>
      <c r="O527" s="27" t="s">
        <v>8</v>
      </c>
      <c r="P527" s="27" t="s">
        <v>7</v>
      </c>
      <c r="Q527" s="27" t="s">
        <v>8</v>
      </c>
      <c r="R527" s="27" t="s">
        <v>7</v>
      </c>
      <c r="S527" s="27" t="s">
        <v>8</v>
      </c>
      <c r="T527" s="27" t="s">
        <v>7</v>
      </c>
      <c r="U527" s="27" t="s">
        <v>8</v>
      </c>
      <c r="V527" s="27" t="s">
        <v>7</v>
      </c>
      <c r="W527" s="27" t="s">
        <v>8</v>
      </c>
      <c r="Y527" s="27" t="s">
        <v>8</v>
      </c>
      <c r="Z527" s="27" t="s">
        <v>7</v>
      </c>
    </row>
    <row r="528" spans="1:27" x14ac:dyDescent="0.25">
      <c r="A528" s="7">
        <v>3.2166968513386403</v>
      </c>
      <c r="B528"/>
      <c r="C528"/>
      <c r="D528"/>
      <c r="E528" t="s">
        <v>8</v>
      </c>
      <c r="F528" s="27" t="s">
        <v>7</v>
      </c>
      <c r="I528" s="27" t="s">
        <v>8</v>
      </c>
      <c r="J528" s="27" t="s">
        <v>7</v>
      </c>
      <c r="K528" s="27" t="s">
        <v>8</v>
      </c>
      <c r="L528" s="27" t="s">
        <v>7</v>
      </c>
      <c r="M528" s="27" t="s">
        <v>8</v>
      </c>
      <c r="N528" s="27" t="s">
        <v>7</v>
      </c>
      <c r="O528" s="27" t="s">
        <v>8</v>
      </c>
      <c r="P528" s="27" t="s">
        <v>7</v>
      </c>
      <c r="Q528" s="27" t="s">
        <v>8</v>
      </c>
      <c r="R528" s="27" t="s">
        <v>7</v>
      </c>
      <c r="S528" s="27" t="s">
        <v>8</v>
      </c>
      <c r="T528" s="27" t="s">
        <v>7</v>
      </c>
      <c r="U528" s="27" t="s">
        <v>8</v>
      </c>
      <c r="V528" s="27" t="s">
        <v>7</v>
      </c>
      <c r="W528" s="27" t="s">
        <v>8</v>
      </c>
      <c r="X528" s="27" t="s">
        <v>7</v>
      </c>
      <c r="Y528" s="27" t="s">
        <v>8</v>
      </c>
      <c r="Z528" s="27" t="s">
        <v>7</v>
      </c>
      <c r="AA528" s="27" t="s">
        <v>8</v>
      </c>
    </row>
    <row r="529" spans="1:53" x14ac:dyDescent="0.25">
      <c r="A529" s="7">
        <v>3.1536243640574906</v>
      </c>
      <c r="B529"/>
      <c r="C529"/>
      <c r="D529"/>
      <c r="E529" t="s">
        <v>8</v>
      </c>
      <c r="F529" s="27" t="s">
        <v>7</v>
      </c>
      <c r="I529" s="27" t="s">
        <v>8</v>
      </c>
      <c r="J529" s="27" t="s">
        <v>7</v>
      </c>
      <c r="K529" s="27" t="s">
        <v>8</v>
      </c>
      <c r="L529" s="27" t="s">
        <v>7</v>
      </c>
      <c r="M529" s="27" t="s">
        <v>8</v>
      </c>
      <c r="N529" s="27" t="s">
        <v>7</v>
      </c>
      <c r="O529" s="27" t="s">
        <v>8</v>
      </c>
      <c r="P529" s="27" t="s">
        <v>7</v>
      </c>
      <c r="Q529" s="27" t="s">
        <v>8</v>
      </c>
      <c r="R529" s="27" t="s">
        <v>7</v>
      </c>
      <c r="S529" s="27" t="s">
        <v>8</v>
      </c>
      <c r="T529" s="27" t="s">
        <v>7</v>
      </c>
      <c r="U529" s="27" t="s">
        <v>8</v>
      </c>
      <c r="V529" s="27" t="s">
        <v>7</v>
      </c>
      <c r="W529" s="27" t="s">
        <v>8</v>
      </c>
      <c r="X529" s="27" t="s">
        <v>7</v>
      </c>
      <c r="Y529" s="27" t="s">
        <v>8</v>
      </c>
      <c r="Z529" s="27" t="s">
        <v>7</v>
      </c>
      <c r="AA529" s="27" t="s">
        <v>8</v>
      </c>
      <c r="AB529" s="27" t="s">
        <v>7</v>
      </c>
    </row>
    <row r="530" spans="1:53" x14ac:dyDescent="0.25">
      <c r="A530" s="7">
        <v>3.0917885922132262</v>
      </c>
      <c r="B530"/>
      <c r="C530"/>
      <c r="D530"/>
      <c r="E530" t="s">
        <v>8</v>
      </c>
      <c r="F530" s="27" t="s">
        <v>7</v>
      </c>
      <c r="I530" s="27" t="s">
        <v>8</v>
      </c>
      <c r="J530" s="27" t="s">
        <v>7</v>
      </c>
      <c r="K530" s="27" t="s">
        <v>8</v>
      </c>
      <c r="L530" s="27" t="s">
        <v>7</v>
      </c>
      <c r="M530" s="27" t="s">
        <v>8</v>
      </c>
      <c r="N530" s="27" t="s">
        <v>7</v>
      </c>
      <c r="O530" s="27" t="s">
        <v>8</v>
      </c>
      <c r="P530" s="27" t="s">
        <v>7</v>
      </c>
      <c r="R530" s="27" t="s">
        <v>7</v>
      </c>
      <c r="S530" s="27" t="s">
        <v>8</v>
      </c>
      <c r="T530" s="27" t="s">
        <v>7</v>
      </c>
      <c r="V530" s="27" t="s">
        <v>7</v>
      </c>
      <c r="W530" s="27" t="s">
        <v>8</v>
      </c>
      <c r="X530" s="27" t="s">
        <v>7</v>
      </c>
      <c r="Y530" s="27" t="s">
        <v>8</v>
      </c>
      <c r="Z530" s="27" t="s">
        <v>7</v>
      </c>
      <c r="AA530" s="27" t="s">
        <v>8</v>
      </c>
      <c r="AB530" s="27" t="s">
        <v>7</v>
      </c>
    </row>
    <row r="531" spans="1:53" x14ac:dyDescent="0.25">
      <c r="A531" s="7">
        <v>3.0311652864835552</v>
      </c>
      <c r="B531"/>
      <c r="C531"/>
      <c r="D531"/>
      <c r="E531" t="s">
        <v>8</v>
      </c>
      <c r="F531" s="27" t="s">
        <v>7</v>
      </c>
      <c r="I531" s="27" t="s">
        <v>8</v>
      </c>
      <c r="J531" s="27" t="s">
        <v>7</v>
      </c>
      <c r="K531" s="27" t="s">
        <v>8</v>
      </c>
      <c r="L531" s="27" t="s">
        <v>7</v>
      </c>
      <c r="M531" s="27" t="s">
        <v>8</v>
      </c>
      <c r="N531" s="27" t="s">
        <v>7</v>
      </c>
      <c r="O531" s="27" t="s">
        <v>8</v>
      </c>
      <c r="R531" s="27" t="s">
        <v>7</v>
      </c>
      <c r="V531" s="27" t="s">
        <v>7</v>
      </c>
      <c r="W531" s="27" t="s">
        <v>8</v>
      </c>
      <c r="X531" s="27" t="s">
        <v>7</v>
      </c>
      <c r="Y531" s="27" t="s">
        <v>8</v>
      </c>
      <c r="Z531" s="27" t="s">
        <v>7</v>
      </c>
      <c r="AA531" s="27" t="s">
        <v>8</v>
      </c>
      <c r="AB531" s="27" t="s">
        <v>7</v>
      </c>
    </row>
    <row r="532" spans="1:53" x14ac:dyDescent="0.25">
      <c r="A532" s="7">
        <v>2.9717306730230932</v>
      </c>
      <c r="B532"/>
      <c r="C532"/>
      <c r="D532"/>
      <c r="E532" t="s">
        <v>8</v>
      </c>
      <c r="F532" s="27" t="s">
        <v>7</v>
      </c>
      <c r="I532" s="27" t="s">
        <v>8</v>
      </c>
      <c r="J532" s="27" t="s">
        <v>7</v>
      </c>
      <c r="K532" s="27" t="s">
        <v>8</v>
      </c>
      <c r="L532" s="27" t="s">
        <v>7</v>
      </c>
      <c r="M532" s="27" t="s">
        <v>8</v>
      </c>
      <c r="N532" s="27" t="s">
        <v>7</v>
      </c>
      <c r="O532" s="27" t="s">
        <v>8</v>
      </c>
      <c r="V532" s="27" t="s">
        <v>7</v>
      </c>
      <c r="W532" s="27" t="s">
        <v>8</v>
      </c>
      <c r="X532" s="27" t="s">
        <v>7</v>
      </c>
      <c r="Y532" s="27" t="s">
        <v>8</v>
      </c>
      <c r="Z532" s="27" t="s">
        <v>7</v>
      </c>
      <c r="AA532" s="27" t="s">
        <v>8</v>
      </c>
      <c r="AB532" s="27" t="s">
        <v>7</v>
      </c>
    </row>
    <row r="533" spans="1:53" x14ac:dyDescent="0.25">
      <c r="A533" s="7">
        <v>2.9134614441402875</v>
      </c>
      <c r="B533"/>
      <c r="C533"/>
      <c r="D533"/>
      <c r="E533" t="s">
        <v>8</v>
      </c>
      <c r="F533" s="27" t="s">
        <v>7</v>
      </c>
      <c r="I533" s="27" t="s">
        <v>8</v>
      </c>
      <c r="J533" s="27" t="s">
        <v>7</v>
      </c>
      <c r="K533" s="27" t="s">
        <v>8</v>
      </c>
      <c r="L533" s="27" t="s">
        <v>7</v>
      </c>
      <c r="M533" s="27" t="s">
        <v>8</v>
      </c>
      <c r="N533" s="27" t="s">
        <v>7</v>
      </c>
      <c r="O533" s="27" t="s">
        <v>8</v>
      </c>
      <c r="V533" s="27" t="s">
        <v>7</v>
      </c>
      <c r="W533" s="27" t="s">
        <v>8</v>
      </c>
      <c r="X533" s="27" t="s">
        <v>7</v>
      </c>
      <c r="Y533" s="27" t="s">
        <v>8</v>
      </c>
      <c r="Z533" s="27" t="s">
        <v>7</v>
      </c>
      <c r="AA533" s="27" t="s">
        <v>8</v>
      </c>
      <c r="AB533" s="27" t="s">
        <v>7</v>
      </c>
      <c r="AG533" s="27" t="s">
        <v>8</v>
      </c>
    </row>
    <row r="534" spans="1:53" x14ac:dyDescent="0.25">
      <c r="A534" s="7">
        <v>2.8563347491571447</v>
      </c>
      <c r="B534"/>
      <c r="C534"/>
      <c r="D534"/>
      <c r="E534" t="s">
        <v>8</v>
      </c>
      <c r="F534" s="27" t="s">
        <v>7</v>
      </c>
      <c r="I534" s="27" t="s">
        <v>8</v>
      </c>
      <c r="J534" s="27" t="s">
        <v>7</v>
      </c>
      <c r="K534" s="27" t="s">
        <v>8</v>
      </c>
      <c r="L534" s="27" t="s">
        <v>7</v>
      </c>
      <c r="M534" s="27" t="s">
        <v>8</v>
      </c>
      <c r="N534" s="27" t="s">
        <v>7</v>
      </c>
      <c r="O534" s="27" t="s">
        <v>8</v>
      </c>
      <c r="V534" s="27" t="s">
        <v>7</v>
      </c>
      <c r="W534" s="27" t="s">
        <v>8</v>
      </c>
      <c r="X534" s="27" t="s">
        <v>7</v>
      </c>
      <c r="Y534" s="27" t="s">
        <v>8</v>
      </c>
      <c r="Z534" s="27" t="s">
        <v>7</v>
      </c>
      <c r="AB534" s="27" t="s">
        <v>7</v>
      </c>
      <c r="AG534" s="27" t="s">
        <v>8</v>
      </c>
      <c r="AH534" s="27" t="s">
        <v>7</v>
      </c>
    </row>
    <row r="535" spans="1:53" x14ac:dyDescent="0.25">
      <c r="A535" s="7">
        <v>2.8003281854481812</v>
      </c>
      <c r="B535"/>
      <c r="C535"/>
      <c r="D535"/>
      <c r="E535" t="s">
        <v>8</v>
      </c>
      <c r="F535" s="27" t="s">
        <v>7</v>
      </c>
      <c r="I535" s="27" t="s">
        <v>8</v>
      </c>
      <c r="J535" s="27" t="s">
        <v>7</v>
      </c>
      <c r="K535" s="27" t="s">
        <v>8</v>
      </c>
      <c r="L535" s="27" t="s">
        <v>7</v>
      </c>
      <c r="M535" s="27" t="s">
        <v>8</v>
      </c>
      <c r="N535" s="27" t="s">
        <v>7</v>
      </c>
      <c r="O535" s="27" t="s">
        <v>8</v>
      </c>
      <c r="V535" s="27" t="s">
        <v>7</v>
      </c>
      <c r="W535" s="27" t="s">
        <v>8</v>
      </c>
      <c r="X535" s="27" t="s">
        <v>7</v>
      </c>
      <c r="Y535" s="27" t="s">
        <v>8</v>
      </c>
      <c r="AB535" s="27" t="s">
        <v>7</v>
      </c>
      <c r="AG535" s="27" t="s">
        <v>8</v>
      </c>
      <c r="AH535" s="27" t="s">
        <v>7</v>
      </c>
    </row>
    <row r="536" spans="1:53" x14ac:dyDescent="0.25">
      <c r="A536" s="7">
        <v>2.7454197896550796</v>
      </c>
      <c r="B536"/>
      <c r="C536"/>
      <c r="D536"/>
      <c r="E536" t="s">
        <v>8</v>
      </c>
      <c r="F536" s="27" t="s">
        <v>7</v>
      </c>
      <c r="I536" s="27" t="s">
        <v>8</v>
      </c>
      <c r="J536" s="27" t="s">
        <v>7</v>
      </c>
      <c r="K536" s="27" t="s">
        <v>8</v>
      </c>
      <c r="L536" s="27" t="s">
        <v>7</v>
      </c>
      <c r="M536" s="27" t="s">
        <v>8</v>
      </c>
      <c r="N536" s="27" t="s">
        <v>7</v>
      </c>
      <c r="V536" s="27" t="s">
        <v>7</v>
      </c>
      <c r="W536" s="27" t="s">
        <v>8</v>
      </c>
      <c r="X536" s="27" t="s">
        <v>7</v>
      </c>
      <c r="Y536" s="27" t="s">
        <v>8</v>
      </c>
      <c r="AB536" s="27" t="s">
        <v>7</v>
      </c>
      <c r="AC536" s="27" t="s">
        <v>8</v>
      </c>
      <c r="AG536" s="27" t="s">
        <v>8</v>
      </c>
      <c r="AH536" s="27" t="s">
        <v>7</v>
      </c>
    </row>
    <row r="537" spans="1:53" x14ac:dyDescent="0.25">
      <c r="A537" s="7">
        <v>2.6915880290736074</v>
      </c>
      <c r="B537"/>
      <c r="C537"/>
      <c r="D537"/>
      <c r="E537" t="s">
        <v>8</v>
      </c>
      <c r="F537" s="27" t="s">
        <v>7</v>
      </c>
      <c r="I537" s="27" t="s">
        <v>8</v>
      </c>
      <c r="J537" s="27" t="s">
        <v>7</v>
      </c>
      <c r="K537" s="27" t="s">
        <v>8</v>
      </c>
      <c r="L537" s="27" t="s">
        <v>7</v>
      </c>
      <c r="M537" s="27" t="s">
        <v>8</v>
      </c>
      <c r="V537" s="27" t="s">
        <v>7</v>
      </c>
      <c r="W537" s="27" t="s">
        <v>8</v>
      </c>
      <c r="X537" s="27" t="s">
        <v>7</v>
      </c>
      <c r="Y537" s="27" t="s">
        <v>8</v>
      </c>
      <c r="AB537" s="27" t="s">
        <v>7</v>
      </c>
      <c r="AC537" s="27" t="s">
        <v>8</v>
      </c>
      <c r="AD537" s="27" t="s">
        <v>7</v>
      </c>
      <c r="AG537" s="27" t="s">
        <v>8</v>
      </c>
      <c r="AH537" s="27" t="s">
        <v>7</v>
      </c>
    </row>
    <row r="538" spans="1:53" x14ac:dyDescent="0.25">
      <c r="A538" s="7">
        <v>2.6388117932094191</v>
      </c>
      <c r="B538"/>
      <c r="C538"/>
      <c r="D538"/>
      <c r="E538" t="s">
        <v>8</v>
      </c>
      <c r="F538" s="27" t="s">
        <v>7</v>
      </c>
      <c r="I538" s="27" t="s">
        <v>8</v>
      </c>
      <c r="J538" s="27" t="s">
        <v>7</v>
      </c>
      <c r="K538" s="27" t="s">
        <v>8</v>
      </c>
      <c r="L538" s="27" t="s">
        <v>7</v>
      </c>
      <c r="M538" s="27" t="s">
        <v>8</v>
      </c>
      <c r="V538" s="27" t="s">
        <v>7</v>
      </c>
      <c r="W538" s="27" t="s">
        <v>8</v>
      </c>
      <c r="X538" s="27" t="s">
        <v>7</v>
      </c>
      <c r="Y538" s="27" t="s">
        <v>8</v>
      </c>
      <c r="AB538" s="27" t="s">
        <v>7</v>
      </c>
      <c r="AC538" s="27" t="s">
        <v>8</v>
      </c>
      <c r="AD538" s="27" t="s">
        <v>7</v>
      </c>
      <c r="AE538" s="27" t="s">
        <v>8</v>
      </c>
      <c r="AG538" s="27" t="s">
        <v>8</v>
      </c>
      <c r="AH538" s="27" t="s">
        <v>7</v>
      </c>
    </row>
    <row r="539" spans="1:53" x14ac:dyDescent="0.25">
      <c r="A539" s="7">
        <v>2.5870703854994304</v>
      </c>
      <c r="B539"/>
      <c r="C539"/>
      <c r="D539"/>
      <c r="E539" t="s">
        <v>8</v>
      </c>
      <c r="F539" s="27" t="s">
        <v>7</v>
      </c>
      <c r="I539" s="27" t="s">
        <v>8</v>
      </c>
      <c r="J539" s="27" t="s">
        <v>7</v>
      </c>
      <c r="L539" s="27" t="s">
        <v>7</v>
      </c>
      <c r="M539" s="27" t="s">
        <v>8</v>
      </c>
      <c r="V539" s="27" t="s">
        <v>7</v>
      </c>
      <c r="W539" s="27" t="s">
        <v>8</v>
      </c>
      <c r="X539" s="27" t="s">
        <v>7</v>
      </c>
      <c r="Y539" s="27" t="s">
        <v>8</v>
      </c>
      <c r="AB539" s="27" t="s">
        <v>7</v>
      </c>
      <c r="AC539" s="27" t="s">
        <v>8</v>
      </c>
      <c r="AD539" s="27" t="s">
        <v>7</v>
      </c>
      <c r="AE539" s="27" t="s">
        <v>8</v>
      </c>
      <c r="AF539" s="27" t="s">
        <v>7</v>
      </c>
      <c r="AG539" s="27" t="s">
        <v>8</v>
      </c>
      <c r="AH539" s="27" t="s">
        <v>7</v>
      </c>
      <c r="AK539" s="27" t="s">
        <v>8</v>
      </c>
    </row>
    <row r="540" spans="1:53" x14ac:dyDescent="0.25">
      <c r="A540" s="7">
        <v>2.53634351519552</v>
      </c>
      <c r="B540"/>
      <c r="C540"/>
      <c r="D540"/>
      <c r="E540" t="s">
        <v>8</v>
      </c>
      <c r="F540" s="27" t="s">
        <v>7</v>
      </c>
      <c r="I540" s="27" t="s">
        <v>8</v>
      </c>
      <c r="L540" s="27" t="s">
        <v>7</v>
      </c>
      <c r="M540" s="27" t="s">
        <v>8</v>
      </c>
      <c r="V540" s="27" t="s">
        <v>7</v>
      </c>
      <c r="W540" s="27" t="s">
        <v>8</v>
      </c>
      <c r="X540" s="27" t="s">
        <v>7</v>
      </c>
      <c r="AB540" s="27" t="s">
        <v>7</v>
      </c>
      <c r="AC540" s="27" t="s">
        <v>8</v>
      </c>
      <c r="AD540" s="27" t="s">
        <v>7</v>
      </c>
      <c r="AE540" s="27" t="s">
        <v>8</v>
      </c>
      <c r="AF540" s="27" t="s">
        <v>7</v>
      </c>
      <c r="AG540" s="27" t="s">
        <v>8</v>
      </c>
      <c r="AH540" s="27" t="s">
        <v>7</v>
      </c>
      <c r="AK540" s="27" t="s">
        <v>8</v>
      </c>
      <c r="AL540" s="27" t="s">
        <v>7</v>
      </c>
    </row>
    <row r="541" spans="1:53" x14ac:dyDescent="0.25">
      <c r="A541" s="7">
        <v>2.4866112894073726</v>
      </c>
      <c r="B541"/>
      <c r="C541"/>
      <c r="D541"/>
      <c r="E541" t="s">
        <v>8</v>
      </c>
      <c r="F541" s="27" t="s">
        <v>7</v>
      </c>
      <c r="G541" s="27" t="s">
        <v>8</v>
      </c>
      <c r="I541" s="27" t="s">
        <v>8</v>
      </c>
      <c r="L541" s="27" t="s">
        <v>7</v>
      </c>
      <c r="M541" s="27" t="s">
        <v>8</v>
      </c>
      <c r="V541" s="27" t="s">
        <v>7</v>
      </c>
      <c r="AB541" s="27" t="s">
        <v>7</v>
      </c>
      <c r="AC541" s="27" t="s">
        <v>8</v>
      </c>
      <c r="AD541" s="27" t="s">
        <v>7</v>
      </c>
      <c r="AE541" s="27" t="s">
        <v>8</v>
      </c>
      <c r="AF541" s="27" t="s">
        <v>7</v>
      </c>
      <c r="AG541" s="27" t="s">
        <v>8</v>
      </c>
      <c r="AH541" s="27" t="s">
        <v>7</v>
      </c>
      <c r="AK541" s="27" t="s">
        <v>8</v>
      </c>
      <c r="AL541" s="27" t="s">
        <v>7</v>
      </c>
      <c r="AQ541" s="27" t="s">
        <v>8</v>
      </c>
    </row>
    <row r="542" spans="1:53" x14ac:dyDescent="0.25">
      <c r="A542" s="7">
        <v>2.4378542053013459</v>
      </c>
      <c r="B542"/>
      <c r="C542"/>
      <c r="D542"/>
      <c r="E542" t="s">
        <v>8</v>
      </c>
      <c r="F542" s="27" t="s">
        <v>7</v>
      </c>
      <c r="G542" s="27" t="s">
        <v>8</v>
      </c>
      <c r="H542" s="27" t="s">
        <v>7</v>
      </c>
      <c r="I542" s="27" t="s">
        <v>8</v>
      </c>
      <c r="L542" s="27" t="s">
        <v>7</v>
      </c>
      <c r="AB542" s="27" t="s">
        <v>7</v>
      </c>
      <c r="AC542" s="27" t="s">
        <v>8</v>
      </c>
      <c r="AD542" s="27" t="s">
        <v>7</v>
      </c>
      <c r="AE542" s="27" t="s">
        <v>8</v>
      </c>
      <c r="AF542" s="27" t="s">
        <v>7</v>
      </c>
      <c r="AG542" s="27" t="s">
        <v>8</v>
      </c>
      <c r="AH542" s="27" t="s">
        <v>7</v>
      </c>
      <c r="AI542" s="27" t="s">
        <v>8</v>
      </c>
      <c r="AK542" s="27" t="s">
        <v>8</v>
      </c>
      <c r="AL542" s="27" t="s">
        <v>7</v>
      </c>
      <c r="AQ542" s="27" t="s">
        <v>8</v>
      </c>
      <c r="AR542" s="27" t="s">
        <v>7</v>
      </c>
    </row>
    <row r="543" spans="1:53" x14ac:dyDescent="0.25">
      <c r="A543" s="7">
        <v>2.3900531424522997</v>
      </c>
      <c r="B543"/>
      <c r="C543"/>
      <c r="D543"/>
      <c r="E543" t="s">
        <v>8</v>
      </c>
      <c r="F543" s="27" t="s">
        <v>7</v>
      </c>
      <c r="G543" s="27" t="s">
        <v>8</v>
      </c>
      <c r="H543" s="27" t="s">
        <v>7</v>
      </c>
      <c r="I543" s="27" t="s">
        <v>8</v>
      </c>
      <c r="AB543" s="27" t="s">
        <v>7</v>
      </c>
      <c r="AC543" s="27" t="s">
        <v>8</v>
      </c>
      <c r="AD543" s="27" t="s">
        <v>7</v>
      </c>
      <c r="AE543" s="27" t="s">
        <v>8</v>
      </c>
      <c r="AF543" s="27" t="s">
        <v>7</v>
      </c>
      <c r="AG543" s="27" t="s">
        <v>8</v>
      </c>
      <c r="AH543" s="27" t="s">
        <v>7</v>
      </c>
      <c r="AI543" s="27" t="s">
        <v>8</v>
      </c>
      <c r="AJ543" s="27" t="s">
        <v>7</v>
      </c>
      <c r="AK543" s="27" t="s">
        <v>8</v>
      </c>
      <c r="AL543" s="27" t="s">
        <v>7</v>
      </c>
      <c r="AQ543" s="27" t="s">
        <v>8</v>
      </c>
      <c r="AR543" s="27" t="s">
        <v>7</v>
      </c>
    </row>
    <row r="544" spans="1:53" x14ac:dyDescent="0.25">
      <c r="A544" s="7">
        <v>2.343189355345392</v>
      </c>
      <c r="B544"/>
      <c r="C544"/>
      <c r="D544"/>
      <c r="E544" t="s">
        <v>8</v>
      </c>
      <c r="F544" s="27" t="s">
        <v>7</v>
      </c>
      <c r="G544" s="27" t="s">
        <v>8</v>
      </c>
      <c r="H544" s="27" t="s">
        <v>7</v>
      </c>
      <c r="I544" s="27" t="s">
        <v>8</v>
      </c>
      <c r="AB544" s="27" t="s">
        <v>7</v>
      </c>
      <c r="AD544" s="27" t="s">
        <v>7</v>
      </c>
      <c r="AE544" s="27" t="s">
        <v>8</v>
      </c>
      <c r="AF544" s="27" t="s">
        <v>7</v>
      </c>
      <c r="AH544" s="27" t="s">
        <v>7</v>
      </c>
      <c r="AI544" s="27" t="s">
        <v>8</v>
      </c>
      <c r="AJ544" s="27" t="s">
        <v>7</v>
      </c>
      <c r="AK544" s="27" t="s">
        <v>8</v>
      </c>
      <c r="AL544" s="27" t="s">
        <v>7</v>
      </c>
      <c r="AQ544" s="27" t="s">
        <v>8</v>
      </c>
      <c r="AR544" s="27" t="s">
        <v>7</v>
      </c>
      <c r="BA544" s="27" t="s">
        <v>8</v>
      </c>
    </row>
    <row r="545" spans="1:113" x14ac:dyDescent="0.25">
      <c r="A545" s="7">
        <v>2.2972444660248938</v>
      </c>
      <c r="B545"/>
      <c r="C545"/>
      <c r="D545"/>
      <c r="E545" t="s">
        <v>8</v>
      </c>
      <c r="F545" s="27" t="s">
        <v>7</v>
      </c>
      <c r="G545" s="27" t="s">
        <v>8</v>
      </c>
      <c r="H545" s="27" t="s">
        <v>7</v>
      </c>
      <c r="I545" s="27" t="s">
        <v>8</v>
      </c>
      <c r="AD545" s="27" t="s">
        <v>7</v>
      </c>
      <c r="AE545" s="27" t="s">
        <v>8</v>
      </c>
      <c r="AH545" s="27" t="s">
        <v>7</v>
      </c>
      <c r="AJ545" s="27" t="s">
        <v>7</v>
      </c>
      <c r="AK545" s="27" t="s">
        <v>8</v>
      </c>
      <c r="AL545" s="27" t="s">
        <v>7</v>
      </c>
      <c r="AQ545" s="27" t="s">
        <v>8</v>
      </c>
      <c r="AR545" s="27" t="s">
        <v>7</v>
      </c>
      <c r="BA545" s="27" t="s">
        <v>8</v>
      </c>
      <c r="BB545" s="27" t="s">
        <v>7</v>
      </c>
    </row>
    <row r="546" spans="1:113" x14ac:dyDescent="0.25">
      <c r="A546" s="7">
        <v>2.252200456887151</v>
      </c>
      <c r="B546"/>
      <c r="C546"/>
      <c r="D546"/>
      <c r="E546" t="s">
        <v>8</v>
      </c>
      <c r="F546" s="27" t="s">
        <v>7</v>
      </c>
      <c r="G546" s="27" t="s">
        <v>8</v>
      </c>
      <c r="H546" s="27" t="s">
        <v>7</v>
      </c>
      <c r="I546" s="27" t="s">
        <v>8</v>
      </c>
      <c r="AD546" s="27" t="s">
        <v>7</v>
      </c>
      <c r="AE546" s="27" t="s">
        <v>8</v>
      </c>
      <c r="AJ546" s="27" t="s">
        <v>7</v>
      </c>
      <c r="AK546" s="27" t="s">
        <v>8</v>
      </c>
      <c r="AL546" s="27" t="s">
        <v>7</v>
      </c>
      <c r="AQ546" s="27" t="s">
        <v>8</v>
      </c>
      <c r="AR546" s="27" t="s">
        <v>7</v>
      </c>
      <c r="BA546" s="27" t="s">
        <v>8</v>
      </c>
      <c r="BB546" s="27" t="s">
        <v>7</v>
      </c>
    </row>
    <row r="547" spans="1:113" x14ac:dyDescent="0.25">
      <c r="A547" s="7">
        <v>2.208039663614854</v>
      </c>
      <c r="B547"/>
      <c r="C547"/>
      <c r="D547"/>
      <c r="E547" t="s">
        <v>8</v>
      </c>
      <c r="F547" s="27" t="s">
        <v>7</v>
      </c>
      <c r="G547" s="27" t="s">
        <v>8</v>
      </c>
      <c r="H547" s="27" t="s">
        <v>7</v>
      </c>
      <c r="I547" s="27" t="s">
        <v>8</v>
      </c>
      <c r="AD547" s="27" t="s">
        <v>7</v>
      </c>
      <c r="AJ547" s="27" t="s">
        <v>7</v>
      </c>
      <c r="AK547" s="27" t="s">
        <v>8</v>
      </c>
      <c r="AL547" s="27" t="s">
        <v>7</v>
      </c>
      <c r="AQ547" s="27" t="s">
        <v>8</v>
      </c>
      <c r="AR547" s="27" t="s">
        <v>7</v>
      </c>
      <c r="BA547" s="27" t="s">
        <v>8</v>
      </c>
      <c r="BB547" s="27" t="s">
        <v>7</v>
      </c>
    </row>
    <row r="548" spans="1:113" x14ac:dyDescent="0.25">
      <c r="A548" s="7">
        <v>2.1647447682498568</v>
      </c>
      <c r="B548"/>
      <c r="C548"/>
      <c r="D548"/>
      <c r="E548" t="s">
        <v>8</v>
      </c>
      <c r="F548" s="27" t="s">
        <v>7</v>
      </c>
      <c r="G548" s="27" t="s">
        <v>8</v>
      </c>
      <c r="H548" s="27" t="s">
        <v>7</v>
      </c>
      <c r="I548" s="27" t="s">
        <v>8</v>
      </c>
      <c r="AJ548" s="27" t="s">
        <v>7</v>
      </c>
      <c r="AL548" s="27" t="s">
        <v>7</v>
      </c>
      <c r="AQ548" s="27" t="s">
        <v>8</v>
      </c>
      <c r="AR548" s="27" t="s">
        <v>7</v>
      </c>
      <c r="AU548" s="27" t="s">
        <v>8</v>
      </c>
      <c r="BA548" s="27" t="s">
        <v>8</v>
      </c>
      <c r="BB548" s="27" t="s">
        <v>7</v>
      </c>
    </row>
    <row r="549" spans="1:113" x14ac:dyDescent="0.25">
      <c r="A549" s="7">
        <v>2.1222987924018204</v>
      </c>
      <c r="B549"/>
      <c r="C549"/>
      <c r="D549"/>
      <c r="E549" t="s">
        <v>8</v>
      </c>
      <c r="F549" s="27" t="s">
        <v>7</v>
      </c>
      <c r="G549" s="27" t="s">
        <v>8</v>
      </c>
      <c r="H549" s="27" t="s">
        <v>7</v>
      </c>
      <c r="I549" s="27" t="s">
        <v>8</v>
      </c>
      <c r="AL549" s="27" t="s">
        <v>7</v>
      </c>
      <c r="AQ549" s="27" t="s">
        <v>8</v>
      </c>
      <c r="AR549" s="27" t="s">
        <v>7</v>
      </c>
      <c r="AU549" s="27" t="s">
        <v>8</v>
      </c>
      <c r="AV549" s="27" t="s">
        <v>7</v>
      </c>
      <c r="BA549" s="27" t="s">
        <v>8</v>
      </c>
      <c r="BB549" s="27" t="s">
        <v>7</v>
      </c>
    </row>
    <row r="550" spans="1:113" x14ac:dyDescent="0.25">
      <c r="A550" s="7">
        <v>2.0806850905900198</v>
      </c>
      <c r="B550"/>
      <c r="C550"/>
      <c r="D550"/>
      <c r="E550" t="s">
        <v>8</v>
      </c>
      <c r="F550" s="27" t="s">
        <v>7</v>
      </c>
      <c r="G550" s="27" t="s">
        <v>8</v>
      </c>
      <c r="H550" s="27" t="s">
        <v>7</v>
      </c>
      <c r="I550" s="27" t="s">
        <v>8</v>
      </c>
      <c r="AL550" s="27" t="s">
        <v>7</v>
      </c>
      <c r="AQ550" s="27" t="s">
        <v>8</v>
      </c>
      <c r="AR550" s="27" t="s">
        <v>7</v>
      </c>
      <c r="AU550" s="27" t="s">
        <v>8</v>
      </c>
      <c r="AV550" s="27" t="s">
        <v>7</v>
      </c>
      <c r="BA550" s="27" t="s">
        <v>8</v>
      </c>
      <c r="BB550" s="27" t="s">
        <v>7</v>
      </c>
    </row>
    <row r="551" spans="1:113" x14ac:dyDescent="0.25">
      <c r="A551" s="7">
        <v>2.0398873437157055</v>
      </c>
      <c r="B551"/>
      <c r="C551"/>
      <c r="D551"/>
      <c r="E551" t="s">
        <v>8</v>
      </c>
      <c r="F551" s="27" t="s">
        <v>7</v>
      </c>
      <c r="G551" s="27" t="s">
        <v>8</v>
      </c>
      <c r="H551" s="27" t="s">
        <v>7</v>
      </c>
      <c r="I551" s="27" t="s">
        <v>8</v>
      </c>
      <c r="AL551" s="27" t="s">
        <v>7</v>
      </c>
      <c r="AQ551" s="27" t="s">
        <v>8</v>
      </c>
      <c r="AR551" s="27" t="s">
        <v>7</v>
      </c>
      <c r="AS551" s="27" t="s">
        <v>8</v>
      </c>
      <c r="AU551" s="27" t="s">
        <v>8</v>
      </c>
      <c r="AV551" s="27" t="s">
        <v>7</v>
      </c>
      <c r="BA551" s="27" t="s">
        <v>8</v>
      </c>
      <c r="BB551" s="27" t="s">
        <v>7</v>
      </c>
    </row>
    <row r="552" spans="1:113" x14ac:dyDescent="0.25">
      <c r="A552" s="7">
        <v>1.9998895526624565</v>
      </c>
      <c r="B552"/>
      <c r="C552"/>
      <c r="D552"/>
      <c r="E552" t="s">
        <v>8</v>
      </c>
      <c r="F552" s="27" t="s">
        <v>7</v>
      </c>
      <c r="G552" s="27" t="s">
        <v>8</v>
      </c>
      <c r="H552" s="27" t="s">
        <v>7</v>
      </c>
      <c r="I552" s="27" t="s">
        <v>8</v>
      </c>
      <c r="AL552" s="27" t="s">
        <v>7</v>
      </c>
      <c r="AQ552" s="27" t="s">
        <v>8</v>
      </c>
      <c r="AR552" s="27" t="s">
        <v>7</v>
      </c>
      <c r="AS552" s="27" t="s">
        <v>8</v>
      </c>
      <c r="AT552" s="27" t="s">
        <v>7</v>
      </c>
      <c r="AU552" s="27" t="s">
        <v>8</v>
      </c>
      <c r="AV552" s="27" t="s">
        <v>7</v>
      </c>
      <c r="BA552" s="27" t="s">
        <v>8</v>
      </c>
      <c r="BB552" s="27" t="s">
        <v>7</v>
      </c>
    </row>
    <row r="553" spans="1:113" x14ac:dyDescent="0.25">
      <c r="A553" s="7">
        <v>1.9606760320220162</v>
      </c>
      <c r="B553"/>
      <c r="C553"/>
      <c r="D553"/>
      <c r="E553" t="s">
        <v>8</v>
      </c>
      <c r="F553" s="27" t="s">
        <v>7</v>
      </c>
      <c r="G553" s="27" t="s">
        <v>8</v>
      </c>
      <c r="H553" s="27" t="s">
        <v>7</v>
      </c>
      <c r="I553" s="27" t="s">
        <v>8</v>
      </c>
      <c r="AL553" s="27" t="s">
        <v>7</v>
      </c>
      <c r="AQ553" s="27" t="s">
        <v>8</v>
      </c>
      <c r="AR553" s="27" t="s">
        <v>7</v>
      </c>
      <c r="AS553" s="27" t="s">
        <v>8</v>
      </c>
      <c r="AT553" s="27" t="s">
        <v>7</v>
      </c>
      <c r="AU553" s="27" t="s">
        <v>8</v>
      </c>
      <c r="AV553" s="27" t="s">
        <v>7</v>
      </c>
      <c r="BA553" s="27" t="s">
        <v>8</v>
      </c>
      <c r="BB553" s="27" t="s">
        <v>7</v>
      </c>
    </row>
    <row r="554" spans="1:113" x14ac:dyDescent="0.25">
      <c r="A554" s="7">
        <v>1.9222314039431532</v>
      </c>
      <c r="B554"/>
      <c r="C554"/>
      <c r="D554"/>
      <c r="E554" t="s">
        <v>8</v>
      </c>
      <c r="F554" s="27" t="s">
        <v>7</v>
      </c>
      <c r="G554" s="27" t="s">
        <v>8</v>
      </c>
      <c r="H554" s="27" t="s">
        <v>7</v>
      </c>
      <c r="AL554" s="27" t="s">
        <v>7</v>
      </c>
      <c r="AQ554" s="27" t="s">
        <v>8</v>
      </c>
      <c r="AR554" s="27" t="s">
        <v>7</v>
      </c>
      <c r="AS554" s="27" t="s">
        <v>8</v>
      </c>
      <c r="AT554" s="27" t="s">
        <v>7</v>
      </c>
      <c r="AU554" s="27" t="s">
        <v>8</v>
      </c>
      <c r="AV554" s="27" t="s">
        <v>7</v>
      </c>
      <c r="BA554" s="27" t="s">
        <v>8</v>
      </c>
      <c r="BB554" s="27" t="s">
        <v>7</v>
      </c>
    </row>
    <row r="555" spans="1:113" x14ac:dyDescent="0.25">
      <c r="A555" s="7">
        <v>1.8845405921011305</v>
      </c>
      <c r="B555"/>
      <c r="C555"/>
      <c r="D555"/>
      <c r="E555" t="s">
        <v>8</v>
      </c>
      <c r="F555" s="27" t="s">
        <v>7</v>
      </c>
      <c r="G555" s="27" t="s">
        <v>8</v>
      </c>
      <c r="AL555" s="27" t="s">
        <v>7</v>
      </c>
      <c r="AQ555" s="27" t="s">
        <v>8</v>
      </c>
      <c r="AR555" s="27" t="s">
        <v>7</v>
      </c>
      <c r="AS555" s="27" t="s">
        <v>8</v>
      </c>
      <c r="AT555" s="27" t="s">
        <v>7</v>
      </c>
      <c r="AU555" s="27" t="s">
        <v>8</v>
      </c>
      <c r="AV555" s="27" t="s">
        <v>7</v>
      </c>
      <c r="BA555" s="27" t="s">
        <v>8</v>
      </c>
      <c r="BB555" s="27" t="s">
        <v>7</v>
      </c>
    </row>
    <row r="556" spans="1:113" x14ac:dyDescent="0.25">
      <c r="A556" s="7">
        <v>1.8475888157854219</v>
      </c>
      <c r="B556"/>
      <c r="C556"/>
      <c r="D556"/>
      <c r="E556" t="s">
        <v>8</v>
      </c>
      <c r="F556" s="27" t="s">
        <v>7</v>
      </c>
      <c r="G556" s="27" t="s">
        <v>8</v>
      </c>
      <c r="AL556" s="27" t="s">
        <v>7</v>
      </c>
      <c r="AQ556" s="27" t="s">
        <v>8</v>
      </c>
      <c r="AR556" s="27" t="s">
        <v>7</v>
      </c>
      <c r="AS556" s="27" t="s">
        <v>8</v>
      </c>
      <c r="AT556" s="27" t="s">
        <v>7</v>
      </c>
      <c r="AU556" s="27" t="s">
        <v>8</v>
      </c>
      <c r="AV556" s="27" t="s">
        <v>7</v>
      </c>
      <c r="AW556" s="27" t="s">
        <v>8</v>
      </c>
      <c r="BA556" s="27" t="s">
        <v>8</v>
      </c>
      <c r="BB556" s="27" t="s">
        <v>7</v>
      </c>
    </row>
    <row r="557" spans="1:113" x14ac:dyDescent="0.25">
      <c r="A557" s="7">
        <v>1.8113615841033548</v>
      </c>
      <c r="B557"/>
      <c r="C557"/>
      <c r="D557"/>
      <c r="E557" t="s">
        <v>8</v>
      </c>
      <c r="F557" s="27" t="s">
        <v>7</v>
      </c>
      <c r="AL557" s="27" t="s">
        <v>7</v>
      </c>
      <c r="AQ557" s="27" t="s">
        <v>8</v>
      </c>
      <c r="AR557" s="27" t="s">
        <v>7</v>
      </c>
      <c r="AT557" s="27" t="s">
        <v>7</v>
      </c>
      <c r="AU557" s="27" t="s">
        <v>8</v>
      </c>
      <c r="AV557" s="27" t="s">
        <v>7</v>
      </c>
      <c r="AW557" s="27" t="s">
        <v>8</v>
      </c>
      <c r="AX557" s="27" t="s">
        <v>7</v>
      </c>
      <c r="BA557" s="27" t="s">
        <v>8</v>
      </c>
      <c r="BB557" s="27" t="s">
        <v>7</v>
      </c>
    </row>
    <row r="558" spans="1:113" x14ac:dyDescent="0.25">
      <c r="A558" s="7">
        <v>1.7758446902974065</v>
      </c>
      <c r="B558"/>
      <c r="C558"/>
      <c r="D558"/>
      <c r="E558" t="s">
        <v>8</v>
      </c>
      <c r="AL558" s="27" t="s">
        <v>7</v>
      </c>
      <c r="AQ558" s="27" t="s">
        <v>8</v>
      </c>
      <c r="AT558" s="27" t="s">
        <v>7</v>
      </c>
      <c r="AV558" s="27" t="s">
        <v>7</v>
      </c>
      <c r="AW558" s="27" t="s">
        <v>8</v>
      </c>
      <c r="AX558" s="27" t="s">
        <v>7</v>
      </c>
      <c r="BA558" s="27" t="s">
        <v>8</v>
      </c>
      <c r="BB558" s="27" t="s">
        <v>7</v>
      </c>
      <c r="BQ558" s="27" t="s">
        <v>8</v>
      </c>
    </row>
    <row r="559" spans="1:113" x14ac:dyDescent="0.25">
      <c r="A559" s="7">
        <v>1.7410242061739281</v>
      </c>
      <c r="B559"/>
      <c r="C559"/>
      <c r="D559"/>
      <c r="E559" t="s">
        <v>8</v>
      </c>
      <c r="AL559" s="27" t="s">
        <v>7</v>
      </c>
      <c r="AQ559" s="27" t="s">
        <v>8</v>
      </c>
      <c r="AV559" s="27" t="s">
        <v>7</v>
      </c>
      <c r="AW559" s="27" t="s">
        <v>8</v>
      </c>
      <c r="AX559" s="27" t="s">
        <v>7</v>
      </c>
      <c r="AY559" s="27" t="s">
        <v>8</v>
      </c>
      <c r="BA559" s="27" t="s">
        <v>8</v>
      </c>
      <c r="BB559" s="27" t="s">
        <v>7</v>
      </c>
      <c r="BQ559" s="27" t="s">
        <v>8</v>
      </c>
      <c r="BR559" s="27" t="s">
        <v>7</v>
      </c>
    </row>
    <row r="560" spans="1:113" x14ac:dyDescent="0.25">
      <c r="A560" s="7">
        <v>1.7068864766411058</v>
      </c>
      <c r="B560"/>
      <c r="C560"/>
      <c r="D560"/>
      <c r="E560" t="s">
        <v>8</v>
      </c>
      <c r="AL560" s="27" t="s">
        <v>7</v>
      </c>
      <c r="AQ560" s="27" t="s">
        <v>8</v>
      </c>
      <c r="AV560" s="27" t="s">
        <v>7</v>
      </c>
      <c r="AW560" s="27" t="s">
        <v>8</v>
      </c>
      <c r="AX560" s="27" t="s">
        <v>7</v>
      </c>
      <c r="AY560" s="27" t="s">
        <v>8</v>
      </c>
      <c r="AZ560" s="27" t="s">
        <v>7</v>
      </c>
      <c r="BA560" s="27" t="s">
        <v>8</v>
      </c>
      <c r="BB560" s="27" t="s">
        <v>7</v>
      </c>
      <c r="BQ560" s="27" t="s">
        <v>8</v>
      </c>
      <c r="BR560" s="27" t="s">
        <v>7</v>
      </c>
      <c r="BS560" s="27" t="s">
        <v>8</v>
      </c>
      <c r="DI560" s="27" t="s">
        <v>8</v>
      </c>
    </row>
    <row r="561" spans="1:131" x14ac:dyDescent="0.25">
      <c r="A561" s="7">
        <v>1.6734181143540252</v>
      </c>
      <c r="B561"/>
      <c r="C561"/>
      <c r="D561"/>
      <c r="E561" t="s">
        <v>8</v>
      </c>
      <c r="AL561" s="27" t="s">
        <v>7</v>
      </c>
      <c r="AQ561" s="27" t="s">
        <v>8</v>
      </c>
      <c r="AV561" s="27" t="s">
        <v>7</v>
      </c>
      <c r="AX561" s="27" t="s">
        <v>7</v>
      </c>
      <c r="AY561" s="27" t="s">
        <v>8</v>
      </c>
      <c r="AZ561" s="27" t="s">
        <v>7</v>
      </c>
      <c r="BA561" s="27" t="s">
        <v>8</v>
      </c>
      <c r="BB561" s="27" t="s">
        <v>7</v>
      </c>
      <c r="BQ561" s="27" t="s">
        <v>8</v>
      </c>
      <c r="BR561" s="27" t="s">
        <v>7</v>
      </c>
      <c r="BS561" s="27" t="s">
        <v>8</v>
      </c>
      <c r="BT561" s="27" t="s">
        <v>7</v>
      </c>
      <c r="DI561" s="27" t="s">
        <v>8</v>
      </c>
      <c r="DJ561" s="27" t="s">
        <v>7</v>
      </c>
    </row>
    <row r="562" spans="1:131" x14ac:dyDescent="0.25">
      <c r="A562" s="7">
        <v>1.6406059944647307</v>
      </c>
      <c r="B562"/>
      <c r="C562"/>
      <c r="D562"/>
      <c r="E562" t="s">
        <v>8</v>
      </c>
      <c r="AL562" s="27" t="s">
        <v>7</v>
      </c>
      <c r="AQ562" s="27" t="s">
        <v>8</v>
      </c>
      <c r="AX562" s="27" t="s">
        <v>7</v>
      </c>
      <c r="AY562" s="27" t="s">
        <v>8</v>
      </c>
      <c r="AZ562" s="27" t="s">
        <v>7</v>
      </c>
      <c r="BA562" s="27" t="s">
        <v>8</v>
      </c>
      <c r="BB562" s="27" t="s">
        <v>7</v>
      </c>
      <c r="BQ562" s="27" t="s">
        <v>8</v>
      </c>
      <c r="BR562" s="27" t="s">
        <v>7</v>
      </c>
      <c r="BS562" s="27" t="s">
        <v>8</v>
      </c>
      <c r="BT562" s="27" t="s">
        <v>7</v>
      </c>
      <c r="CW562" s="27" t="s">
        <v>8</v>
      </c>
      <c r="DI562" s="27" t="s">
        <v>8</v>
      </c>
      <c r="DJ562" s="27" t="s">
        <v>7</v>
      </c>
    </row>
    <row r="563" spans="1:131" x14ac:dyDescent="0.25">
      <c r="A563" s="7">
        <v>1.6084372494752261</v>
      </c>
      <c r="B563"/>
      <c r="C563"/>
      <c r="D563"/>
      <c r="E563" t="s">
        <v>8</v>
      </c>
      <c r="AL563" s="27" t="s">
        <v>7</v>
      </c>
      <c r="AQ563" s="27" t="s">
        <v>8</v>
      </c>
      <c r="AX563" s="27" t="s">
        <v>7</v>
      </c>
      <c r="AZ563" s="27" t="s">
        <v>7</v>
      </c>
      <c r="BA563" s="27" t="s">
        <v>8</v>
      </c>
      <c r="BB563" s="27" t="s">
        <v>7</v>
      </c>
      <c r="BC563" s="27" t="s">
        <v>8</v>
      </c>
      <c r="BQ563" s="27" t="s">
        <v>8</v>
      </c>
      <c r="BR563" s="27" t="s">
        <v>7</v>
      </c>
      <c r="BS563" s="27" t="s">
        <v>8</v>
      </c>
      <c r="BT563" s="27" t="s">
        <v>7</v>
      </c>
      <c r="CW563" s="27" t="s">
        <v>8</v>
      </c>
      <c r="CX563" s="27" t="s">
        <v>7</v>
      </c>
      <c r="DI563" s="27" t="s">
        <v>8</v>
      </c>
      <c r="DJ563" s="27" t="s">
        <v>7</v>
      </c>
    </row>
    <row r="564" spans="1:131" x14ac:dyDescent="0.25">
      <c r="A564" s="7">
        <v>1.5768992641913981</v>
      </c>
      <c r="B564"/>
      <c r="C564"/>
      <c r="D564"/>
      <c r="E564" t="s">
        <v>8</v>
      </c>
      <c r="AL564" s="27" t="s">
        <v>7</v>
      </c>
      <c r="AM564" s="27" t="s">
        <v>8</v>
      </c>
      <c r="AQ564" s="27" t="s">
        <v>8</v>
      </c>
      <c r="AZ564" s="27" t="s">
        <v>7</v>
      </c>
      <c r="BA564" s="27" t="s">
        <v>8</v>
      </c>
      <c r="BB564" s="27" t="s">
        <v>7</v>
      </c>
      <c r="BC564" s="27" t="s">
        <v>8</v>
      </c>
      <c r="BD564" s="27" t="s">
        <v>7</v>
      </c>
      <c r="BQ564" s="27" t="s">
        <v>8</v>
      </c>
      <c r="BR564" s="27" t="s">
        <v>7</v>
      </c>
      <c r="BS564" s="27" t="s">
        <v>8</v>
      </c>
      <c r="BT564" s="27" t="s">
        <v>7</v>
      </c>
      <c r="CW564" s="27" t="s">
        <v>8</v>
      </c>
      <c r="CX564" s="27" t="s">
        <v>7</v>
      </c>
      <c r="DG564" s="27" t="s">
        <v>8</v>
      </c>
      <c r="DI564" s="27" t="s">
        <v>8</v>
      </c>
      <c r="DJ564" s="27" t="s">
        <v>7</v>
      </c>
    </row>
    <row r="565" spans="1:131" x14ac:dyDescent="0.25">
      <c r="A565" s="7">
        <v>1.5459796707758806</v>
      </c>
      <c r="B565"/>
      <c r="C565"/>
      <c r="D565"/>
      <c r="E565" t="s">
        <v>8</v>
      </c>
      <c r="AL565" s="27" t="s">
        <v>7</v>
      </c>
      <c r="AM565" s="27" t="s">
        <v>8</v>
      </c>
      <c r="AN565" s="27" t="s">
        <v>7</v>
      </c>
      <c r="AQ565" s="27" t="s">
        <v>8</v>
      </c>
      <c r="AZ565" s="27" t="s">
        <v>7</v>
      </c>
      <c r="BA565" s="27" t="s">
        <v>8</v>
      </c>
      <c r="BB565" s="27" t="s">
        <v>7</v>
      </c>
      <c r="BC565" s="27" t="s">
        <v>8</v>
      </c>
      <c r="BD565" s="27" t="s">
        <v>7</v>
      </c>
      <c r="BQ565" s="27" t="s">
        <v>8</v>
      </c>
      <c r="BR565" s="27" t="s">
        <v>7</v>
      </c>
      <c r="BS565" s="27" t="s">
        <v>8</v>
      </c>
      <c r="BT565" s="27" t="s">
        <v>7</v>
      </c>
      <c r="CW565" s="27" t="s">
        <v>8</v>
      </c>
      <c r="CX565" s="27" t="s">
        <v>7</v>
      </c>
      <c r="DG565" s="27" t="s">
        <v>8</v>
      </c>
      <c r="DH565" s="27" t="s">
        <v>7</v>
      </c>
      <c r="DI565" s="27" t="s">
        <v>8</v>
      </c>
      <c r="DJ565" s="27" t="s">
        <v>7</v>
      </c>
    </row>
    <row r="566" spans="1:131" x14ac:dyDescent="0.25">
      <c r="A566" s="7">
        <v>1.5156663438979221</v>
      </c>
      <c r="B566"/>
      <c r="C566"/>
      <c r="D566"/>
      <c r="E566" t="s">
        <v>8</v>
      </c>
      <c r="AL566" s="27" t="s">
        <v>7</v>
      </c>
      <c r="AM566" s="27" t="s">
        <v>8</v>
      </c>
      <c r="AN566" s="27" t="s">
        <v>7</v>
      </c>
      <c r="AQ566" s="27" t="s">
        <v>8</v>
      </c>
      <c r="AZ566" s="27" t="s">
        <v>7</v>
      </c>
      <c r="BB566" s="27" t="s">
        <v>7</v>
      </c>
      <c r="BC566" s="27" t="s">
        <v>8</v>
      </c>
      <c r="BD566" s="27" t="s">
        <v>7</v>
      </c>
      <c r="BQ566" s="27" t="s">
        <v>8</v>
      </c>
      <c r="BR566" s="27" t="s">
        <v>7</v>
      </c>
      <c r="BS566" s="27" t="s">
        <v>8</v>
      </c>
      <c r="BT566" s="27" t="s">
        <v>7</v>
      </c>
      <c r="CW566" s="27" t="s">
        <v>8</v>
      </c>
      <c r="CX566" s="27" t="s">
        <v>7</v>
      </c>
      <c r="DG566" s="27" t="s">
        <v>8</v>
      </c>
      <c r="DH566" s="27" t="s">
        <v>7</v>
      </c>
      <c r="DI566" s="27" t="s">
        <v>8</v>
      </c>
      <c r="DJ566" s="27" t="s">
        <v>7</v>
      </c>
    </row>
    <row r="567" spans="1:131" x14ac:dyDescent="0.25">
      <c r="A567" s="7">
        <v>1.4859473959783549</v>
      </c>
      <c r="B567"/>
      <c r="C567"/>
      <c r="D567"/>
      <c r="E567" t="s">
        <v>8</v>
      </c>
      <c r="AL567" s="27" t="s">
        <v>7</v>
      </c>
      <c r="AM567" s="27" t="s">
        <v>8</v>
      </c>
      <c r="AN567" s="27" t="s">
        <v>7</v>
      </c>
      <c r="AQ567" s="27" t="s">
        <v>8</v>
      </c>
      <c r="BB567" s="27" t="s">
        <v>7</v>
      </c>
      <c r="BC567" s="27" t="s">
        <v>8</v>
      </c>
      <c r="BD567" s="27" t="s">
        <v>7</v>
      </c>
      <c r="BQ567" s="27" t="s">
        <v>8</v>
      </c>
      <c r="BR567" s="27" t="s">
        <v>7</v>
      </c>
      <c r="BS567" s="27" t="s">
        <v>8</v>
      </c>
      <c r="BT567" s="27" t="s">
        <v>7</v>
      </c>
      <c r="CW567" s="27" t="s">
        <v>8</v>
      </c>
      <c r="CX567" s="27" t="s">
        <v>7</v>
      </c>
      <c r="DG567" s="27" t="s">
        <v>8</v>
      </c>
      <c r="DH567" s="27" t="s">
        <v>7</v>
      </c>
      <c r="DI567" s="27" t="s">
        <v>8</v>
      </c>
      <c r="DJ567" s="27" t="s">
        <v>7</v>
      </c>
    </row>
    <row r="568" spans="1:131" x14ac:dyDescent="0.25">
      <c r="A568" s="7">
        <v>1.4568111725277988</v>
      </c>
      <c r="B568"/>
      <c r="C568"/>
      <c r="D568"/>
      <c r="E568" t="s">
        <v>8</v>
      </c>
      <c r="AL568" s="27" t="s">
        <v>7</v>
      </c>
      <c r="AM568" s="27" t="s">
        <v>8</v>
      </c>
      <c r="AN568" s="27" t="s">
        <v>7</v>
      </c>
      <c r="AQ568" s="27" t="s">
        <v>8</v>
      </c>
      <c r="BB568" s="27" t="s">
        <v>7</v>
      </c>
      <c r="BC568" s="27" t="s">
        <v>8</v>
      </c>
      <c r="BD568" s="27" t="s">
        <v>7</v>
      </c>
      <c r="BQ568" s="27" t="s">
        <v>8</v>
      </c>
      <c r="BR568" s="27" t="s">
        <v>7</v>
      </c>
      <c r="BS568" s="27" t="s">
        <v>8</v>
      </c>
      <c r="BT568" s="27" t="s">
        <v>7</v>
      </c>
      <c r="CW568" s="27" t="s">
        <v>8</v>
      </c>
      <c r="CX568" s="27" t="s">
        <v>7</v>
      </c>
      <c r="DG568" s="27" t="s">
        <v>8</v>
      </c>
      <c r="DH568" s="27" t="s">
        <v>7</v>
      </c>
      <c r="DI568" s="27" t="s">
        <v>8</v>
      </c>
      <c r="DJ568" s="27" t="s">
        <v>7</v>
      </c>
      <c r="DS568" s="27" t="s">
        <v>8</v>
      </c>
    </row>
    <row r="569" spans="1:131" x14ac:dyDescent="0.25">
      <c r="A569" s="7">
        <v>1.4282462475762734</v>
      </c>
      <c r="B569"/>
      <c r="C569"/>
      <c r="D569"/>
      <c r="E569" t="s">
        <v>8</v>
      </c>
      <c r="AL569" s="27" t="s">
        <v>7</v>
      </c>
      <c r="AM569" s="27" t="s">
        <v>8</v>
      </c>
      <c r="AN569" s="27" t="s">
        <v>7</v>
      </c>
      <c r="AO569" s="27" t="s">
        <v>8</v>
      </c>
      <c r="AQ569" s="27" t="s">
        <v>8</v>
      </c>
      <c r="BB569" s="27" t="s">
        <v>7</v>
      </c>
      <c r="BC569" s="27" t="s">
        <v>8</v>
      </c>
      <c r="BD569" s="27" t="s">
        <v>7</v>
      </c>
      <c r="BE569" s="27" t="s">
        <v>8</v>
      </c>
      <c r="BQ569" s="27" t="s">
        <v>8</v>
      </c>
      <c r="BR569" s="27" t="s">
        <v>7</v>
      </c>
      <c r="BS569" s="27" t="s">
        <v>8</v>
      </c>
      <c r="BT569" s="27" t="s">
        <v>7</v>
      </c>
      <c r="CW569" s="27" t="s">
        <v>8</v>
      </c>
      <c r="CX569" s="27" t="s">
        <v>7</v>
      </c>
      <c r="CY569" s="27" t="s">
        <v>8</v>
      </c>
      <c r="DG569" s="27" t="s">
        <v>8</v>
      </c>
      <c r="DH569" s="27" t="s">
        <v>7</v>
      </c>
      <c r="DI569" s="27" t="s">
        <v>8</v>
      </c>
      <c r="DJ569" s="27" t="s">
        <v>7</v>
      </c>
      <c r="DS569" s="27" t="s">
        <v>8</v>
      </c>
      <c r="DT569" s="27" t="s">
        <v>7</v>
      </c>
    </row>
    <row r="570" spans="1:131" x14ac:dyDescent="0.25">
      <c r="A570" s="7">
        <v>1.4002414191924248</v>
      </c>
      <c r="B570"/>
      <c r="C570"/>
      <c r="D570"/>
      <c r="E570" t="s">
        <v>8</v>
      </c>
      <c r="AL570" s="27" t="s">
        <v>7</v>
      </c>
      <c r="AM570" s="27" t="s">
        <v>8</v>
      </c>
      <c r="AN570" s="27" t="s">
        <v>7</v>
      </c>
      <c r="AO570" s="27" t="s">
        <v>8</v>
      </c>
      <c r="AP570" s="27" t="s">
        <v>7</v>
      </c>
      <c r="AQ570" s="27" t="s">
        <v>8</v>
      </c>
      <c r="BB570" s="27" t="s">
        <v>7</v>
      </c>
      <c r="BC570" s="27" t="s">
        <v>8</v>
      </c>
      <c r="BD570" s="27" t="s">
        <v>7</v>
      </c>
      <c r="BE570" s="27" t="s">
        <v>8</v>
      </c>
      <c r="BF570" s="27" t="s">
        <v>7</v>
      </c>
      <c r="BQ570" s="27" t="s">
        <v>8</v>
      </c>
      <c r="BR570" s="27" t="s">
        <v>7</v>
      </c>
      <c r="BS570" s="27" t="s">
        <v>8</v>
      </c>
      <c r="BT570" s="27" t="s">
        <v>7</v>
      </c>
      <c r="CW570" s="27" t="s">
        <v>8</v>
      </c>
      <c r="CX570" s="27" t="s">
        <v>7</v>
      </c>
      <c r="CY570" s="27" t="s">
        <v>8</v>
      </c>
      <c r="CZ570" s="27" t="s">
        <v>7</v>
      </c>
      <c r="DG570" s="27" t="s">
        <v>8</v>
      </c>
      <c r="DH570" s="27" t="s">
        <v>7</v>
      </c>
      <c r="DI570" s="27" t="s">
        <v>8</v>
      </c>
      <c r="DJ570" s="27" t="s">
        <v>7</v>
      </c>
      <c r="DS570" s="27" t="s">
        <v>8</v>
      </c>
      <c r="DT570" s="27" t="s">
        <v>7</v>
      </c>
    </row>
    <row r="571" spans="1:131" x14ac:dyDescent="0.25">
      <c r="A571" s="7">
        <v>1.3727857050906125</v>
      </c>
      <c r="B571"/>
      <c r="C571"/>
      <c r="D571"/>
      <c r="E571" t="s">
        <v>8</v>
      </c>
      <c r="AL571" s="27" t="s">
        <v>7</v>
      </c>
      <c r="AM571" s="27" t="s">
        <v>8</v>
      </c>
      <c r="AN571" s="27" t="s">
        <v>7</v>
      </c>
      <c r="AO571" s="27" t="s">
        <v>8</v>
      </c>
      <c r="AP571" s="27" t="s">
        <v>7</v>
      </c>
      <c r="AQ571" s="27" t="s">
        <v>8</v>
      </c>
      <c r="BB571" s="27" t="s">
        <v>7</v>
      </c>
      <c r="BC571" s="27" t="s">
        <v>8</v>
      </c>
      <c r="BD571" s="27" t="s">
        <v>7</v>
      </c>
      <c r="BE571" s="27" t="s">
        <v>8</v>
      </c>
      <c r="BF571" s="27" t="s">
        <v>7</v>
      </c>
      <c r="BO571" s="27" t="s">
        <v>8</v>
      </c>
      <c r="BQ571" s="27" t="s">
        <v>8</v>
      </c>
      <c r="BR571" s="27" t="s">
        <v>7</v>
      </c>
      <c r="BS571" s="27" t="s">
        <v>8</v>
      </c>
      <c r="BT571" s="27" t="s">
        <v>7</v>
      </c>
      <c r="CW571" s="27" t="s">
        <v>8</v>
      </c>
      <c r="CX571" s="27" t="s">
        <v>7</v>
      </c>
      <c r="CY571" s="27" t="s">
        <v>8</v>
      </c>
      <c r="CZ571" s="27" t="s">
        <v>7</v>
      </c>
      <c r="DG571" s="27" t="s">
        <v>8</v>
      </c>
      <c r="DH571" s="27" t="s">
        <v>7</v>
      </c>
      <c r="DI571" s="27" t="s">
        <v>8</v>
      </c>
      <c r="DJ571" s="27" t="s">
        <v>7</v>
      </c>
      <c r="DS571" s="27" t="s">
        <v>8</v>
      </c>
      <c r="DT571" s="27" t="s">
        <v>7</v>
      </c>
    </row>
    <row r="572" spans="1:131" x14ac:dyDescent="0.25">
      <c r="A572" s="7">
        <v>1.3458683383241299</v>
      </c>
      <c r="B572"/>
      <c r="C572"/>
      <c r="D572"/>
      <c r="E572" t="s">
        <v>8</v>
      </c>
      <c r="AL572" s="27" t="s">
        <v>7</v>
      </c>
      <c r="AM572" s="27" t="s">
        <v>8</v>
      </c>
      <c r="AN572" s="27" t="s">
        <v>7</v>
      </c>
      <c r="AO572" s="27" t="s">
        <v>8</v>
      </c>
      <c r="AP572" s="27" t="s">
        <v>7</v>
      </c>
      <c r="AQ572" s="27" t="s">
        <v>8</v>
      </c>
      <c r="BB572" s="27" t="s">
        <v>7</v>
      </c>
      <c r="BC572" s="27" t="s">
        <v>8</v>
      </c>
      <c r="BD572" s="27" t="s">
        <v>7</v>
      </c>
      <c r="BE572" s="27" t="s">
        <v>8</v>
      </c>
      <c r="BF572" s="27" t="s">
        <v>7</v>
      </c>
      <c r="BO572" s="27" t="s">
        <v>8</v>
      </c>
      <c r="BP572" s="27" t="s">
        <v>7</v>
      </c>
      <c r="BQ572" s="27" t="s">
        <v>8</v>
      </c>
      <c r="BR572" s="27" t="s">
        <v>7</v>
      </c>
      <c r="BS572" s="27" t="s">
        <v>8</v>
      </c>
      <c r="BT572" s="27" t="s">
        <v>7</v>
      </c>
      <c r="CW572" s="27" t="s">
        <v>8</v>
      </c>
      <c r="CX572" s="27" t="s">
        <v>7</v>
      </c>
      <c r="CY572" s="27" t="s">
        <v>8</v>
      </c>
      <c r="CZ572" s="27" t="s">
        <v>7</v>
      </c>
      <c r="DG572" s="27" t="s">
        <v>8</v>
      </c>
      <c r="DH572" s="27" t="s">
        <v>7</v>
      </c>
      <c r="DI572" s="27" t="s">
        <v>8</v>
      </c>
      <c r="DJ572" s="27" t="s">
        <v>7</v>
      </c>
      <c r="DO572" s="27" t="s">
        <v>8</v>
      </c>
      <c r="DS572" s="27" t="s">
        <v>8</v>
      </c>
      <c r="DT572" s="27" t="s">
        <v>7</v>
      </c>
    </row>
    <row r="573" spans="1:131" x14ac:dyDescent="0.25">
      <c r="A573" s="7">
        <v>1.3194787630628724</v>
      </c>
      <c r="B573"/>
      <c r="C573"/>
      <c r="D573"/>
      <c r="E573" t="s">
        <v>8</v>
      </c>
      <c r="AL573" s="27" t="s">
        <v>7</v>
      </c>
      <c r="AM573" s="27" t="s">
        <v>8</v>
      </c>
      <c r="AN573" s="27" t="s">
        <v>7</v>
      </c>
      <c r="AO573" s="27" t="s">
        <v>8</v>
      </c>
      <c r="AP573" s="27" t="s">
        <v>7</v>
      </c>
      <c r="AQ573" s="27" t="s">
        <v>8</v>
      </c>
      <c r="BB573" s="27" t="s">
        <v>7</v>
      </c>
      <c r="BD573" s="27" t="s">
        <v>7</v>
      </c>
      <c r="BE573" s="27" t="s">
        <v>8</v>
      </c>
      <c r="BF573" s="27" t="s">
        <v>7</v>
      </c>
      <c r="BO573" s="27" t="s">
        <v>8</v>
      </c>
      <c r="BP573" s="27" t="s">
        <v>7</v>
      </c>
      <c r="BQ573" s="27" t="s">
        <v>8</v>
      </c>
      <c r="BR573" s="27" t="s">
        <v>7</v>
      </c>
      <c r="BS573" s="27" t="s">
        <v>8</v>
      </c>
      <c r="BT573" s="27" t="s">
        <v>7</v>
      </c>
      <c r="CW573" s="27" t="s">
        <v>8</v>
      </c>
      <c r="CX573" s="27" t="s">
        <v>7</v>
      </c>
      <c r="CY573" s="27" t="s">
        <v>8</v>
      </c>
      <c r="CZ573" s="27" t="s">
        <v>7</v>
      </c>
      <c r="DG573" s="27" t="s">
        <v>8</v>
      </c>
      <c r="DH573" s="27" t="s">
        <v>7</v>
      </c>
      <c r="DI573" s="27" t="s">
        <v>8</v>
      </c>
      <c r="DJ573" s="27" t="s">
        <v>7</v>
      </c>
      <c r="DO573" s="27" t="s">
        <v>8</v>
      </c>
      <c r="DP573" s="27" t="s">
        <v>7</v>
      </c>
      <c r="DS573" s="27" t="s">
        <v>8</v>
      </c>
      <c r="DT573" s="27" t="s">
        <v>7</v>
      </c>
    </row>
    <row r="574" spans="1:131" x14ac:dyDescent="0.25">
      <c r="A574" s="7">
        <v>1.2936066304537963</v>
      </c>
      <c r="B574"/>
      <c r="C574"/>
      <c r="D574"/>
      <c r="E574" t="s">
        <v>8</v>
      </c>
      <c r="AL574" s="27" t="s">
        <v>7</v>
      </c>
      <c r="AN574" s="27" t="s">
        <v>7</v>
      </c>
      <c r="AO574" s="27" t="s">
        <v>8</v>
      </c>
      <c r="AP574" s="27" t="s">
        <v>7</v>
      </c>
      <c r="AQ574" s="27" t="s">
        <v>8</v>
      </c>
      <c r="BD574" s="27" t="s">
        <v>7</v>
      </c>
      <c r="BE574" s="27" t="s">
        <v>8</v>
      </c>
      <c r="BF574" s="27" t="s">
        <v>7</v>
      </c>
      <c r="BO574" s="27" t="s">
        <v>8</v>
      </c>
      <c r="BP574" s="27" t="s">
        <v>7</v>
      </c>
      <c r="BQ574" s="27" t="s">
        <v>8</v>
      </c>
      <c r="BR574" s="27" t="s">
        <v>7</v>
      </c>
      <c r="BT574" s="27" t="s">
        <v>7</v>
      </c>
      <c r="CW574" s="27" t="s">
        <v>8</v>
      </c>
      <c r="CX574" s="27" t="s">
        <v>7</v>
      </c>
      <c r="CY574" s="27" t="s">
        <v>8</v>
      </c>
      <c r="CZ574" s="27" t="s">
        <v>7</v>
      </c>
      <c r="DG574" s="27" t="s">
        <v>8</v>
      </c>
      <c r="DH574" s="27" t="s">
        <v>7</v>
      </c>
      <c r="DI574" s="27" t="s">
        <v>8</v>
      </c>
      <c r="DJ574" s="27" t="s">
        <v>7</v>
      </c>
      <c r="DO574" s="27" t="s">
        <v>8</v>
      </c>
      <c r="DP574" s="27" t="s">
        <v>7</v>
      </c>
      <c r="DS574" s="27" t="s">
        <v>8</v>
      </c>
      <c r="DT574" s="27" t="s">
        <v>7</v>
      </c>
    </row>
    <row r="575" spans="1:131" x14ac:dyDescent="0.25">
      <c r="A575" s="7">
        <v>1.2682417945625455</v>
      </c>
      <c r="B575"/>
      <c r="C575"/>
      <c r="D575"/>
      <c r="E575" t="s">
        <v>8</v>
      </c>
      <c r="AN575" s="27" t="s">
        <v>7</v>
      </c>
      <c r="AO575" s="27" t="s">
        <v>8</v>
      </c>
      <c r="AP575" s="27" t="s">
        <v>7</v>
      </c>
      <c r="AQ575" s="27" t="s">
        <v>8</v>
      </c>
      <c r="BD575" s="27" t="s">
        <v>7</v>
      </c>
      <c r="BE575" s="27" t="s">
        <v>8</v>
      </c>
      <c r="BF575" s="27" t="s">
        <v>7</v>
      </c>
      <c r="BO575" s="27" t="s">
        <v>8</v>
      </c>
      <c r="BP575" s="27" t="s">
        <v>7</v>
      </c>
      <c r="BQ575" s="27" t="s">
        <v>8</v>
      </c>
      <c r="BT575" s="27" t="s">
        <v>7</v>
      </c>
      <c r="CW575" s="27" t="s">
        <v>8</v>
      </c>
      <c r="CX575" s="27" t="s">
        <v>7</v>
      </c>
      <c r="CY575" s="27" t="s">
        <v>8</v>
      </c>
      <c r="CZ575" s="27" t="s">
        <v>7</v>
      </c>
      <c r="DA575" s="27" t="s">
        <v>8</v>
      </c>
      <c r="DG575" s="27" t="s">
        <v>8</v>
      </c>
      <c r="DH575" s="27" t="s">
        <v>7</v>
      </c>
      <c r="DI575" s="27" t="s">
        <v>8</v>
      </c>
      <c r="DJ575" s="27" t="s">
        <v>7</v>
      </c>
      <c r="DK575" s="27" t="s">
        <v>8</v>
      </c>
      <c r="DO575" s="27" t="s">
        <v>8</v>
      </c>
      <c r="DP575" s="27" t="s">
        <v>7</v>
      </c>
      <c r="DS575" s="27" t="s">
        <v>8</v>
      </c>
      <c r="DT575" s="27" t="s">
        <v>7</v>
      </c>
    </row>
    <row r="576" spans="1:131" x14ac:dyDescent="0.25">
      <c r="A576" s="7">
        <v>1.2433743083946525</v>
      </c>
      <c r="B576"/>
      <c r="C576"/>
      <c r="D576"/>
      <c r="E576" t="s">
        <v>8</v>
      </c>
      <c r="AN576" s="27" t="s">
        <v>7</v>
      </c>
      <c r="AO576" s="27" t="s">
        <v>8</v>
      </c>
      <c r="AP576" s="27" t="s">
        <v>7</v>
      </c>
      <c r="AQ576" s="27" t="s">
        <v>8</v>
      </c>
      <c r="BD576" s="27" t="s">
        <v>7</v>
      </c>
      <c r="BE576" s="27" t="s">
        <v>8</v>
      </c>
      <c r="BF576" s="27" t="s">
        <v>7</v>
      </c>
      <c r="BO576" s="27" t="s">
        <v>8</v>
      </c>
      <c r="BP576" s="27" t="s">
        <v>7</v>
      </c>
      <c r="BQ576" s="27" t="s">
        <v>8</v>
      </c>
      <c r="BT576" s="27" t="s">
        <v>7</v>
      </c>
      <c r="CW576" s="27" t="s">
        <v>8</v>
      </c>
      <c r="CX576" s="27" t="s">
        <v>7</v>
      </c>
      <c r="CY576" s="27" t="s">
        <v>8</v>
      </c>
      <c r="CZ576" s="27" t="s">
        <v>7</v>
      </c>
      <c r="DA576" s="27" t="s">
        <v>8</v>
      </c>
      <c r="DB576" s="27" t="s">
        <v>7</v>
      </c>
      <c r="DG576" s="27" t="s">
        <v>8</v>
      </c>
      <c r="DH576" s="27" t="s">
        <v>7</v>
      </c>
      <c r="DI576" s="27" t="s">
        <v>8</v>
      </c>
      <c r="DJ576" s="27" t="s">
        <v>7</v>
      </c>
      <c r="DK576" s="27" t="s">
        <v>8</v>
      </c>
      <c r="DL576" s="27" t="s">
        <v>7</v>
      </c>
      <c r="DM576" s="27" t="s">
        <v>8</v>
      </c>
      <c r="DO576" s="27" t="s">
        <v>8</v>
      </c>
      <c r="DP576" s="27" t="s">
        <v>7</v>
      </c>
      <c r="DS576" s="27" t="s">
        <v>8</v>
      </c>
      <c r="DT576" s="27" t="s">
        <v>7</v>
      </c>
      <c r="EA576" s="27" t="s">
        <v>8</v>
      </c>
    </row>
    <row r="577" spans="1:153" x14ac:dyDescent="0.25">
      <c r="A577" s="7">
        <v>1.2189944199947573</v>
      </c>
      <c r="B577"/>
      <c r="C577"/>
      <c r="D577"/>
      <c r="E577" t="s">
        <v>8</v>
      </c>
      <c r="AN577" s="27" t="s">
        <v>7</v>
      </c>
      <c r="AO577" s="27" t="s">
        <v>8</v>
      </c>
      <c r="AP577" s="27" t="s">
        <v>7</v>
      </c>
      <c r="AQ577" s="27" t="s">
        <v>8</v>
      </c>
      <c r="BD577" s="27" t="s">
        <v>7</v>
      </c>
      <c r="BF577" s="27" t="s">
        <v>7</v>
      </c>
      <c r="BO577" s="27" t="s">
        <v>8</v>
      </c>
      <c r="BP577" s="27" t="s">
        <v>7</v>
      </c>
      <c r="BQ577" s="27" t="s">
        <v>8</v>
      </c>
      <c r="BT577" s="27" t="s">
        <v>7</v>
      </c>
      <c r="BU577" s="27" t="s">
        <v>8</v>
      </c>
      <c r="CW577" s="27" t="s">
        <v>8</v>
      </c>
      <c r="CX577" s="27" t="s">
        <v>7</v>
      </c>
      <c r="CY577" s="27" t="s">
        <v>8</v>
      </c>
      <c r="CZ577" s="27" t="s">
        <v>7</v>
      </c>
      <c r="DA577" s="27" t="s">
        <v>8</v>
      </c>
      <c r="DB577" s="27" t="s">
        <v>7</v>
      </c>
      <c r="DG577" s="27" t="s">
        <v>8</v>
      </c>
      <c r="DH577" s="27" t="s">
        <v>7</v>
      </c>
      <c r="DI577" s="27" t="s">
        <v>8</v>
      </c>
      <c r="DJ577" s="27" t="s">
        <v>7</v>
      </c>
      <c r="DK577" s="27" t="s">
        <v>8</v>
      </c>
      <c r="DL577" s="27" t="s">
        <v>7</v>
      </c>
      <c r="DM577" s="27" t="s">
        <v>8</v>
      </c>
      <c r="DN577" s="27" t="s">
        <v>7</v>
      </c>
      <c r="DO577" s="27" t="s">
        <v>8</v>
      </c>
      <c r="DP577" s="27" t="s">
        <v>7</v>
      </c>
      <c r="DS577" s="27" t="s">
        <v>8</v>
      </c>
      <c r="DT577" s="27" t="s">
        <v>7</v>
      </c>
      <c r="EA577" s="27" t="s">
        <v>8</v>
      </c>
      <c r="EB577" s="27" t="s">
        <v>7</v>
      </c>
      <c r="EE577" s="27" t="s">
        <v>8</v>
      </c>
    </row>
    <row r="578" spans="1:153" x14ac:dyDescent="0.25">
      <c r="A578" s="7">
        <v>1.1950925686223111</v>
      </c>
      <c r="B578"/>
      <c r="C578"/>
      <c r="D578"/>
      <c r="E578" t="s">
        <v>8</v>
      </c>
      <c r="AN578" s="27" t="s">
        <v>7</v>
      </c>
      <c r="AO578" s="27" t="s">
        <v>8</v>
      </c>
      <c r="AP578" s="27" t="s">
        <v>7</v>
      </c>
      <c r="BF578" s="27" t="s">
        <v>7</v>
      </c>
      <c r="BO578" s="27" t="s">
        <v>8</v>
      </c>
      <c r="BP578" s="27" t="s">
        <v>7</v>
      </c>
      <c r="BQ578" s="27" t="s">
        <v>8</v>
      </c>
      <c r="BT578" s="27" t="s">
        <v>7</v>
      </c>
      <c r="BU578" s="27" t="s">
        <v>8</v>
      </c>
      <c r="BV578" s="27" t="s">
        <v>7</v>
      </c>
      <c r="CW578" s="27" t="s">
        <v>8</v>
      </c>
      <c r="CX578" s="27" t="s">
        <v>7</v>
      </c>
      <c r="CY578" s="27" t="s">
        <v>8</v>
      </c>
      <c r="CZ578" s="27" t="s">
        <v>7</v>
      </c>
      <c r="DA578" s="27" t="s">
        <v>8</v>
      </c>
      <c r="DB578" s="27" t="s">
        <v>7</v>
      </c>
      <c r="DG578" s="27" t="s">
        <v>8</v>
      </c>
      <c r="DH578" s="27" t="s">
        <v>7</v>
      </c>
      <c r="DI578" s="27" t="s">
        <v>8</v>
      </c>
      <c r="DJ578" s="27" t="s">
        <v>7</v>
      </c>
      <c r="DK578" s="27" t="s">
        <v>8</v>
      </c>
      <c r="DL578" s="27" t="s">
        <v>7</v>
      </c>
      <c r="DM578" s="27" t="s">
        <v>8</v>
      </c>
      <c r="DN578" s="27" t="s">
        <v>7</v>
      </c>
      <c r="DO578" s="27" t="s">
        <v>8</v>
      </c>
      <c r="DP578" s="27" t="s">
        <v>7</v>
      </c>
      <c r="DS578" s="27" t="s">
        <v>8</v>
      </c>
      <c r="DT578" s="27" t="s">
        <v>7</v>
      </c>
      <c r="EA578" s="27" t="s">
        <v>8</v>
      </c>
      <c r="EB578" s="27" t="s">
        <v>7</v>
      </c>
      <c r="EC578" s="27" t="s">
        <v>8</v>
      </c>
      <c r="EE578" s="27" t="s">
        <v>8</v>
      </c>
      <c r="EF578" s="27" t="s">
        <v>7</v>
      </c>
    </row>
    <row r="579" spans="1:153" x14ac:dyDescent="0.25">
      <c r="A579" s="7">
        <v>1.1716593810022657</v>
      </c>
      <c r="B579"/>
      <c r="C579"/>
      <c r="D579"/>
      <c r="E579" t="s">
        <v>8</v>
      </c>
      <c r="AN579" s="27" t="s">
        <v>7</v>
      </c>
      <c r="AO579" s="27" t="s">
        <v>8</v>
      </c>
      <c r="BF579" s="27" t="s">
        <v>7</v>
      </c>
      <c r="BK579" s="27" t="s">
        <v>8</v>
      </c>
      <c r="BM579" s="27" t="s">
        <v>8</v>
      </c>
      <c r="BO579" s="27" t="s">
        <v>8</v>
      </c>
      <c r="BP579" s="27" t="s">
        <v>7</v>
      </c>
      <c r="BT579" s="27" t="s">
        <v>7</v>
      </c>
      <c r="BU579" s="27" t="s">
        <v>8</v>
      </c>
      <c r="BV579" s="27" t="s">
        <v>7</v>
      </c>
      <c r="BW579" s="27" t="s">
        <v>8</v>
      </c>
      <c r="CW579" s="27" t="s">
        <v>8</v>
      </c>
      <c r="CX579" s="27" t="s">
        <v>7</v>
      </c>
      <c r="CY579" s="27" t="s">
        <v>8</v>
      </c>
      <c r="CZ579" s="27" t="s">
        <v>7</v>
      </c>
      <c r="DA579" s="27" t="s">
        <v>8</v>
      </c>
      <c r="DB579" s="27" t="s">
        <v>7</v>
      </c>
      <c r="DG579" s="27" t="s">
        <v>8</v>
      </c>
      <c r="DH579" s="27" t="s">
        <v>7</v>
      </c>
      <c r="DJ579" s="27" t="s">
        <v>7</v>
      </c>
      <c r="DK579" s="27" t="s">
        <v>8</v>
      </c>
      <c r="DL579" s="27" t="s">
        <v>7</v>
      </c>
      <c r="DM579" s="27" t="s">
        <v>8</v>
      </c>
      <c r="DN579" s="27" t="s">
        <v>7</v>
      </c>
      <c r="DO579" s="27" t="s">
        <v>8</v>
      </c>
      <c r="DP579" s="27" t="s">
        <v>7</v>
      </c>
      <c r="DS579" s="27" t="s">
        <v>8</v>
      </c>
      <c r="DT579" s="27" t="s">
        <v>7</v>
      </c>
      <c r="DW579" s="27" t="s">
        <v>8</v>
      </c>
      <c r="EA579" s="27" t="s">
        <v>8</v>
      </c>
      <c r="EB579" s="27" t="s">
        <v>7</v>
      </c>
      <c r="EC579" s="27" t="s">
        <v>8</v>
      </c>
      <c r="ED579" s="27" t="s">
        <v>7</v>
      </c>
      <c r="EE579" s="27" t="s">
        <v>8</v>
      </c>
      <c r="EF579" s="27" t="s">
        <v>7</v>
      </c>
    </row>
    <row r="580" spans="1:153" x14ac:dyDescent="0.25">
      <c r="A580" s="7">
        <v>1.14868566764928</v>
      </c>
      <c r="B580"/>
      <c r="C580"/>
      <c r="D580"/>
      <c r="E580" t="s">
        <v>8</v>
      </c>
      <c r="AN580" s="27" t="s">
        <v>7</v>
      </c>
      <c r="AO580" s="27" t="s">
        <v>8</v>
      </c>
      <c r="BF580" s="27" t="s">
        <v>7</v>
      </c>
      <c r="BK580" s="27" t="s">
        <v>8</v>
      </c>
      <c r="BL580" s="27" t="s">
        <v>7</v>
      </c>
      <c r="BM580" s="27" t="s">
        <v>8</v>
      </c>
      <c r="BN580" s="27" t="s">
        <v>7</v>
      </c>
      <c r="BO580" s="27" t="s">
        <v>8</v>
      </c>
      <c r="BT580" s="27" t="s">
        <v>7</v>
      </c>
      <c r="BU580" s="27" t="s">
        <v>8</v>
      </c>
      <c r="BV580" s="27" t="s">
        <v>7</v>
      </c>
      <c r="BW580" s="27" t="s">
        <v>8</v>
      </c>
      <c r="BX580" s="27" t="s">
        <v>7</v>
      </c>
      <c r="CW580" s="27" t="s">
        <v>8</v>
      </c>
      <c r="CX580" s="27" t="s">
        <v>7</v>
      </c>
      <c r="CY580" s="27" t="s">
        <v>8</v>
      </c>
      <c r="CZ580" s="27" t="s">
        <v>7</v>
      </c>
      <c r="DA580" s="27" t="s">
        <v>8</v>
      </c>
      <c r="DB580" s="27" t="s">
        <v>7</v>
      </c>
      <c r="DG580" s="27" t="s">
        <v>8</v>
      </c>
      <c r="DJ580" s="27" t="s">
        <v>7</v>
      </c>
      <c r="DK580" s="27" t="s">
        <v>8</v>
      </c>
      <c r="DL580" s="27" t="s">
        <v>7</v>
      </c>
      <c r="DM580" s="27" t="s">
        <v>8</v>
      </c>
      <c r="DN580" s="27" t="s">
        <v>7</v>
      </c>
      <c r="DO580" s="27" t="s">
        <v>8</v>
      </c>
      <c r="DP580" s="27" t="s">
        <v>7</v>
      </c>
      <c r="DS580" s="27" t="s">
        <v>8</v>
      </c>
      <c r="DT580" s="27" t="s">
        <v>7</v>
      </c>
      <c r="DW580" s="27" t="s">
        <v>8</v>
      </c>
      <c r="DX580" s="27" t="s">
        <v>7</v>
      </c>
      <c r="EA580" s="27" t="s">
        <v>8</v>
      </c>
      <c r="EB580" s="27" t="s">
        <v>7</v>
      </c>
      <c r="EC580" s="27" t="s">
        <v>8</v>
      </c>
      <c r="ED580" s="27" t="s">
        <v>7</v>
      </c>
      <c r="EE580" s="27" t="s">
        <v>8</v>
      </c>
      <c r="EF580" s="27" t="s">
        <v>7</v>
      </c>
    </row>
    <row r="581" spans="1:153" x14ac:dyDescent="0.25">
      <c r="A581" s="7">
        <v>1.1261624192640001</v>
      </c>
      <c r="B581"/>
      <c r="C581"/>
      <c r="D581"/>
      <c r="E581" t="s">
        <v>8</v>
      </c>
      <c r="AN581" s="27" t="s">
        <v>7</v>
      </c>
      <c r="AO581" s="27" t="s">
        <v>8</v>
      </c>
      <c r="BF581" s="27" t="s">
        <v>7</v>
      </c>
      <c r="BK581" s="27" t="s">
        <v>8</v>
      </c>
      <c r="BL581" s="27" t="s">
        <v>7</v>
      </c>
      <c r="BM581" s="27" t="s">
        <v>8</v>
      </c>
      <c r="BN581" s="27" t="s">
        <v>7</v>
      </c>
      <c r="BO581" s="27" t="s">
        <v>8</v>
      </c>
      <c r="BT581" s="27" t="s">
        <v>7</v>
      </c>
      <c r="BU581" s="27" t="s">
        <v>8</v>
      </c>
      <c r="BV581" s="27" t="s">
        <v>7</v>
      </c>
      <c r="BW581" s="27" t="s">
        <v>8</v>
      </c>
      <c r="BX581" s="27" t="s">
        <v>7</v>
      </c>
      <c r="CW581" s="27" t="s">
        <v>8</v>
      </c>
      <c r="CX581" s="27" t="s">
        <v>7</v>
      </c>
      <c r="CZ581" s="27" t="s">
        <v>7</v>
      </c>
      <c r="DA581" s="27" t="s">
        <v>8</v>
      </c>
      <c r="DB581" s="27" t="s">
        <v>7</v>
      </c>
      <c r="DC581" s="27" t="s">
        <v>8</v>
      </c>
      <c r="DE581" s="27" t="s">
        <v>8</v>
      </c>
      <c r="DG581" s="27" t="s">
        <v>8</v>
      </c>
      <c r="DJ581" s="27" t="s">
        <v>7</v>
      </c>
      <c r="DK581" s="27" t="s">
        <v>8</v>
      </c>
      <c r="DL581" s="27" t="s">
        <v>7</v>
      </c>
      <c r="DM581" s="27" t="s">
        <v>8</v>
      </c>
      <c r="DN581" s="27" t="s">
        <v>7</v>
      </c>
      <c r="DO581" s="27" t="s">
        <v>8</v>
      </c>
      <c r="DP581" s="27" t="s">
        <v>7</v>
      </c>
      <c r="DS581" s="27" t="s">
        <v>8</v>
      </c>
      <c r="DT581" s="27" t="s">
        <v>7</v>
      </c>
      <c r="DW581" s="27" t="s">
        <v>8</v>
      </c>
      <c r="DX581" s="27" t="s">
        <v>7</v>
      </c>
      <c r="EA581" s="27" t="s">
        <v>8</v>
      </c>
      <c r="EB581" s="27" t="s">
        <v>7</v>
      </c>
      <c r="EC581" s="27" t="s">
        <v>8</v>
      </c>
      <c r="ED581" s="27" t="s">
        <v>7</v>
      </c>
      <c r="EE581" s="27" t="s">
        <v>8</v>
      </c>
      <c r="EF581" s="27" t="s">
        <v>7</v>
      </c>
      <c r="EQ581" s="27" t="s">
        <v>8</v>
      </c>
    </row>
    <row r="582" spans="1:153" x14ac:dyDescent="0.25">
      <c r="A582" s="7">
        <v>1.1040808032</v>
      </c>
      <c r="B582"/>
      <c r="C582"/>
      <c r="D582"/>
      <c r="E582" t="s">
        <v>8</v>
      </c>
      <c r="AN582" s="27" t="s">
        <v>7</v>
      </c>
      <c r="AO582" s="27" t="s">
        <v>8</v>
      </c>
      <c r="BF582" s="27" t="s">
        <v>7</v>
      </c>
      <c r="BK582" s="27" t="s">
        <v>8</v>
      </c>
      <c r="BL582" s="27" t="s">
        <v>7</v>
      </c>
      <c r="BM582" s="27" t="s">
        <v>8</v>
      </c>
      <c r="BN582" s="27" t="s">
        <v>7</v>
      </c>
      <c r="BO582" s="27" t="s">
        <v>8</v>
      </c>
      <c r="BT582" s="27" t="s">
        <v>7</v>
      </c>
      <c r="BU582" s="27" t="s">
        <v>8</v>
      </c>
      <c r="BV582" s="27" t="s">
        <v>7</v>
      </c>
      <c r="BW582" s="27" t="s">
        <v>8</v>
      </c>
      <c r="BX582" s="27" t="s">
        <v>7</v>
      </c>
      <c r="CW582" s="27" t="s">
        <v>8</v>
      </c>
      <c r="CZ582" s="27" t="s">
        <v>7</v>
      </c>
      <c r="DB582" s="27" t="s">
        <v>7</v>
      </c>
      <c r="DC582" s="27" t="s">
        <v>8</v>
      </c>
      <c r="DD582" s="27" t="s">
        <v>7</v>
      </c>
      <c r="DE582" s="27" t="s">
        <v>8</v>
      </c>
      <c r="DF582" s="27" t="s">
        <v>7</v>
      </c>
      <c r="DG582" s="27" t="s">
        <v>8</v>
      </c>
      <c r="DJ582" s="27" t="s">
        <v>7</v>
      </c>
      <c r="DK582" s="27" t="s">
        <v>8</v>
      </c>
      <c r="DL582" s="27" t="s">
        <v>7</v>
      </c>
      <c r="DM582" s="27" t="s">
        <v>8</v>
      </c>
      <c r="DN582" s="27" t="s">
        <v>7</v>
      </c>
      <c r="DP582" s="27" t="s">
        <v>7</v>
      </c>
      <c r="DS582" s="27" t="s">
        <v>8</v>
      </c>
      <c r="DT582" s="27" t="s">
        <v>7</v>
      </c>
      <c r="DU582" s="27" t="s">
        <v>8</v>
      </c>
      <c r="DW582" s="27" t="s">
        <v>8</v>
      </c>
      <c r="DX582" s="27" t="s">
        <v>7</v>
      </c>
      <c r="EA582" s="27" t="s">
        <v>8</v>
      </c>
      <c r="EB582" s="27" t="s">
        <v>7</v>
      </c>
      <c r="EC582" s="27" t="s">
        <v>8</v>
      </c>
      <c r="ED582" s="27" t="s">
        <v>7</v>
      </c>
      <c r="EE582" s="27" t="s">
        <v>8</v>
      </c>
      <c r="EF582" s="27" t="s">
        <v>7</v>
      </c>
      <c r="EG582" s="27" t="s">
        <v>8</v>
      </c>
      <c r="EQ582" s="27" t="s">
        <v>8</v>
      </c>
      <c r="ER582" s="27" t="s">
        <v>7</v>
      </c>
    </row>
    <row r="583" spans="1:153" x14ac:dyDescent="0.25">
      <c r="A583" s="7">
        <v>1.08243216</v>
      </c>
      <c r="B583"/>
      <c r="C583"/>
      <c r="D583"/>
      <c r="E583" t="s">
        <v>8</v>
      </c>
      <c r="AN583" s="27" t="s">
        <v>7</v>
      </c>
      <c r="AO583" s="27" t="s">
        <v>8</v>
      </c>
      <c r="BF583" s="27" t="s">
        <v>7</v>
      </c>
      <c r="BG583" s="27" t="s">
        <v>8</v>
      </c>
      <c r="BK583" s="27" t="s">
        <v>8</v>
      </c>
      <c r="BL583" s="27" t="s">
        <v>7</v>
      </c>
      <c r="BM583" s="27" t="s">
        <v>8</v>
      </c>
      <c r="BN583" s="27" t="s">
        <v>7</v>
      </c>
      <c r="BO583" s="27" t="s">
        <v>8</v>
      </c>
      <c r="BT583" s="27" t="s">
        <v>7</v>
      </c>
      <c r="BU583" s="27" t="s">
        <v>8</v>
      </c>
      <c r="BV583" s="27" t="s">
        <v>7</v>
      </c>
      <c r="BW583" s="27" t="s">
        <v>8</v>
      </c>
      <c r="BX583" s="27" t="s">
        <v>7</v>
      </c>
      <c r="CW583" s="27" t="s">
        <v>8</v>
      </c>
      <c r="DB583" s="27" t="s">
        <v>7</v>
      </c>
      <c r="DC583" s="27" t="s">
        <v>8</v>
      </c>
      <c r="DD583" s="27" t="s">
        <v>7</v>
      </c>
      <c r="DE583" s="27" t="s">
        <v>8</v>
      </c>
      <c r="DF583" s="27" t="s">
        <v>7</v>
      </c>
      <c r="DG583" s="27" t="s">
        <v>8</v>
      </c>
      <c r="DJ583" s="27" t="s">
        <v>7</v>
      </c>
      <c r="DL583" s="27" t="s">
        <v>7</v>
      </c>
      <c r="DP583" s="27" t="s">
        <v>7</v>
      </c>
      <c r="DS583" s="27" t="s">
        <v>8</v>
      </c>
      <c r="DT583" s="27" t="s">
        <v>7</v>
      </c>
      <c r="DU583" s="27" t="s">
        <v>8</v>
      </c>
      <c r="DV583" s="27" t="s">
        <v>7</v>
      </c>
      <c r="DW583" s="27" t="s">
        <v>8</v>
      </c>
      <c r="DX583" s="27" t="s">
        <v>7</v>
      </c>
      <c r="DY583" s="27" t="s">
        <v>8</v>
      </c>
      <c r="EA583" s="27" t="s">
        <v>8</v>
      </c>
      <c r="EB583" s="27" t="s">
        <v>7</v>
      </c>
      <c r="EC583" s="27" t="s">
        <v>8</v>
      </c>
      <c r="ED583" s="27" t="s">
        <v>7</v>
      </c>
      <c r="EE583" s="27" t="s">
        <v>8</v>
      </c>
      <c r="EF583" s="27" t="s">
        <v>7</v>
      </c>
      <c r="EG583" s="27" t="s">
        <v>8</v>
      </c>
      <c r="EH583" s="27" t="s">
        <v>7</v>
      </c>
      <c r="EI583" s="27" t="s">
        <v>8</v>
      </c>
      <c r="EQ583" s="27" t="s">
        <v>8</v>
      </c>
      <c r="ER583" s="27" t="s">
        <v>7</v>
      </c>
    </row>
    <row r="584" spans="1:153" x14ac:dyDescent="0.25">
      <c r="A584" s="7">
        <v>1.0612079999999999</v>
      </c>
      <c r="B584"/>
      <c r="C584"/>
      <c r="D584"/>
      <c r="E584" t="s">
        <v>8</v>
      </c>
      <c r="AN584" s="27" t="s">
        <v>7</v>
      </c>
      <c r="AO584" s="27" t="s">
        <v>8</v>
      </c>
      <c r="BF584" s="27" t="s">
        <v>7</v>
      </c>
      <c r="BG584" s="27" t="s">
        <v>8</v>
      </c>
      <c r="BH584" s="27" t="s">
        <v>7</v>
      </c>
      <c r="BK584" s="27" t="s">
        <v>8</v>
      </c>
      <c r="BL584" s="27" t="s">
        <v>7</v>
      </c>
      <c r="BM584" s="27" t="s">
        <v>8</v>
      </c>
      <c r="BN584" s="27" t="s">
        <v>7</v>
      </c>
      <c r="BO584" s="27" t="s">
        <v>8</v>
      </c>
      <c r="BT584" s="27" t="s">
        <v>7</v>
      </c>
      <c r="BU584" s="27" t="s">
        <v>8</v>
      </c>
      <c r="BV584" s="27" t="s">
        <v>7</v>
      </c>
      <c r="BW584" s="27" t="s">
        <v>8</v>
      </c>
      <c r="BX584" s="27" t="s">
        <v>7</v>
      </c>
      <c r="CW584" s="27" t="s">
        <v>8</v>
      </c>
      <c r="DB584" s="27" t="s">
        <v>7</v>
      </c>
      <c r="DD584" s="27" t="s">
        <v>7</v>
      </c>
      <c r="DE584" s="27" t="s">
        <v>8</v>
      </c>
      <c r="DF584" s="27" t="s">
        <v>7</v>
      </c>
      <c r="DG584" s="27" t="s">
        <v>8</v>
      </c>
      <c r="DP584" s="27" t="s">
        <v>7</v>
      </c>
      <c r="DS584" s="27" t="s">
        <v>8</v>
      </c>
      <c r="DT584" s="27" t="s">
        <v>7</v>
      </c>
      <c r="DU584" s="27" t="s">
        <v>8</v>
      </c>
      <c r="DV584" s="27" t="s">
        <v>7</v>
      </c>
      <c r="DW584" s="27" t="s">
        <v>8</v>
      </c>
      <c r="DX584" s="27" t="s">
        <v>7</v>
      </c>
      <c r="DY584" s="27" t="s">
        <v>8</v>
      </c>
      <c r="DZ584" s="27" t="s">
        <v>7</v>
      </c>
      <c r="EA584" s="27" t="s">
        <v>8</v>
      </c>
      <c r="EB584" s="27" t="s">
        <v>7</v>
      </c>
      <c r="EC584" s="27" t="s">
        <v>8</v>
      </c>
      <c r="ED584" s="27" t="s">
        <v>7</v>
      </c>
      <c r="EE584" s="27" t="s">
        <v>8</v>
      </c>
      <c r="EF584" s="27" t="s">
        <v>7</v>
      </c>
      <c r="EG584" s="27" t="s">
        <v>8</v>
      </c>
      <c r="EH584" s="27" t="s">
        <v>7</v>
      </c>
      <c r="EI584" s="27" t="s">
        <v>8</v>
      </c>
      <c r="EJ584" s="27" t="s">
        <v>7</v>
      </c>
      <c r="EM584" s="27" t="s">
        <v>8</v>
      </c>
      <c r="EQ584" s="27" t="s">
        <v>8</v>
      </c>
      <c r="ER584" s="27" t="s">
        <v>7</v>
      </c>
      <c r="ES584" s="27" t="s">
        <v>8</v>
      </c>
    </row>
    <row r="585" spans="1:153" x14ac:dyDescent="0.25">
      <c r="A585" s="7">
        <v>1.0404</v>
      </c>
      <c r="B585"/>
      <c r="C585"/>
      <c r="D585"/>
      <c r="E585" t="s">
        <v>8</v>
      </c>
      <c r="AN585" s="27" t="s">
        <v>7</v>
      </c>
      <c r="AO585" s="27" t="s">
        <v>8</v>
      </c>
      <c r="BF585" s="27" t="s">
        <v>7</v>
      </c>
      <c r="BG585" s="27" t="s">
        <v>8</v>
      </c>
      <c r="BH585" s="27" t="s">
        <v>7</v>
      </c>
      <c r="BK585" s="27" t="s">
        <v>8</v>
      </c>
      <c r="BL585" s="27" t="s">
        <v>7</v>
      </c>
      <c r="BM585" s="27" t="s">
        <v>8</v>
      </c>
      <c r="BN585" s="27" t="s">
        <v>7</v>
      </c>
      <c r="BO585" s="27" t="s">
        <v>8</v>
      </c>
      <c r="BT585" s="27" t="s">
        <v>7</v>
      </c>
      <c r="BU585" s="27" t="s">
        <v>8</v>
      </c>
      <c r="BV585" s="27" t="s">
        <v>7</v>
      </c>
      <c r="BW585" s="27" t="s">
        <v>8</v>
      </c>
      <c r="BX585" s="27" t="s">
        <v>7</v>
      </c>
      <c r="CW585" s="27" t="s">
        <v>8</v>
      </c>
      <c r="DD585" s="27" t="s">
        <v>7</v>
      </c>
      <c r="DF585" s="27" t="s">
        <v>7</v>
      </c>
      <c r="DP585" s="27" t="s">
        <v>7</v>
      </c>
      <c r="DS585" s="27" t="s">
        <v>8</v>
      </c>
      <c r="DT585" s="27" t="s">
        <v>7</v>
      </c>
      <c r="DU585" s="27" t="s">
        <v>8</v>
      </c>
      <c r="DV585" s="27" t="s">
        <v>7</v>
      </c>
      <c r="DW585" s="27" t="s">
        <v>8</v>
      </c>
      <c r="DX585" s="27" t="s">
        <v>7</v>
      </c>
      <c r="DY585" s="27" t="s">
        <v>8</v>
      </c>
      <c r="DZ585" s="27" t="s">
        <v>7</v>
      </c>
      <c r="EA585" s="27" t="s">
        <v>8</v>
      </c>
      <c r="EB585" s="27" t="s">
        <v>7</v>
      </c>
      <c r="EC585" s="27" t="s">
        <v>8</v>
      </c>
      <c r="ED585" s="27" t="s">
        <v>7</v>
      </c>
      <c r="EE585" s="27" t="s">
        <v>8</v>
      </c>
      <c r="EF585" s="27" t="s">
        <v>7</v>
      </c>
      <c r="EG585" s="27" t="s">
        <v>8</v>
      </c>
      <c r="EH585" s="27" t="s">
        <v>7</v>
      </c>
      <c r="EI585" s="27" t="s">
        <v>8</v>
      </c>
      <c r="EJ585" s="27" t="s">
        <v>7</v>
      </c>
      <c r="EK585" s="27" t="s">
        <v>8</v>
      </c>
      <c r="EM585" s="27" t="s">
        <v>8</v>
      </c>
      <c r="EN585" s="27" t="s">
        <v>7</v>
      </c>
      <c r="EQ585" s="27" t="s">
        <v>8</v>
      </c>
      <c r="ER585" s="27" t="s">
        <v>7</v>
      </c>
      <c r="ES585" s="27" t="s">
        <v>8</v>
      </c>
      <c r="ET585" s="27" t="s">
        <v>7</v>
      </c>
    </row>
    <row r="586" spans="1:153" x14ac:dyDescent="0.25">
      <c r="A586" s="7">
        <v>1.02</v>
      </c>
      <c r="B586"/>
      <c r="C586"/>
      <c r="D586"/>
      <c r="E586" t="s">
        <v>8</v>
      </c>
      <c r="AN586" s="27" t="s">
        <v>7</v>
      </c>
      <c r="BF586" s="27" t="s">
        <v>7</v>
      </c>
      <c r="BG586" s="27" t="s">
        <v>8</v>
      </c>
      <c r="BH586" s="27" t="s">
        <v>7</v>
      </c>
      <c r="BK586" s="27" t="s">
        <v>8</v>
      </c>
      <c r="BL586" s="27" t="s">
        <v>7</v>
      </c>
      <c r="BM586" s="27" t="s">
        <v>8</v>
      </c>
      <c r="BN586" s="27" t="s">
        <v>7</v>
      </c>
      <c r="BO586" s="27" t="s">
        <v>8</v>
      </c>
      <c r="BT586" s="27" t="s">
        <v>7</v>
      </c>
      <c r="BU586" s="27" t="s">
        <v>8</v>
      </c>
      <c r="BV586" s="27" t="s">
        <v>7</v>
      </c>
      <c r="BW586" s="27" t="s">
        <v>8</v>
      </c>
      <c r="BX586" s="27" t="s">
        <v>7</v>
      </c>
      <c r="CW586" s="27" t="s">
        <v>8</v>
      </c>
      <c r="DP586" s="27" t="s">
        <v>7</v>
      </c>
      <c r="DQ586" s="27" t="s">
        <v>8</v>
      </c>
      <c r="DS586" s="27" t="s">
        <v>8</v>
      </c>
      <c r="DT586" s="27" t="s">
        <v>7</v>
      </c>
      <c r="DU586" s="27" t="s">
        <v>8</v>
      </c>
      <c r="DV586" s="27" t="s">
        <v>7</v>
      </c>
      <c r="DW586" s="27" t="s">
        <v>8</v>
      </c>
      <c r="DX586" s="27" t="s">
        <v>7</v>
      </c>
      <c r="DY586" s="27" t="s">
        <v>8</v>
      </c>
      <c r="DZ586" s="27" t="s">
        <v>7</v>
      </c>
      <c r="EB586" s="27" t="s">
        <v>7</v>
      </c>
      <c r="ED586" s="27" t="s">
        <v>7</v>
      </c>
      <c r="EF586" s="27" t="s">
        <v>7</v>
      </c>
      <c r="EH586" s="27" t="s">
        <v>7</v>
      </c>
      <c r="EJ586" s="27" t="s">
        <v>7</v>
      </c>
      <c r="EK586" s="27" t="s">
        <v>8</v>
      </c>
      <c r="EL586" s="27" t="s">
        <v>7</v>
      </c>
      <c r="EM586" s="27" t="s">
        <v>8</v>
      </c>
      <c r="EN586" s="27" t="s">
        <v>7</v>
      </c>
      <c r="EQ586" s="27" t="s">
        <v>8</v>
      </c>
      <c r="ER586" s="27" t="s">
        <v>7</v>
      </c>
      <c r="ES586" s="27" t="s">
        <v>8</v>
      </c>
      <c r="ET586" s="27" t="s">
        <v>7</v>
      </c>
    </row>
    <row r="587" spans="1:153" x14ac:dyDescent="0.25">
      <c r="A587" s="7">
        <v>1</v>
      </c>
      <c r="B587"/>
      <c r="C587"/>
      <c r="D587"/>
      <c r="E587" s="29" t="s">
        <v>8</v>
      </c>
      <c r="BF587" s="27" t="s">
        <v>7</v>
      </c>
      <c r="BG587" s="27" t="s">
        <v>8</v>
      </c>
      <c r="BH587" s="27" t="s">
        <v>7</v>
      </c>
      <c r="BK587" s="27" t="s">
        <v>8</v>
      </c>
      <c r="BL587" s="27" t="s">
        <v>7</v>
      </c>
      <c r="BM587" s="27" t="s">
        <v>8</v>
      </c>
      <c r="BN587" s="27" t="s">
        <v>7</v>
      </c>
      <c r="BO587" s="27" t="s">
        <v>8</v>
      </c>
      <c r="BT587" s="27" t="s">
        <v>7</v>
      </c>
      <c r="BU587" s="27" t="s">
        <v>8</v>
      </c>
      <c r="BV587" s="27" t="s">
        <v>7</v>
      </c>
      <c r="BW587" s="27" t="s">
        <v>8</v>
      </c>
      <c r="BX587" s="27" t="s">
        <v>7</v>
      </c>
      <c r="CW587" s="27" t="s">
        <v>8</v>
      </c>
      <c r="DP587" s="27" t="s">
        <v>7</v>
      </c>
      <c r="DQ587" s="27" t="s">
        <v>8</v>
      </c>
      <c r="DR587" s="27" t="s">
        <v>7</v>
      </c>
      <c r="DS587" s="27" t="s">
        <v>8</v>
      </c>
      <c r="DT587" s="27" t="s">
        <v>7</v>
      </c>
      <c r="DU587" s="27" t="s">
        <v>8</v>
      </c>
      <c r="DV587" s="27" t="s">
        <v>7</v>
      </c>
      <c r="DX587" s="27" t="s">
        <v>7</v>
      </c>
      <c r="EJ587" s="27" t="s">
        <v>7</v>
      </c>
      <c r="EK587" s="27" t="s">
        <v>8</v>
      </c>
      <c r="EL587" s="27" t="s">
        <v>7</v>
      </c>
      <c r="EM587" s="27" t="s">
        <v>8</v>
      </c>
      <c r="EN587" s="27" t="s">
        <v>7</v>
      </c>
      <c r="EQ587" s="27" t="s">
        <v>8</v>
      </c>
      <c r="ER587" s="27" t="s">
        <v>7</v>
      </c>
      <c r="ES587" s="27" t="s">
        <v>8</v>
      </c>
      <c r="ET587" s="27" t="s">
        <v>7</v>
      </c>
    </row>
    <row r="588" spans="1:153" x14ac:dyDescent="0.25">
      <c r="A588" s="7">
        <v>0.98039215686274506</v>
      </c>
      <c r="B588"/>
      <c r="C588"/>
      <c r="D588"/>
      <c r="E588"/>
      <c r="BF588" s="27" t="s">
        <v>7</v>
      </c>
      <c r="BG588" s="27" t="s">
        <v>8</v>
      </c>
      <c r="BH588" s="27" t="s">
        <v>7</v>
      </c>
      <c r="BK588" s="27" t="s">
        <v>8</v>
      </c>
      <c r="BL588" s="27" t="s">
        <v>7</v>
      </c>
      <c r="BM588" s="27" t="s">
        <v>8</v>
      </c>
      <c r="BN588" s="27" t="s">
        <v>7</v>
      </c>
      <c r="BO588" s="27" t="s">
        <v>8</v>
      </c>
      <c r="BT588" s="27" t="s">
        <v>7</v>
      </c>
      <c r="BU588" s="27" t="s">
        <v>8</v>
      </c>
      <c r="BV588" s="27" t="s">
        <v>7</v>
      </c>
      <c r="BW588" s="27" t="s">
        <v>8</v>
      </c>
      <c r="BX588" s="27" t="s">
        <v>7</v>
      </c>
      <c r="CU588" s="27" t="s">
        <v>8</v>
      </c>
      <c r="CW588" s="27" t="s">
        <v>8</v>
      </c>
      <c r="DP588" s="27" t="s">
        <v>7</v>
      </c>
      <c r="DQ588" s="27" t="s">
        <v>8</v>
      </c>
      <c r="DR588" s="27" t="s">
        <v>7</v>
      </c>
      <c r="DS588" s="27" t="s">
        <v>8</v>
      </c>
      <c r="DT588" s="27" t="s">
        <v>7</v>
      </c>
      <c r="DU588" s="27" t="s">
        <v>8</v>
      </c>
      <c r="EJ588" s="27" t="s">
        <v>7</v>
      </c>
      <c r="EK588" s="27" t="s">
        <v>8</v>
      </c>
      <c r="EL588" s="27" t="s">
        <v>7</v>
      </c>
      <c r="EM588" s="27" t="s">
        <v>8</v>
      </c>
      <c r="EN588" s="27" t="s">
        <v>7</v>
      </c>
      <c r="EQ588" s="27" t="s">
        <v>8</v>
      </c>
      <c r="ER588" s="27" t="s">
        <v>7</v>
      </c>
      <c r="ES588" s="27" t="s">
        <v>8</v>
      </c>
      <c r="ET588" s="27" t="s">
        <v>7</v>
      </c>
    </row>
    <row r="589" spans="1:153" x14ac:dyDescent="0.25">
      <c r="A589" s="7">
        <v>0.96116878123798544</v>
      </c>
      <c r="B589"/>
      <c r="C589"/>
      <c r="D589"/>
      <c r="E589"/>
      <c r="BF589" s="27" t="s">
        <v>7</v>
      </c>
      <c r="BG589" s="27" t="s">
        <v>8</v>
      </c>
      <c r="BH589" s="27" t="s">
        <v>7</v>
      </c>
      <c r="BK589" s="27" t="s">
        <v>8</v>
      </c>
      <c r="BL589" s="27" t="s">
        <v>7</v>
      </c>
      <c r="BM589" s="27" t="s">
        <v>8</v>
      </c>
      <c r="BN589" s="27" t="s">
        <v>7</v>
      </c>
      <c r="BO589" s="27" t="s">
        <v>8</v>
      </c>
      <c r="BT589" s="27" t="s">
        <v>7</v>
      </c>
      <c r="BV589" s="27" t="s">
        <v>7</v>
      </c>
      <c r="BW589" s="27" t="s">
        <v>8</v>
      </c>
      <c r="BX589" s="27" t="s">
        <v>7</v>
      </c>
      <c r="CU589" s="27" t="s">
        <v>8</v>
      </c>
      <c r="CV589" s="27" t="s">
        <v>7</v>
      </c>
      <c r="CW589" s="27" t="s">
        <v>8</v>
      </c>
      <c r="DP589" s="27" t="s">
        <v>7</v>
      </c>
      <c r="DQ589" s="27" t="s">
        <v>8</v>
      </c>
      <c r="DR589" s="27" t="s">
        <v>7</v>
      </c>
      <c r="DS589" s="27" t="s">
        <v>8</v>
      </c>
      <c r="DT589" s="27" t="s">
        <v>7</v>
      </c>
      <c r="DU589" s="27" t="s">
        <v>8</v>
      </c>
      <c r="EJ589" s="27" t="s">
        <v>7</v>
      </c>
      <c r="EL589" s="27" t="s">
        <v>7</v>
      </c>
      <c r="EN589" s="27" t="s">
        <v>7</v>
      </c>
      <c r="EO589" s="27" t="s">
        <v>8</v>
      </c>
      <c r="EQ589" s="27" t="s">
        <v>8</v>
      </c>
      <c r="ER589" s="27" t="s">
        <v>7</v>
      </c>
      <c r="ES589" s="27" t="s">
        <v>8</v>
      </c>
      <c r="ET589" s="27" t="s">
        <v>7</v>
      </c>
    </row>
    <row r="590" spans="1:153" x14ac:dyDescent="0.25">
      <c r="A590" s="7">
        <v>0.94232233454704462</v>
      </c>
      <c r="B590"/>
      <c r="C590"/>
      <c r="D590"/>
      <c r="E590"/>
      <c r="BF590" s="27" t="s">
        <v>7</v>
      </c>
      <c r="BG590" s="27" t="s">
        <v>8</v>
      </c>
      <c r="BH590" s="27" t="s">
        <v>7</v>
      </c>
      <c r="BK590" s="27" t="s">
        <v>8</v>
      </c>
      <c r="BL590" s="27" t="s">
        <v>7</v>
      </c>
      <c r="BM590" s="27" t="s">
        <v>8</v>
      </c>
      <c r="BN590" s="27" t="s">
        <v>7</v>
      </c>
      <c r="BO590" s="27" t="s">
        <v>8</v>
      </c>
      <c r="BV590" s="27" t="s">
        <v>7</v>
      </c>
      <c r="BW590" s="27" t="s">
        <v>8</v>
      </c>
      <c r="BX590" s="27" t="s">
        <v>7</v>
      </c>
      <c r="CU590" s="27" t="s">
        <v>8</v>
      </c>
      <c r="CV590" s="27" t="s">
        <v>7</v>
      </c>
      <c r="CW590" s="27" t="s">
        <v>8</v>
      </c>
      <c r="DP590" s="27" t="s">
        <v>7</v>
      </c>
      <c r="DQ590" s="27" t="s">
        <v>8</v>
      </c>
      <c r="DR590" s="27" t="s">
        <v>7</v>
      </c>
      <c r="DS590" s="27" t="s">
        <v>8</v>
      </c>
      <c r="DT590" s="27" t="s">
        <v>7</v>
      </c>
      <c r="DU590" s="27" t="s">
        <v>8</v>
      </c>
      <c r="EN590" s="27" t="s">
        <v>7</v>
      </c>
      <c r="EO590" s="27" t="s">
        <v>8</v>
      </c>
      <c r="EP590" s="27" t="s">
        <v>7</v>
      </c>
      <c r="EQ590" s="27" t="s">
        <v>8</v>
      </c>
      <c r="ER590" s="27" t="s">
        <v>7</v>
      </c>
      <c r="ES590" s="27" t="s">
        <v>8</v>
      </c>
      <c r="ET590" s="27" t="s">
        <v>7</v>
      </c>
    </row>
    <row r="591" spans="1:153" x14ac:dyDescent="0.25">
      <c r="A591" s="7">
        <v>0.92384542602651432</v>
      </c>
      <c r="B591"/>
      <c r="C591"/>
      <c r="D591"/>
      <c r="E591"/>
      <c r="BF591" s="27" t="s">
        <v>7</v>
      </c>
      <c r="BG591" s="27" t="s">
        <v>8</v>
      </c>
      <c r="BH591" s="27" t="s">
        <v>7</v>
      </c>
      <c r="BK591" s="27" t="s">
        <v>8</v>
      </c>
      <c r="BL591" s="27" t="s">
        <v>7</v>
      </c>
      <c r="BM591" s="27" t="s">
        <v>8</v>
      </c>
      <c r="BN591" s="27" t="s">
        <v>7</v>
      </c>
      <c r="BO591" s="27" t="s">
        <v>8</v>
      </c>
      <c r="BV591" s="27" t="s">
        <v>7</v>
      </c>
      <c r="BW591" s="27" t="s">
        <v>8</v>
      </c>
      <c r="BX591" s="27" t="s">
        <v>7</v>
      </c>
      <c r="CU591" s="27" t="s">
        <v>8</v>
      </c>
      <c r="CV591" s="27" t="s">
        <v>7</v>
      </c>
      <c r="CW591" s="27" t="s">
        <v>8</v>
      </c>
      <c r="DP591" s="27" t="s">
        <v>7</v>
      </c>
      <c r="DQ591" s="27" t="s">
        <v>8</v>
      </c>
      <c r="DR591" s="27" t="s">
        <v>7</v>
      </c>
      <c r="DS591" s="27" t="s">
        <v>8</v>
      </c>
      <c r="DT591" s="27" t="s">
        <v>7</v>
      </c>
      <c r="DU591" s="27" t="s">
        <v>8</v>
      </c>
      <c r="EN591" s="27" t="s">
        <v>7</v>
      </c>
      <c r="EO591" s="27" t="s">
        <v>8</v>
      </c>
      <c r="EP591" s="27" t="s">
        <v>7</v>
      </c>
      <c r="EQ591" s="27" t="s">
        <v>8</v>
      </c>
      <c r="ER591" s="27" t="s">
        <v>7</v>
      </c>
      <c r="ES591" s="27" t="s">
        <v>8</v>
      </c>
      <c r="ET591" s="27" t="s">
        <v>7</v>
      </c>
      <c r="EU591" s="27" t="s">
        <v>8</v>
      </c>
    </row>
    <row r="592" spans="1:153" x14ac:dyDescent="0.25">
      <c r="A592" s="7">
        <v>0.90573080982991594</v>
      </c>
      <c r="B592"/>
      <c r="C592"/>
      <c r="D592"/>
      <c r="E592"/>
      <c r="BF592" s="27" t="s">
        <v>7</v>
      </c>
      <c r="BG592" s="27" t="s">
        <v>8</v>
      </c>
      <c r="BH592" s="27" t="s">
        <v>7</v>
      </c>
      <c r="BK592" s="27" t="s">
        <v>8</v>
      </c>
      <c r="BL592" s="27" t="s">
        <v>7</v>
      </c>
      <c r="BM592" s="27" t="s">
        <v>8</v>
      </c>
      <c r="BN592" s="27" t="s">
        <v>7</v>
      </c>
      <c r="BO592" s="27" t="s">
        <v>8</v>
      </c>
      <c r="BV592" s="27" t="s">
        <v>7</v>
      </c>
      <c r="BW592" s="27" t="s">
        <v>8</v>
      </c>
      <c r="BX592" s="27" t="s">
        <v>7</v>
      </c>
      <c r="CU592" s="27" t="s">
        <v>8</v>
      </c>
      <c r="CV592" s="27" t="s">
        <v>7</v>
      </c>
      <c r="CW592" s="27" t="s">
        <v>8</v>
      </c>
      <c r="DP592" s="27" t="s">
        <v>7</v>
      </c>
      <c r="DQ592" s="27" t="s">
        <v>8</v>
      </c>
      <c r="DR592" s="27" t="s">
        <v>7</v>
      </c>
      <c r="DS592" s="27" t="s">
        <v>8</v>
      </c>
      <c r="DT592" s="27" t="s">
        <v>7</v>
      </c>
      <c r="DU592" s="27" t="s">
        <v>8</v>
      </c>
      <c r="EN592" s="27" t="s">
        <v>7</v>
      </c>
      <c r="EP592" s="27" t="s">
        <v>7</v>
      </c>
      <c r="EQ592" s="27" t="s">
        <v>8</v>
      </c>
      <c r="ER592" s="27" t="s">
        <v>7</v>
      </c>
      <c r="ES592" s="27" t="s">
        <v>8</v>
      </c>
      <c r="ET592" s="27" t="s">
        <v>7</v>
      </c>
      <c r="EU592" s="27" t="s">
        <v>8</v>
      </c>
      <c r="EV592" s="27" t="s">
        <v>7</v>
      </c>
      <c r="EW592" s="27" t="s">
        <v>8</v>
      </c>
    </row>
    <row r="593" spans="1:168" x14ac:dyDescent="0.25">
      <c r="A593" s="7">
        <v>0.8879713821861922</v>
      </c>
      <c r="B593"/>
      <c r="C593"/>
      <c r="D593"/>
      <c r="E593"/>
      <c r="BF593" s="27" t="s">
        <v>7</v>
      </c>
      <c r="BG593" s="27" t="s">
        <v>8</v>
      </c>
      <c r="BH593" s="27" t="s">
        <v>7</v>
      </c>
      <c r="BK593" s="27" t="s">
        <v>8</v>
      </c>
      <c r="BL593" s="27" t="s">
        <v>7</v>
      </c>
      <c r="BM593" s="27" t="s">
        <v>8</v>
      </c>
      <c r="BN593" s="27" t="s">
        <v>7</v>
      </c>
      <c r="BO593" s="27" t="s">
        <v>8</v>
      </c>
      <c r="BV593" s="27" t="s">
        <v>7</v>
      </c>
      <c r="BW593" s="27" t="s">
        <v>8</v>
      </c>
      <c r="BX593" s="27" t="s">
        <v>7</v>
      </c>
      <c r="CU593" s="27" t="s">
        <v>8</v>
      </c>
      <c r="CV593" s="27" t="s">
        <v>7</v>
      </c>
      <c r="CW593" s="27" t="s">
        <v>8</v>
      </c>
      <c r="DP593" s="27" t="s">
        <v>7</v>
      </c>
      <c r="DQ593" s="27" t="s">
        <v>8</v>
      </c>
      <c r="DR593" s="27" t="s">
        <v>7</v>
      </c>
      <c r="DS593" s="27" t="s">
        <v>8</v>
      </c>
      <c r="DT593" s="27" t="s">
        <v>7</v>
      </c>
      <c r="DU593" s="27" t="s">
        <v>8</v>
      </c>
      <c r="EP593" s="27" t="s">
        <v>7</v>
      </c>
      <c r="EQ593" s="27" t="s">
        <v>8</v>
      </c>
      <c r="ER593" s="27" t="s">
        <v>7</v>
      </c>
      <c r="ES593" s="27" t="s">
        <v>8</v>
      </c>
      <c r="ET593" s="27" t="s">
        <v>7</v>
      </c>
      <c r="EU593" s="27" t="s">
        <v>8</v>
      </c>
      <c r="EV593" s="27" t="s">
        <v>7</v>
      </c>
      <c r="EW593" s="27" t="s">
        <v>8</v>
      </c>
      <c r="EX593" s="27" t="s">
        <v>7</v>
      </c>
    </row>
    <row r="594" spans="1:168" x14ac:dyDescent="0.25">
      <c r="A594" s="7">
        <v>0.87056017861391399</v>
      </c>
      <c r="B594"/>
      <c r="C594"/>
      <c r="D594"/>
      <c r="E594"/>
      <c r="BF594" s="27" t="s">
        <v>7</v>
      </c>
      <c r="BG594" s="27" t="s">
        <v>8</v>
      </c>
      <c r="BH594" s="27" t="s">
        <v>7</v>
      </c>
      <c r="BK594" s="27" t="s">
        <v>8</v>
      </c>
      <c r="BL594" s="27" t="s">
        <v>7</v>
      </c>
      <c r="BM594" s="27" t="s">
        <v>8</v>
      </c>
      <c r="BN594" s="27" t="s">
        <v>7</v>
      </c>
      <c r="BO594" s="27" t="s">
        <v>8</v>
      </c>
      <c r="BV594" s="27" t="s">
        <v>7</v>
      </c>
      <c r="BX594" s="27" t="s">
        <v>7</v>
      </c>
      <c r="CU594" s="27" t="s">
        <v>8</v>
      </c>
      <c r="CV594" s="27" t="s">
        <v>7</v>
      </c>
      <c r="CW594" s="27" t="s">
        <v>8</v>
      </c>
      <c r="DP594" s="27" t="s">
        <v>7</v>
      </c>
      <c r="DQ594" s="27" t="s">
        <v>8</v>
      </c>
      <c r="DR594" s="27" t="s">
        <v>7</v>
      </c>
      <c r="DS594" s="27" t="s">
        <v>8</v>
      </c>
      <c r="DT594" s="27" t="s">
        <v>7</v>
      </c>
      <c r="DU594" s="27" t="s">
        <v>8</v>
      </c>
      <c r="EP594" s="27" t="s">
        <v>7</v>
      </c>
      <c r="EQ594" s="27" t="s">
        <v>8</v>
      </c>
      <c r="ER594" s="27" t="s">
        <v>7</v>
      </c>
      <c r="ES594" s="27" t="s">
        <v>8</v>
      </c>
      <c r="ET594" s="27" t="s">
        <v>7</v>
      </c>
      <c r="EU594" s="27" t="s">
        <v>8</v>
      </c>
      <c r="EV594" s="27" t="s">
        <v>7</v>
      </c>
      <c r="EW594" s="27" t="s">
        <v>8</v>
      </c>
      <c r="EX594" s="27" t="s">
        <v>7</v>
      </c>
    </row>
    <row r="595" spans="1:168" x14ac:dyDescent="0.25">
      <c r="A595" s="7">
        <v>0.85349037119011173</v>
      </c>
      <c r="B595"/>
      <c r="C595"/>
      <c r="D595"/>
      <c r="E595"/>
      <c r="BF595" s="27" t="s">
        <v>7</v>
      </c>
      <c r="BG595" s="27" t="s">
        <v>8</v>
      </c>
      <c r="BH595" s="27" t="s">
        <v>7</v>
      </c>
      <c r="BI595" s="27" t="s">
        <v>8</v>
      </c>
      <c r="BK595" s="27" t="s">
        <v>8</v>
      </c>
      <c r="BL595" s="27" t="s">
        <v>7</v>
      </c>
      <c r="BM595" s="27" t="s">
        <v>8</v>
      </c>
      <c r="BN595" s="27" t="s">
        <v>7</v>
      </c>
      <c r="BO595" s="27" t="s">
        <v>8</v>
      </c>
      <c r="BX595" s="27" t="s">
        <v>7</v>
      </c>
      <c r="CU595" s="27" t="s">
        <v>8</v>
      </c>
      <c r="CV595" s="27" t="s">
        <v>7</v>
      </c>
      <c r="CW595" s="27" t="s">
        <v>8</v>
      </c>
      <c r="DP595" s="27" t="s">
        <v>7</v>
      </c>
      <c r="DQ595" s="27" t="s">
        <v>8</v>
      </c>
      <c r="DR595" s="27" t="s">
        <v>7</v>
      </c>
      <c r="DS595" s="27" t="s">
        <v>8</v>
      </c>
      <c r="DT595" s="27" t="s">
        <v>7</v>
      </c>
      <c r="DU595" s="27" t="s">
        <v>8</v>
      </c>
      <c r="EP595" s="27" t="s">
        <v>7</v>
      </c>
      <c r="EQ595" s="27" t="s">
        <v>8</v>
      </c>
      <c r="ER595" s="27" t="s">
        <v>7</v>
      </c>
      <c r="ES595" s="27" t="s">
        <v>8</v>
      </c>
      <c r="ET595" s="27" t="s">
        <v>7</v>
      </c>
      <c r="EU595" s="27" t="s">
        <v>8</v>
      </c>
      <c r="EV595" s="27" t="s">
        <v>7</v>
      </c>
      <c r="EW595" s="27" t="s">
        <v>8</v>
      </c>
      <c r="EX595" s="27" t="s">
        <v>7</v>
      </c>
    </row>
    <row r="596" spans="1:168" x14ac:dyDescent="0.25">
      <c r="A596" s="7">
        <v>0.83675526587265858</v>
      </c>
      <c r="B596"/>
      <c r="C596"/>
      <c r="D596"/>
      <c r="E596"/>
      <c r="BF596" s="27" t="s">
        <v>7</v>
      </c>
      <c r="BG596" s="27" t="s">
        <v>8</v>
      </c>
      <c r="BH596" s="27" t="s">
        <v>7</v>
      </c>
      <c r="BI596" s="27" t="s">
        <v>8</v>
      </c>
      <c r="BJ596" s="27" t="s">
        <v>7</v>
      </c>
      <c r="BK596" s="27" t="s">
        <v>8</v>
      </c>
      <c r="BL596" s="27" t="s">
        <v>7</v>
      </c>
      <c r="BM596" s="27" t="s">
        <v>8</v>
      </c>
      <c r="BN596" s="27" t="s">
        <v>7</v>
      </c>
      <c r="BO596" s="27" t="s">
        <v>8</v>
      </c>
      <c r="BX596" s="27" t="s">
        <v>7</v>
      </c>
      <c r="CA596" s="27" t="s">
        <v>8</v>
      </c>
      <c r="CE596" s="27" t="s">
        <v>8</v>
      </c>
      <c r="CU596" s="27" t="s">
        <v>8</v>
      </c>
      <c r="CV596" s="27" t="s">
        <v>7</v>
      </c>
      <c r="CW596" s="27" t="s">
        <v>8</v>
      </c>
      <c r="DP596" s="27" t="s">
        <v>7</v>
      </c>
      <c r="DQ596" s="27" t="s">
        <v>8</v>
      </c>
      <c r="DR596" s="27" t="s">
        <v>7</v>
      </c>
      <c r="DS596" s="27" t="s">
        <v>8</v>
      </c>
      <c r="DT596" s="27" t="s">
        <v>7</v>
      </c>
      <c r="DU596" s="27" t="s">
        <v>8</v>
      </c>
      <c r="EP596" s="27" t="s">
        <v>7</v>
      </c>
      <c r="EQ596" s="27" t="s">
        <v>8</v>
      </c>
      <c r="ER596" s="27" t="s">
        <v>7</v>
      </c>
      <c r="ET596" s="27" t="s">
        <v>7</v>
      </c>
      <c r="EU596" s="27" t="s">
        <v>8</v>
      </c>
      <c r="EV596" s="27" t="s">
        <v>7</v>
      </c>
      <c r="EX596" s="27" t="s">
        <v>7</v>
      </c>
    </row>
    <row r="597" spans="1:168" x14ac:dyDescent="0.25">
      <c r="A597" s="7">
        <v>0.82034829987515545</v>
      </c>
      <c r="B597"/>
      <c r="C597"/>
      <c r="D597"/>
      <c r="E597"/>
      <c r="BF597" s="27" t="s">
        <v>7</v>
      </c>
      <c r="BG597" s="27" t="s">
        <v>8</v>
      </c>
      <c r="BH597" s="27" t="s">
        <v>7</v>
      </c>
      <c r="BI597" s="27" t="s">
        <v>8</v>
      </c>
      <c r="BJ597" s="27" t="s">
        <v>7</v>
      </c>
      <c r="BK597" s="27" t="s">
        <v>8</v>
      </c>
      <c r="BL597" s="27" t="s">
        <v>7</v>
      </c>
      <c r="BM597" s="27" t="s">
        <v>8</v>
      </c>
      <c r="BN597" s="27" t="s">
        <v>7</v>
      </c>
      <c r="BO597" s="27" t="s">
        <v>8</v>
      </c>
      <c r="BX597" s="27" t="s">
        <v>7</v>
      </c>
      <c r="CA597" s="27" t="s">
        <v>8</v>
      </c>
      <c r="CB597" s="27" t="s">
        <v>7</v>
      </c>
      <c r="CE597" s="27" t="s">
        <v>8</v>
      </c>
      <c r="CF597" s="27" t="s">
        <v>7</v>
      </c>
      <c r="CU597" s="27" t="s">
        <v>8</v>
      </c>
      <c r="CV597" s="27" t="s">
        <v>7</v>
      </c>
      <c r="CW597" s="27" t="s">
        <v>8</v>
      </c>
      <c r="DP597" s="27" t="s">
        <v>7</v>
      </c>
      <c r="DQ597" s="27" t="s">
        <v>8</v>
      </c>
      <c r="DR597" s="27" t="s">
        <v>7</v>
      </c>
      <c r="DS597" s="27" t="s">
        <v>8</v>
      </c>
      <c r="DT597" s="27" t="s">
        <v>7</v>
      </c>
      <c r="DU597" s="27" t="s">
        <v>8</v>
      </c>
      <c r="EP597" s="27" t="s">
        <v>7</v>
      </c>
      <c r="ET597" s="27" t="s">
        <v>7</v>
      </c>
      <c r="EX597" s="27" t="s">
        <v>7</v>
      </c>
      <c r="FG597" s="27" t="s">
        <v>8</v>
      </c>
    </row>
    <row r="598" spans="1:168" x14ac:dyDescent="0.25">
      <c r="A598" s="7">
        <v>0.80426303909328967</v>
      </c>
      <c r="B598"/>
      <c r="C598"/>
      <c r="D598"/>
      <c r="E598"/>
      <c r="BF598" s="27" t="s">
        <v>7</v>
      </c>
      <c r="BG598" s="27" t="s">
        <v>8</v>
      </c>
      <c r="BH598" s="27" t="s">
        <v>7</v>
      </c>
      <c r="BI598" s="27" t="s">
        <v>8</v>
      </c>
      <c r="BJ598" s="27" t="s">
        <v>7</v>
      </c>
      <c r="BK598" s="27" t="s">
        <v>8</v>
      </c>
      <c r="BL598" s="27" t="s">
        <v>7</v>
      </c>
      <c r="BM598" s="27" t="s">
        <v>8</v>
      </c>
      <c r="BN598" s="27" t="s">
        <v>7</v>
      </c>
      <c r="BO598" s="27" t="s">
        <v>8</v>
      </c>
      <c r="BX598" s="27" t="s">
        <v>7</v>
      </c>
      <c r="CA598" s="27" t="s">
        <v>8</v>
      </c>
      <c r="CB598" s="27" t="s">
        <v>7</v>
      </c>
      <c r="CC598" s="27" t="s">
        <v>8</v>
      </c>
      <c r="CE598" s="27" t="s">
        <v>8</v>
      </c>
      <c r="CF598" s="27" t="s">
        <v>7</v>
      </c>
      <c r="CK598" s="27" t="s">
        <v>8</v>
      </c>
      <c r="CU598" s="27" t="s">
        <v>8</v>
      </c>
      <c r="CV598" s="27" t="s">
        <v>7</v>
      </c>
      <c r="DP598" s="27" t="s">
        <v>7</v>
      </c>
      <c r="DR598" s="27" t="s">
        <v>7</v>
      </c>
      <c r="DT598" s="27" t="s">
        <v>7</v>
      </c>
      <c r="DU598" s="27" t="s">
        <v>8</v>
      </c>
      <c r="EX598" s="27" t="s">
        <v>7</v>
      </c>
      <c r="EY598" s="27" t="s">
        <v>8</v>
      </c>
      <c r="FG598" s="27" t="s">
        <v>8</v>
      </c>
      <c r="FH598" s="27" t="s">
        <v>7</v>
      </c>
    </row>
    <row r="599" spans="1:168" x14ac:dyDescent="0.25">
      <c r="A599" s="7">
        <v>0.78849317558165644</v>
      </c>
      <c r="B599"/>
      <c r="C599"/>
      <c r="D599"/>
      <c r="E599"/>
      <c r="BF599" s="27" t="s">
        <v>7</v>
      </c>
      <c r="BG599" s="27" t="s">
        <v>8</v>
      </c>
      <c r="BH599" s="27" t="s">
        <v>7</v>
      </c>
      <c r="BI599" s="27" t="s">
        <v>8</v>
      </c>
      <c r="BJ599" s="27" t="s">
        <v>7</v>
      </c>
      <c r="BK599" s="27" t="s">
        <v>8</v>
      </c>
      <c r="BL599" s="27" t="s">
        <v>7</v>
      </c>
      <c r="BM599" s="27" t="s">
        <v>8</v>
      </c>
      <c r="BN599" s="27" t="s">
        <v>7</v>
      </c>
      <c r="BO599" s="27" t="s">
        <v>8</v>
      </c>
      <c r="BX599" s="27" t="s">
        <v>7</v>
      </c>
      <c r="BY599" s="27" t="s">
        <v>8</v>
      </c>
      <c r="CA599" s="27" t="s">
        <v>8</v>
      </c>
      <c r="CB599" s="27" t="s">
        <v>7</v>
      </c>
      <c r="CC599" s="27" t="s">
        <v>8</v>
      </c>
      <c r="CD599" s="27" t="s">
        <v>7</v>
      </c>
      <c r="CE599" s="27" t="s">
        <v>8</v>
      </c>
      <c r="CF599" s="27" t="s">
        <v>7</v>
      </c>
      <c r="CK599" s="27" t="s">
        <v>8</v>
      </c>
      <c r="CL599" s="27" t="s">
        <v>7</v>
      </c>
      <c r="CU599" s="27" t="s">
        <v>8</v>
      </c>
      <c r="DT599" s="27" t="s">
        <v>7</v>
      </c>
      <c r="DU599" s="27" t="s">
        <v>8</v>
      </c>
      <c r="EX599" s="27" t="s">
        <v>7</v>
      </c>
      <c r="EY599" s="27" t="s">
        <v>8</v>
      </c>
      <c r="EZ599" s="27" t="s">
        <v>7</v>
      </c>
      <c r="FA599" s="27" t="s">
        <v>8</v>
      </c>
      <c r="FG599" s="27" t="s">
        <v>8</v>
      </c>
      <c r="FH599" s="27" t="s">
        <v>7</v>
      </c>
    </row>
    <row r="600" spans="1:168" x14ac:dyDescent="0.25">
      <c r="A600" s="7">
        <v>0.77303252508005538</v>
      </c>
      <c r="B600"/>
      <c r="C600"/>
      <c r="D600"/>
      <c r="E600"/>
      <c r="BF600" s="27" t="s">
        <v>7</v>
      </c>
      <c r="BH600" s="27" t="s">
        <v>7</v>
      </c>
      <c r="BI600" s="27" t="s">
        <v>8</v>
      </c>
      <c r="BJ600" s="27" t="s">
        <v>7</v>
      </c>
      <c r="BK600" s="27" t="s">
        <v>8</v>
      </c>
      <c r="BL600" s="27" t="s">
        <v>7</v>
      </c>
      <c r="BN600" s="27" t="s">
        <v>7</v>
      </c>
      <c r="BX600" s="27" t="s">
        <v>7</v>
      </c>
      <c r="BY600" s="27" t="s">
        <v>8</v>
      </c>
      <c r="BZ600" s="27" t="s">
        <v>7</v>
      </c>
      <c r="CA600" s="27" t="s">
        <v>8</v>
      </c>
      <c r="CB600" s="27" t="s">
        <v>7</v>
      </c>
      <c r="CC600" s="27" t="s">
        <v>8</v>
      </c>
      <c r="CD600" s="27" t="s">
        <v>7</v>
      </c>
      <c r="CE600" s="27" t="s">
        <v>8</v>
      </c>
      <c r="CF600" s="27" t="s">
        <v>7</v>
      </c>
      <c r="CK600" s="27" t="s">
        <v>8</v>
      </c>
      <c r="CL600" s="27" t="s">
        <v>7</v>
      </c>
      <c r="CU600" s="27" t="s">
        <v>8</v>
      </c>
      <c r="DT600" s="27" t="s">
        <v>7</v>
      </c>
      <c r="EX600" s="27" t="s">
        <v>7</v>
      </c>
      <c r="EY600" s="27" t="s">
        <v>8</v>
      </c>
      <c r="EZ600" s="27" t="s">
        <v>7</v>
      </c>
      <c r="FA600" s="27" t="s">
        <v>8</v>
      </c>
      <c r="FB600" s="27" t="s">
        <v>7</v>
      </c>
      <c r="FG600" s="27" t="s">
        <v>8</v>
      </c>
      <c r="FH600" s="27" t="s">
        <v>7</v>
      </c>
      <c r="FI600" s="27" t="s">
        <v>8</v>
      </c>
    </row>
    <row r="601" spans="1:168" x14ac:dyDescent="0.25">
      <c r="A601" s="7">
        <v>0.75787502458828959</v>
      </c>
      <c r="B601"/>
      <c r="C601"/>
      <c r="D601"/>
      <c r="E601"/>
      <c r="BH601" s="27" t="s">
        <v>7</v>
      </c>
      <c r="BI601" s="27" t="s">
        <v>8</v>
      </c>
      <c r="BJ601" s="27" t="s">
        <v>7</v>
      </c>
      <c r="BK601" s="27" t="s">
        <v>8</v>
      </c>
      <c r="BX601" s="27" t="s">
        <v>7</v>
      </c>
      <c r="BY601" s="27" t="s">
        <v>8</v>
      </c>
      <c r="BZ601" s="27" t="s">
        <v>7</v>
      </c>
      <c r="CA601" s="27" t="s">
        <v>8</v>
      </c>
      <c r="CB601" s="27" t="s">
        <v>7</v>
      </c>
      <c r="CC601" s="27" t="s">
        <v>8</v>
      </c>
      <c r="CD601" s="27" t="s">
        <v>7</v>
      </c>
      <c r="CE601" s="27" t="s">
        <v>8</v>
      </c>
      <c r="CF601" s="27" t="s">
        <v>7</v>
      </c>
      <c r="CK601" s="27" t="s">
        <v>8</v>
      </c>
      <c r="CL601" s="27" t="s">
        <v>7</v>
      </c>
      <c r="CU601" s="27" t="s">
        <v>8</v>
      </c>
      <c r="EX601" s="27" t="s">
        <v>7</v>
      </c>
      <c r="EY601" s="27" t="s">
        <v>8</v>
      </c>
      <c r="EZ601" s="27" t="s">
        <v>7</v>
      </c>
      <c r="FA601" s="27" t="s">
        <v>8</v>
      </c>
      <c r="FB601" s="27" t="s">
        <v>7</v>
      </c>
      <c r="FG601" s="27" t="s">
        <v>8</v>
      </c>
      <c r="FH601" s="27" t="s">
        <v>7</v>
      </c>
      <c r="FI601" s="27" t="s">
        <v>8</v>
      </c>
      <c r="FJ601" s="27" t="s">
        <v>7</v>
      </c>
    </row>
    <row r="602" spans="1:168" x14ac:dyDescent="0.25">
      <c r="A602" s="7">
        <v>0.74301472998851925</v>
      </c>
      <c r="B602"/>
      <c r="C602"/>
      <c r="D602"/>
      <c r="E602"/>
      <c r="BH602" s="27" t="s">
        <v>7</v>
      </c>
      <c r="BI602" s="27" t="s">
        <v>8</v>
      </c>
      <c r="BJ602" s="27" t="s">
        <v>7</v>
      </c>
      <c r="BK602" s="27" t="s">
        <v>8</v>
      </c>
      <c r="BX602" s="27" t="s">
        <v>7</v>
      </c>
      <c r="BY602" s="27" t="s">
        <v>8</v>
      </c>
      <c r="BZ602" s="27" t="s">
        <v>7</v>
      </c>
      <c r="CA602" s="27" t="s">
        <v>8</v>
      </c>
      <c r="CB602" s="27" t="s">
        <v>7</v>
      </c>
      <c r="CC602" s="27" t="s">
        <v>8</v>
      </c>
      <c r="CD602" s="27" t="s">
        <v>7</v>
      </c>
      <c r="CE602" s="27" t="s">
        <v>8</v>
      </c>
      <c r="CF602" s="27" t="s">
        <v>7</v>
      </c>
      <c r="CK602" s="27" t="s">
        <v>8</v>
      </c>
      <c r="CL602" s="27" t="s">
        <v>7</v>
      </c>
      <c r="CU602" s="27" t="s">
        <v>8</v>
      </c>
      <c r="EX602" s="27" t="s">
        <v>7</v>
      </c>
      <c r="EY602" s="27" t="s">
        <v>8</v>
      </c>
      <c r="EZ602" s="27" t="s">
        <v>7</v>
      </c>
      <c r="FA602" s="27" t="s">
        <v>8</v>
      </c>
      <c r="FB602" s="27" t="s">
        <v>7</v>
      </c>
      <c r="FG602" s="27" t="s">
        <v>8</v>
      </c>
      <c r="FH602" s="27" t="s">
        <v>7</v>
      </c>
      <c r="FI602" s="27" t="s">
        <v>8</v>
      </c>
      <c r="FJ602" s="27" t="s">
        <v>7</v>
      </c>
    </row>
    <row r="603" spans="1:168" x14ac:dyDescent="0.25">
      <c r="A603" s="7">
        <v>0.72844581371423456</v>
      </c>
      <c r="B603"/>
      <c r="C603"/>
      <c r="D603"/>
      <c r="E603"/>
      <c r="BH603" s="27" t="s">
        <v>7</v>
      </c>
      <c r="BI603" s="27" t="s">
        <v>8</v>
      </c>
      <c r="BJ603" s="27" t="s">
        <v>7</v>
      </c>
      <c r="BK603" s="27" t="s">
        <v>8</v>
      </c>
      <c r="BX603" s="27" t="s">
        <v>7</v>
      </c>
      <c r="BY603" s="27" t="s">
        <v>8</v>
      </c>
      <c r="BZ603" s="27" t="s">
        <v>7</v>
      </c>
      <c r="CA603" s="27" t="s">
        <v>8</v>
      </c>
      <c r="CB603" s="27" t="s">
        <v>7</v>
      </c>
      <c r="CC603" s="27" t="s">
        <v>8</v>
      </c>
      <c r="CD603" s="27" t="s">
        <v>7</v>
      </c>
      <c r="CF603" s="27" t="s">
        <v>7</v>
      </c>
      <c r="CK603" s="27" t="s">
        <v>8</v>
      </c>
      <c r="CL603" s="27" t="s">
        <v>7</v>
      </c>
      <c r="CU603" s="27" t="s">
        <v>8</v>
      </c>
      <c r="EX603" s="27" t="s">
        <v>7</v>
      </c>
      <c r="EY603" s="27" t="s">
        <v>8</v>
      </c>
      <c r="EZ603" s="27" t="s">
        <v>7</v>
      </c>
      <c r="FA603" s="27" t="s">
        <v>8</v>
      </c>
      <c r="FB603" s="27" t="s">
        <v>7</v>
      </c>
      <c r="FC603" s="27" t="s">
        <v>8</v>
      </c>
      <c r="FG603" s="27" t="s">
        <v>8</v>
      </c>
      <c r="FH603" s="27" t="s">
        <v>7</v>
      </c>
      <c r="FI603" s="27" t="s">
        <v>8</v>
      </c>
      <c r="FJ603" s="27" t="s">
        <v>7</v>
      </c>
    </row>
    <row r="604" spans="1:168" x14ac:dyDescent="0.25">
      <c r="A604" s="7">
        <v>0.71416256246493581</v>
      </c>
      <c r="B604"/>
      <c r="C604"/>
      <c r="D604"/>
      <c r="E604"/>
      <c r="BH604" s="27" t="s">
        <v>7</v>
      </c>
      <c r="BI604" s="27" t="s">
        <v>8</v>
      </c>
      <c r="BJ604" s="27" t="s">
        <v>7</v>
      </c>
      <c r="BK604" s="27" t="s">
        <v>8</v>
      </c>
      <c r="BX604" s="27" t="s">
        <v>7</v>
      </c>
      <c r="BY604" s="27" t="s">
        <v>8</v>
      </c>
      <c r="BZ604" s="27" t="s">
        <v>7</v>
      </c>
      <c r="CA604" s="27" t="s">
        <v>8</v>
      </c>
      <c r="CB604" s="27" t="s">
        <v>7</v>
      </c>
      <c r="CC604" s="27" t="s">
        <v>8</v>
      </c>
      <c r="CF604" s="27" t="s">
        <v>7</v>
      </c>
      <c r="CK604" s="27" t="s">
        <v>8</v>
      </c>
      <c r="CL604" s="27" t="s">
        <v>7</v>
      </c>
      <c r="CU604" s="27" t="s">
        <v>8</v>
      </c>
      <c r="EX604" s="27" t="s">
        <v>7</v>
      </c>
      <c r="EY604" s="27" t="s">
        <v>8</v>
      </c>
      <c r="EZ604" s="27" t="s">
        <v>7</v>
      </c>
      <c r="FA604" s="27" t="s">
        <v>8</v>
      </c>
      <c r="FB604" s="27" t="s">
        <v>7</v>
      </c>
      <c r="FC604" s="27" t="s">
        <v>8</v>
      </c>
      <c r="FD604" s="27" t="s">
        <v>7</v>
      </c>
      <c r="FG604" s="27" t="s">
        <v>8</v>
      </c>
      <c r="FH604" s="27" t="s">
        <v>7</v>
      </c>
      <c r="FI604" s="27" t="s">
        <v>8</v>
      </c>
      <c r="FJ604" s="27" t="s">
        <v>7</v>
      </c>
    </row>
    <row r="605" spans="1:168" x14ac:dyDescent="0.25">
      <c r="A605" s="7">
        <v>0.7001593749656233</v>
      </c>
      <c r="B605"/>
      <c r="C605"/>
      <c r="D605"/>
      <c r="E605"/>
      <c r="BH605" s="27" t="s">
        <v>7</v>
      </c>
      <c r="BJ605" s="27" t="s">
        <v>7</v>
      </c>
      <c r="BK605" s="27" t="s">
        <v>8</v>
      </c>
      <c r="BX605" s="27" t="s">
        <v>7</v>
      </c>
      <c r="BY605" s="27" t="s">
        <v>8</v>
      </c>
      <c r="BZ605" s="27" t="s">
        <v>7</v>
      </c>
      <c r="CA605" s="27" t="s">
        <v>8</v>
      </c>
      <c r="CB605" s="27" t="s">
        <v>7</v>
      </c>
      <c r="CC605" s="27" t="s">
        <v>8</v>
      </c>
      <c r="CF605" s="27" t="s">
        <v>7</v>
      </c>
      <c r="CI605" s="27" t="s">
        <v>8</v>
      </c>
      <c r="CK605" s="27" t="s">
        <v>8</v>
      </c>
      <c r="CL605" s="27" t="s">
        <v>7</v>
      </c>
      <c r="CU605" s="27" t="s">
        <v>8</v>
      </c>
      <c r="EX605" s="27" t="s">
        <v>7</v>
      </c>
      <c r="EZ605" s="27" t="s">
        <v>7</v>
      </c>
      <c r="FA605" s="27" t="s">
        <v>8</v>
      </c>
      <c r="FB605" s="27" t="s">
        <v>7</v>
      </c>
      <c r="FC605" s="27" t="s">
        <v>8</v>
      </c>
      <c r="FD605" s="27" t="s">
        <v>7</v>
      </c>
      <c r="FG605" s="27" t="s">
        <v>8</v>
      </c>
      <c r="FH605" s="27" t="s">
        <v>7</v>
      </c>
      <c r="FI605" s="27" t="s">
        <v>8</v>
      </c>
      <c r="FJ605" s="27" t="s">
        <v>7</v>
      </c>
    </row>
    <row r="606" spans="1:168" x14ac:dyDescent="0.25">
      <c r="A606" s="7">
        <v>0.68643075977021883</v>
      </c>
      <c r="B606"/>
      <c r="C606"/>
      <c r="D606"/>
      <c r="E606"/>
      <c r="BJ606" s="27" t="s">
        <v>7</v>
      </c>
      <c r="BK606" s="27" t="s">
        <v>8</v>
      </c>
      <c r="BX606" s="27" t="s">
        <v>7</v>
      </c>
      <c r="BY606" s="27" t="s">
        <v>8</v>
      </c>
      <c r="BZ606" s="27" t="s">
        <v>7</v>
      </c>
      <c r="CA606" s="27" t="s">
        <v>8</v>
      </c>
      <c r="CB606" s="27" t="s">
        <v>7</v>
      </c>
      <c r="CF606" s="27" t="s">
        <v>7</v>
      </c>
      <c r="CI606" s="27" t="s">
        <v>8</v>
      </c>
      <c r="CJ606" s="27" t="s">
        <v>7</v>
      </c>
      <c r="CK606" s="27" t="s">
        <v>8</v>
      </c>
      <c r="CL606" s="27" t="s">
        <v>7</v>
      </c>
      <c r="CM606" s="27" t="s">
        <v>8</v>
      </c>
      <c r="CQ606" s="27" t="s">
        <v>8</v>
      </c>
      <c r="CS606" s="27" t="s">
        <v>8</v>
      </c>
      <c r="CU606" s="27" t="s">
        <v>8</v>
      </c>
      <c r="EZ606" s="27" t="s">
        <v>7</v>
      </c>
      <c r="FA606" s="27" t="s">
        <v>8</v>
      </c>
      <c r="FB606" s="27" t="s">
        <v>7</v>
      </c>
      <c r="FC606" s="27" t="s">
        <v>8</v>
      </c>
      <c r="FD606" s="27" t="s">
        <v>7</v>
      </c>
      <c r="FG606" s="27" t="s">
        <v>8</v>
      </c>
      <c r="FH606" s="27" t="s">
        <v>7</v>
      </c>
      <c r="FI606" s="27" t="s">
        <v>8</v>
      </c>
      <c r="FJ606" s="27" t="s">
        <v>7</v>
      </c>
    </row>
    <row r="607" spans="1:168" x14ac:dyDescent="0.25">
      <c r="A607" s="7">
        <v>0.67297133310805768</v>
      </c>
      <c r="B607"/>
      <c r="C607"/>
      <c r="D607"/>
      <c r="E607"/>
      <c r="BJ607" s="27" t="s">
        <v>7</v>
      </c>
      <c r="BK607" s="27" t="s">
        <v>8</v>
      </c>
      <c r="BX607" s="27" t="s">
        <v>7</v>
      </c>
      <c r="BY607" s="27" t="s">
        <v>8</v>
      </c>
      <c r="BZ607" s="27" t="s">
        <v>7</v>
      </c>
      <c r="CA607" s="27" t="s">
        <v>8</v>
      </c>
      <c r="CF607" s="27" t="s">
        <v>7</v>
      </c>
      <c r="CI607" s="27" t="s">
        <v>8</v>
      </c>
      <c r="CJ607" s="27" t="s">
        <v>7</v>
      </c>
      <c r="CK607" s="27" t="s">
        <v>8</v>
      </c>
      <c r="CL607" s="27" t="s">
        <v>7</v>
      </c>
      <c r="CM607" s="27" t="s">
        <v>8</v>
      </c>
      <c r="CN607" s="27" t="s">
        <v>7</v>
      </c>
      <c r="CQ607" s="27" t="s">
        <v>8</v>
      </c>
      <c r="CR607" s="27" t="s">
        <v>7</v>
      </c>
      <c r="CS607" s="27" t="s">
        <v>8</v>
      </c>
      <c r="CT607" s="27" t="s">
        <v>7</v>
      </c>
      <c r="CU607" s="27" t="s">
        <v>8</v>
      </c>
      <c r="EZ607" s="27" t="s">
        <v>7</v>
      </c>
      <c r="FA607" s="27" t="s">
        <v>8</v>
      </c>
      <c r="FB607" s="27" t="s">
        <v>7</v>
      </c>
      <c r="FC607" s="27" t="s">
        <v>8</v>
      </c>
      <c r="FD607" s="27" t="s">
        <v>7</v>
      </c>
      <c r="FG607" s="27" t="s">
        <v>8</v>
      </c>
      <c r="FH607" s="27" t="s">
        <v>7</v>
      </c>
      <c r="FI607" s="27" t="s">
        <v>8</v>
      </c>
      <c r="FJ607" s="27" t="s">
        <v>7</v>
      </c>
      <c r="FK607" s="27" t="s">
        <v>8</v>
      </c>
    </row>
    <row r="608" spans="1:168" x14ac:dyDescent="0.25">
      <c r="A608" s="7">
        <v>0.65977581677260566</v>
      </c>
      <c r="B608"/>
      <c r="C608"/>
      <c r="D608"/>
      <c r="E608"/>
      <c r="BJ608" s="27" t="s">
        <v>7</v>
      </c>
      <c r="BK608" s="27" t="s">
        <v>8</v>
      </c>
      <c r="BX608" s="27" t="s">
        <v>7</v>
      </c>
      <c r="BY608" s="27" t="s">
        <v>8</v>
      </c>
      <c r="BZ608" s="27" t="s">
        <v>7</v>
      </c>
      <c r="CA608" s="27" t="s">
        <v>8</v>
      </c>
      <c r="CF608" s="27" t="s">
        <v>7</v>
      </c>
      <c r="CI608" s="27" t="s">
        <v>8</v>
      </c>
      <c r="CJ608" s="27" t="s">
        <v>7</v>
      </c>
      <c r="CK608" s="27" t="s">
        <v>8</v>
      </c>
      <c r="CL608" s="27" t="s">
        <v>7</v>
      </c>
      <c r="CM608" s="27" t="s">
        <v>8</v>
      </c>
      <c r="CN608" s="27" t="s">
        <v>7</v>
      </c>
      <c r="CQ608" s="27" t="s">
        <v>8</v>
      </c>
      <c r="CR608" s="27" t="s">
        <v>7</v>
      </c>
      <c r="CS608" s="27" t="s">
        <v>8</v>
      </c>
      <c r="CT608" s="27" t="s">
        <v>7</v>
      </c>
      <c r="CU608" s="27" t="s">
        <v>8</v>
      </c>
      <c r="EZ608" s="27" t="s">
        <v>7</v>
      </c>
      <c r="FB608" s="27" t="s">
        <v>7</v>
      </c>
      <c r="FC608" s="27" t="s">
        <v>8</v>
      </c>
      <c r="FD608" s="27" t="s">
        <v>7</v>
      </c>
      <c r="FE608" s="27" t="s">
        <v>8</v>
      </c>
      <c r="FG608" s="27" t="s">
        <v>8</v>
      </c>
      <c r="FH608" s="27" t="s">
        <v>7</v>
      </c>
      <c r="FI608" s="27" t="s">
        <v>8</v>
      </c>
      <c r="FJ608" s="27" t="s">
        <v>7</v>
      </c>
      <c r="FK608" s="27" t="s">
        <v>8</v>
      </c>
      <c r="FL608" s="27" t="s">
        <v>7</v>
      </c>
    </row>
    <row r="609" spans="1:176" x14ac:dyDescent="0.25">
      <c r="A609" s="7">
        <v>0.64683903605157422</v>
      </c>
      <c r="B609"/>
      <c r="C609"/>
      <c r="D609"/>
      <c r="E609"/>
      <c r="BJ609" s="27" t="s">
        <v>7</v>
      </c>
      <c r="BK609" s="27" t="s">
        <v>8</v>
      </c>
      <c r="BX609" s="27" t="s">
        <v>7</v>
      </c>
      <c r="BY609" s="27" t="s">
        <v>8</v>
      </c>
      <c r="BZ609" s="27" t="s">
        <v>7</v>
      </c>
      <c r="CA609" s="27" t="s">
        <v>8</v>
      </c>
      <c r="CF609" s="27" t="s">
        <v>7</v>
      </c>
      <c r="CI609" s="27" t="s">
        <v>8</v>
      </c>
      <c r="CJ609" s="27" t="s">
        <v>7</v>
      </c>
      <c r="CK609" s="27" t="s">
        <v>8</v>
      </c>
      <c r="CL609" s="27" t="s">
        <v>7</v>
      </c>
      <c r="CM609" s="27" t="s">
        <v>8</v>
      </c>
      <c r="CN609" s="27" t="s">
        <v>7</v>
      </c>
      <c r="CO609" s="27" t="s">
        <v>8</v>
      </c>
      <c r="CQ609" s="27" t="s">
        <v>8</v>
      </c>
      <c r="CR609" s="27" t="s">
        <v>7</v>
      </c>
      <c r="CS609" s="27" t="s">
        <v>8</v>
      </c>
      <c r="CT609" s="27" t="s">
        <v>7</v>
      </c>
      <c r="CU609" s="27" t="s">
        <v>8</v>
      </c>
      <c r="FB609" s="27" t="s">
        <v>7</v>
      </c>
      <c r="FC609" s="27" t="s">
        <v>8</v>
      </c>
      <c r="FD609" s="27" t="s">
        <v>7</v>
      </c>
      <c r="FE609" s="27" t="s">
        <v>8</v>
      </c>
      <c r="FF609" s="27" t="s">
        <v>7</v>
      </c>
      <c r="FG609" s="27" t="s">
        <v>8</v>
      </c>
      <c r="FH609" s="27" t="s">
        <v>7</v>
      </c>
      <c r="FI609" s="27" t="s">
        <v>8</v>
      </c>
      <c r="FJ609" s="27" t="s">
        <v>7</v>
      </c>
      <c r="FK609" s="27" t="s">
        <v>8</v>
      </c>
      <c r="FL609" s="27" t="s">
        <v>7</v>
      </c>
    </row>
    <row r="610" spans="1:176" x14ac:dyDescent="0.25">
      <c r="A610" s="7">
        <v>0.63415591769762181</v>
      </c>
      <c r="B610"/>
      <c r="C610"/>
      <c r="D610"/>
      <c r="E610"/>
      <c r="BJ610" s="27" t="s">
        <v>7</v>
      </c>
      <c r="BK610" s="27" t="s">
        <v>8</v>
      </c>
      <c r="BX610" s="27" t="s">
        <v>7</v>
      </c>
      <c r="BY610" s="27" t="s">
        <v>8</v>
      </c>
      <c r="BZ610" s="27" t="s">
        <v>7</v>
      </c>
      <c r="CA610" s="27" t="s">
        <v>8</v>
      </c>
      <c r="CF610" s="27" t="s">
        <v>7</v>
      </c>
      <c r="CI610" s="27" t="s">
        <v>8</v>
      </c>
      <c r="CJ610" s="27" t="s">
        <v>7</v>
      </c>
      <c r="CK610" s="27" t="s">
        <v>8</v>
      </c>
      <c r="CL610" s="27" t="s">
        <v>7</v>
      </c>
      <c r="CM610" s="27" t="s">
        <v>8</v>
      </c>
      <c r="CN610" s="27" t="s">
        <v>7</v>
      </c>
      <c r="CO610" s="27" t="s">
        <v>8</v>
      </c>
      <c r="CP610" s="27" t="s">
        <v>7</v>
      </c>
      <c r="CQ610" s="27" t="s">
        <v>8</v>
      </c>
      <c r="CR610" s="27" t="s">
        <v>7</v>
      </c>
      <c r="CT610" s="27" t="s">
        <v>7</v>
      </c>
      <c r="CU610" s="27" t="s">
        <v>8</v>
      </c>
      <c r="FB610" s="27" t="s">
        <v>7</v>
      </c>
      <c r="FC610" s="27" t="s">
        <v>8</v>
      </c>
      <c r="FD610" s="27" t="s">
        <v>7</v>
      </c>
      <c r="FE610" s="27" t="s">
        <v>8</v>
      </c>
      <c r="FF610" s="27" t="s">
        <v>7</v>
      </c>
      <c r="FG610" s="27" t="s">
        <v>8</v>
      </c>
      <c r="FH610" s="27" t="s">
        <v>7</v>
      </c>
      <c r="FI610" s="27" t="s">
        <v>8</v>
      </c>
      <c r="FJ610" s="27" t="s">
        <v>7</v>
      </c>
      <c r="FK610" s="27" t="s">
        <v>8</v>
      </c>
      <c r="FL610" s="27" t="s">
        <v>7</v>
      </c>
    </row>
    <row r="611" spans="1:176" x14ac:dyDescent="0.25">
      <c r="A611" s="7">
        <v>0.62172148793884496</v>
      </c>
      <c r="B611"/>
      <c r="C611"/>
      <c r="D611"/>
      <c r="E611"/>
      <c r="BJ611" s="27" t="s">
        <v>7</v>
      </c>
      <c r="BK611" s="27" t="s">
        <v>8</v>
      </c>
      <c r="BX611" s="27" t="s">
        <v>7</v>
      </c>
      <c r="BY611" s="27" t="s">
        <v>8</v>
      </c>
      <c r="BZ611" s="27" t="s">
        <v>7</v>
      </c>
      <c r="CA611" s="27" t="s">
        <v>8</v>
      </c>
      <c r="CF611" s="27" t="s">
        <v>7</v>
      </c>
      <c r="CG611" s="27" t="s">
        <v>8</v>
      </c>
      <c r="CI611" s="27" t="s">
        <v>8</v>
      </c>
      <c r="CJ611" s="27" t="s">
        <v>7</v>
      </c>
      <c r="CK611" s="27" t="s">
        <v>8</v>
      </c>
      <c r="CL611" s="27" t="s">
        <v>7</v>
      </c>
      <c r="CM611" s="27" t="s">
        <v>8</v>
      </c>
      <c r="CN611" s="27" t="s">
        <v>7</v>
      </c>
      <c r="CO611" s="27" t="s">
        <v>8</v>
      </c>
      <c r="CP611" s="27" t="s">
        <v>7</v>
      </c>
      <c r="CQ611" s="27" t="s">
        <v>8</v>
      </c>
      <c r="CT611" s="27" t="s">
        <v>7</v>
      </c>
      <c r="FB611" s="27" t="s">
        <v>7</v>
      </c>
      <c r="FC611" s="27" t="s">
        <v>8</v>
      </c>
      <c r="FD611" s="27" t="s">
        <v>7</v>
      </c>
      <c r="FE611" s="27" t="s">
        <v>8</v>
      </c>
      <c r="FF611" s="27" t="s">
        <v>7</v>
      </c>
      <c r="FG611" s="27" t="s">
        <v>8</v>
      </c>
      <c r="FH611" s="27" t="s">
        <v>7</v>
      </c>
      <c r="FJ611" s="27" t="s">
        <v>7</v>
      </c>
      <c r="FL611" s="27" t="s">
        <v>7</v>
      </c>
    </row>
    <row r="612" spans="1:176" x14ac:dyDescent="0.25">
      <c r="A612" s="7">
        <v>0.60953087052827937</v>
      </c>
      <c r="B612"/>
      <c r="C612"/>
      <c r="D612"/>
      <c r="E612"/>
      <c r="BJ612" s="27" t="s">
        <v>7</v>
      </c>
      <c r="BK612" s="27" t="s">
        <v>8</v>
      </c>
      <c r="BX612" s="27" t="s">
        <v>7</v>
      </c>
      <c r="BY612" s="27" t="s">
        <v>8</v>
      </c>
      <c r="BZ612" s="27" t="s">
        <v>7</v>
      </c>
      <c r="CA612" s="27" t="s">
        <v>8</v>
      </c>
      <c r="CF612" s="27" t="s">
        <v>7</v>
      </c>
      <c r="CG612" s="27" t="s">
        <v>8</v>
      </c>
      <c r="CH612" s="27" t="s">
        <v>7</v>
      </c>
      <c r="CI612" s="27" t="s">
        <v>8</v>
      </c>
      <c r="CJ612" s="27" t="s">
        <v>7</v>
      </c>
      <c r="CK612" s="27" t="s">
        <v>8</v>
      </c>
      <c r="CL612" s="27" t="s">
        <v>7</v>
      </c>
      <c r="CN612" s="27" t="s">
        <v>7</v>
      </c>
      <c r="CP612" s="27" t="s">
        <v>7</v>
      </c>
      <c r="FB612" s="27" t="s">
        <v>7</v>
      </c>
      <c r="FC612" s="27" t="s">
        <v>8</v>
      </c>
      <c r="FD612" s="27" t="s">
        <v>7</v>
      </c>
      <c r="FF612" s="27" t="s">
        <v>7</v>
      </c>
      <c r="FG612" s="27" t="s">
        <v>8</v>
      </c>
      <c r="FL612" s="27" t="s">
        <v>7</v>
      </c>
      <c r="FO612" s="27" t="s">
        <v>8</v>
      </c>
    </row>
    <row r="613" spans="1:176" x14ac:dyDescent="0.25">
      <c r="A613" s="7">
        <v>0.59757928483164646</v>
      </c>
      <c r="B613"/>
      <c r="C613"/>
      <c r="D613"/>
      <c r="E613"/>
      <c r="BJ613" s="27" t="s">
        <v>7</v>
      </c>
      <c r="BK613" s="27" t="s">
        <v>8</v>
      </c>
      <c r="BX613" s="27" t="s">
        <v>7</v>
      </c>
      <c r="BY613" s="27" t="s">
        <v>8</v>
      </c>
      <c r="BZ613" s="27" t="s">
        <v>7</v>
      </c>
      <c r="CF613" s="27" t="s">
        <v>7</v>
      </c>
      <c r="CG613" s="27" t="s">
        <v>8</v>
      </c>
      <c r="CH613" s="27" t="s">
        <v>7</v>
      </c>
      <c r="CI613" s="27" t="s">
        <v>8</v>
      </c>
      <c r="CJ613" s="27" t="s">
        <v>7</v>
      </c>
      <c r="CK613" s="27" t="s">
        <v>8</v>
      </c>
      <c r="FB613" s="27" t="s">
        <v>7</v>
      </c>
      <c r="FF613" s="27" t="s">
        <v>7</v>
      </c>
      <c r="FG613" s="27" t="s">
        <v>8</v>
      </c>
      <c r="FL613" s="27" t="s">
        <v>7</v>
      </c>
      <c r="FO613" s="27" t="s">
        <v>8</v>
      </c>
      <c r="FP613" s="27" t="s">
        <v>7</v>
      </c>
    </row>
    <row r="614" spans="1:176" x14ac:dyDescent="0.25">
      <c r="A614" s="7">
        <v>0.58586204395259456</v>
      </c>
      <c r="B614"/>
      <c r="C614"/>
      <c r="D614"/>
      <c r="E614"/>
      <c r="BJ614" s="27" t="s">
        <v>7</v>
      </c>
      <c r="BK614" s="27" t="s">
        <v>8</v>
      </c>
      <c r="BX614" s="27" t="s">
        <v>7</v>
      </c>
      <c r="BY614" s="27" t="s">
        <v>8</v>
      </c>
      <c r="CF614" s="27" t="s">
        <v>7</v>
      </c>
      <c r="CG614" s="27" t="s">
        <v>8</v>
      </c>
      <c r="CH614" s="27" t="s">
        <v>7</v>
      </c>
      <c r="CI614" s="27" t="s">
        <v>8</v>
      </c>
      <c r="CJ614" s="27" t="s">
        <v>7</v>
      </c>
      <c r="CK614" s="27" t="s">
        <v>8</v>
      </c>
      <c r="FF614" s="27" t="s">
        <v>7</v>
      </c>
      <c r="FG614" s="27" t="s">
        <v>8</v>
      </c>
      <c r="FL614" s="27" t="s">
        <v>7</v>
      </c>
      <c r="FO614" s="27" t="s">
        <v>8</v>
      </c>
      <c r="FP614" s="27" t="s">
        <v>7</v>
      </c>
      <c r="FQ614" s="27" t="s">
        <v>8</v>
      </c>
    </row>
    <row r="615" spans="1:176" x14ac:dyDescent="0.25">
      <c r="A615" s="7">
        <v>0.57437455289470052</v>
      </c>
      <c r="B615"/>
      <c r="C615"/>
      <c r="D615"/>
      <c r="E615"/>
      <c r="BJ615" s="27" t="s">
        <v>7</v>
      </c>
      <c r="BK615" s="27" t="s">
        <v>8</v>
      </c>
      <c r="BX615" s="27" t="s">
        <v>7</v>
      </c>
      <c r="BY615" s="27" t="s">
        <v>8</v>
      </c>
      <c r="CF615" s="27" t="s">
        <v>7</v>
      </c>
      <c r="CH615" s="27" t="s">
        <v>7</v>
      </c>
      <c r="CI615" s="27" t="s">
        <v>8</v>
      </c>
      <c r="CJ615" s="27" t="s">
        <v>7</v>
      </c>
      <c r="CK615" s="27" t="s">
        <v>8</v>
      </c>
      <c r="FF615" s="27" t="s">
        <v>7</v>
      </c>
      <c r="FL615" s="27" t="s">
        <v>7</v>
      </c>
      <c r="FO615" s="27" t="s">
        <v>8</v>
      </c>
      <c r="FP615" s="27" t="s">
        <v>7</v>
      </c>
      <c r="FQ615" s="27" t="s">
        <v>8</v>
      </c>
      <c r="FR615" s="27" t="s">
        <v>7</v>
      </c>
    </row>
    <row r="616" spans="1:176" x14ac:dyDescent="0.25">
      <c r="A616" s="7">
        <v>0.56311230675951029</v>
      </c>
      <c r="B616"/>
      <c r="C616"/>
      <c r="D616"/>
      <c r="E616"/>
      <c r="BJ616" s="27" t="s">
        <v>7</v>
      </c>
      <c r="BK616" s="27" t="s">
        <v>8</v>
      </c>
      <c r="BX616" s="27" t="s">
        <v>7</v>
      </c>
      <c r="BY616" s="27" t="s">
        <v>8</v>
      </c>
      <c r="CH616" s="27" t="s">
        <v>7</v>
      </c>
      <c r="CI616" s="27" t="s">
        <v>8</v>
      </c>
      <c r="CJ616" s="27" t="s">
        <v>7</v>
      </c>
      <c r="CK616" s="27" t="s">
        <v>8</v>
      </c>
      <c r="FL616" s="27" t="s">
        <v>7</v>
      </c>
      <c r="FM616" s="27" t="s">
        <v>8</v>
      </c>
      <c r="FO616" s="27" t="s">
        <v>8</v>
      </c>
      <c r="FP616" s="27" t="s">
        <v>7</v>
      </c>
      <c r="FQ616" s="27" t="s">
        <v>8</v>
      </c>
      <c r="FR616" s="27" t="s">
        <v>7</v>
      </c>
      <c r="FS616" s="27" t="s">
        <v>8</v>
      </c>
    </row>
    <row r="617" spans="1:176" x14ac:dyDescent="0.25">
      <c r="A617" s="7">
        <v>0.55207088897991208</v>
      </c>
      <c r="B617"/>
      <c r="C617"/>
      <c r="D617"/>
      <c r="E617"/>
      <c r="BJ617" s="27" t="s">
        <v>7</v>
      </c>
      <c r="BK617" s="27" t="s">
        <v>8</v>
      </c>
      <c r="BX617" s="27" t="s">
        <v>7</v>
      </c>
      <c r="CH617" s="27" t="s">
        <v>7</v>
      </c>
      <c r="CI617" s="27" t="s">
        <v>8</v>
      </c>
      <c r="CJ617" s="27" t="s">
        <v>7</v>
      </c>
      <c r="CK617" s="27" t="s">
        <v>8</v>
      </c>
      <c r="FL617" s="27" t="s">
        <v>7</v>
      </c>
      <c r="FM617" s="27" t="s">
        <v>8</v>
      </c>
      <c r="FN617" s="27" t="s">
        <v>7</v>
      </c>
      <c r="FO617" s="27" t="s">
        <v>8</v>
      </c>
      <c r="FP617" s="27" t="s">
        <v>7</v>
      </c>
      <c r="FR617" s="27" t="s">
        <v>7</v>
      </c>
      <c r="FS617" s="27" t="s">
        <v>8</v>
      </c>
      <c r="FT617" s="27" t="s">
        <v>7</v>
      </c>
    </row>
    <row r="618" spans="1:176" x14ac:dyDescent="0.25">
      <c r="A618" s="7">
        <v>0.54124596958814908</v>
      </c>
      <c r="B618"/>
      <c r="C618"/>
      <c r="D618"/>
      <c r="E618"/>
      <c r="BJ618" s="27" t="s">
        <v>7</v>
      </c>
      <c r="BK618" s="27" t="s">
        <v>8</v>
      </c>
      <c r="CH618" s="27" t="s">
        <v>7</v>
      </c>
      <c r="CI618" s="27" t="s">
        <v>8</v>
      </c>
      <c r="CJ618" s="27" t="s">
        <v>7</v>
      </c>
      <c r="CK618" s="27" t="s">
        <v>8</v>
      </c>
      <c r="FL618" s="27" t="s">
        <v>7</v>
      </c>
      <c r="FM618" s="27" t="s">
        <v>8</v>
      </c>
      <c r="FN618" s="27" t="s">
        <v>7</v>
      </c>
      <c r="FO618" s="27" t="s">
        <v>8</v>
      </c>
      <c r="FR618" s="27" t="s">
        <v>7</v>
      </c>
      <c r="FS618" s="27" t="s">
        <v>8</v>
      </c>
      <c r="FT618" s="27" t="s">
        <v>7</v>
      </c>
    </row>
    <row r="619" spans="1:176" x14ac:dyDescent="0.25">
      <c r="A619" s="7">
        <v>0.53063330351779314</v>
      </c>
      <c r="B619"/>
      <c r="C619"/>
      <c r="D619"/>
      <c r="E619"/>
      <c r="BJ619" s="27" t="s">
        <v>7</v>
      </c>
      <c r="BK619" s="27" t="s">
        <v>8</v>
      </c>
      <c r="CH619" s="27" t="s">
        <v>7</v>
      </c>
      <c r="CI619" s="27" t="s">
        <v>8</v>
      </c>
      <c r="CJ619" s="27" t="s">
        <v>7</v>
      </c>
      <c r="CK619" s="27" t="s">
        <v>8</v>
      </c>
      <c r="FL619" s="27" t="s">
        <v>7</v>
      </c>
      <c r="FM619" s="27" t="s">
        <v>8</v>
      </c>
      <c r="FN619" s="27" t="s">
        <v>7</v>
      </c>
      <c r="FO619" s="27" t="s">
        <v>8</v>
      </c>
      <c r="FR619" s="27" t="s">
        <v>7</v>
      </c>
      <c r="FT619" s="27" t="s">
        <v>7</v>
      </c>
    </row>
    <row r="620" spans="1:176" x14ac:dyDescent="0.25">
      <c r="A620" s="7">
        <v>0.52022872893901284</v>
      </c>
      <c r="B620"/>
      <c r="C620"/>
      <c r="D620"/>
      <c r="E620"/>
      <c r="BJ620" s="27" t="s">
        <v>7</v>
      </c>
      <c r="BK620" s="27" t="s">
        <v>8</v>
      </c>
      <c r="CH620" s="27" t="s">
        <v>7</v>
      </c>
      <c r="CJ620" s="27" t="s">
        <v>7</v>
      </c>
      <c r="CK620" s="27" t="s">
        <v>8</v>
      </c>
      <c r="FL620" s="27" t="s">
        <v>7</v>
      </c>
      <c r="FN620" s="27" t="s">
        <v>7</v>
      </c>
      <c r="FT620" s="27" t="s">
        <v>7</v>
      </c>
    </row>
    <row r="621" spans="1:176" x14ac:dyDescent="0.25">
      <c r="A621" s="7">
        <v>0.51002816562648323</v>
      </c>
      <c r="B621"/>
      <c r="C621"/>
      <c r="D621"/>
      <c r="E621"/>
      <c r="BJ621" s="27" t="s">
        <v>7</v>
      </c>
      <c r="BK621" s="27" t="s">
        <v>8</v>
      </c>
      <c r="CJ621" s="27" t="s">
        <v>7</v>
      </c>
      <c r="CK621" s="27" t="s">
        <v>8</v>
      </c>
      <c r="FT621" s="27" t="s">
        <v>7</v>
      </c>
    </row>
    <row r="622" spans="1:176" x14ac:dyDescent="0.25">
      <c r="A622" s="7">
        <v>0.50002761335929735</v>
      </c>
      <c r="B622"/>
      <c r="C622"/>
      <c r="D622"/>
      <c r="E622"/>
      <c r="BJ622" s="27" t="s">
        <v>7</v>
      </c>
      <c r="BK622" s="27" t="s">
        <v>8</v>
      </c>
      <c r="CJ622" s="27" t="s">
        <v>7</v>
      </c>
      <c r="CK622" s="27" t="s">
        <v>8</v>
      </c>
      <c r="FT622" s="27" t="s">
        <v>7</v>
      </c>
    </row>
    <row r="623" spans="1:176" x14ac:dyDescent="0.25">
      <c r="A623" s="7">
        <v>0.49022315035225228</v>
      </c>
      <c r="B623"/>
      <c r="C623"/>
      <c r="D623"/>
      <c r="E623"/>
      <c r="BJ623" s="27" t="s">
        <v>7</v>
      </c>
      <c r="BK623" s="27" t="s">
        <v>8</v>
      </c>
      <c r="CJ623" s="27" t="s">
        <v>7</v>
      </c>
      <c r="CK623" s="27" t="s">
        <v>8</v>
      </c>
      <c r="FT623" s="27" t="s">
        <v>7</v>
      </c>
    </row>
    <row r="624" spans="1:176" x14ac:dyDescent="0.25">
      <c r="A624" s="7">
        <v>0.48061093171789437</v>
      </c>
      <c r="B624"/>
      <c r="C624"/>
      <c r="D624"/>
      <c r="E624"/>
      <c r="BJ624" s="27" t="s">
        <v>7</v>
      </c>
      <c r="CJ624" s="27" t="s">
        <v>7</v>
      </c>
      <c r="CK624" s="27" t="s">
        <v>8</v>
      </c>
      <c r="FT624" s="27" t="s">
        <v>7</v>
      </c>
    </row>
    <row r="625" spans="1:180" x14ac:dyDescent="0.25">
      <c r="A625" s="7">
        <v>0.47118718795871994</v>
      </c>
      <c r="B625"/>
      <c r="C625"/>
      <c r="D625"/>
      <c r="E625"/>
      <c r="CJ625" s="27" t="s">
        <v>7</v>
      </c>
      <c r="CK625" s="27" t="s">
        <v>8</v>
      </c>
      <c r="FT625" s="27" t="s">
        <v>7</v>
      </c>
      <c r="FW625" s="27" t="s">
        <v>8</v>
      </c>
    </row>
    <row r="626" spans="1:180" x14ac:dyDescent="0.25">
      <c r="A626" s="7">
        <v>0.46194822348894116</v>
      </c>
      <c r="B626"/>
      <c r="C626"/>
      <c r="D626"/>
      <c r="E626"/>
      <c r="CJ626" s="27" t="s">
        <v>7</v>
      </c>
      <c r="CK626" s="27" t="s">
        <v>8</v>
      </c>
      <c r="FT626" s="27" t="s">
        <v>7</v>
      </c>
      <c r="FW626" s="27" t="s">
        <v>8</v>
      </c>
      <c r="FX626" s="27" t="s">
        <v>7</v>
      </c>
    </row>
    <row r="627" spans="1:180" x14ac:dyDescent="0.25">
      <c r="A627" s="7">
        <v>0.45289041518523643</v>
      </c>
      <c r="B627"/>
      <c r="C627"/>
      <c r="D627"/>
      <c r="E627"/>
      <c r="CJ627" s="27" t="s">
        <v>7</v>
      </c>
      <c r="CK627" s="27" t="s">
        <v>8</v>
      </c>
      <c r="FT627" s="27" t="s">
        <v>7</v>
      </c>
      <c r="FW627" s="27" t="s">
        <v>8</v>
      </c>
      <c r="FX627" s="27" t="s">
        <v>7</v>
      </c>
    </row>
    <row r="628" spans="1:180" x14ac:dyDescent="0.25">
      <c r="A628" s="7">
        <v>0.44401021096591808</v>
      </c>
      <c r="B628"/>
      <c r="C628"/>
      <c r="D628"/>
      <c r="E628"/>
      <c r="CJ628" s="18" t="s">
        <v>7</v>
      </c>
      <c r="CK628" s="27" t="s">
        <v>8</v>
      </c>
      <c r="FT628" s="27" t="s">
        <v>7</v>
      </c>
      <c r="FU628" s="27" t="s">
        <v>8</v>
      </c>
      <c r="FW628" s="27" t="s">
        <v>8</v>
      </c>
      <c r="FX628" s="27" t="s">
        <v>7</v>
      </c>
    </row>
    <row r="629" spans="1:180" x14ac:dyDescent="0.25">
      <c r="A629" s="7">
        <v>0.4353041283979589</v>
      </c>
      <c r="B629"/>
      <c r="C629"/>
      <c r="D629"/>
      <c r="E629"/>
      <c r="CJ629" s="27" t="s">
        <v>7</v>
      </c>
      <c r="FT629" s="27" t="s">
        <v>7</v>
      </c>
      <c r="FU629" s="27" t="s">
        <v>8</v>
      </c>
      <c r="FV629" s="27" t="s">
        <v>7</v>
      </c>
      <c r="FW629" s="27" t="s">
        <v>8</v>
      </c>
      <c r="FX629" s="27" t="s">
        <v>7</v>
      </c>
    </row>
    <row r="630" spans="1:180" x14ac:dyDescent="0.25">
      <c r="A630" s="7">
        <v>0.4267687533313323</v>
      </c>
      <c r="B630"/>
      <c r="C630"/>
      <c r="D630"/>
      <c r="E630"/>
      <c r="FT630" s="27" t="s">
        <v>7</v>
      </c>
      <c r="FU630" s="27" t="s">
        <v>8</v>
      </c>
      <c r="FV630" s="27" t="s">
        <v>7</v>
      </c>
      <c r="FW630" s="27" t="s">
        <v>8</v>
      </c>
      <c r="FX630" s="27" t="s">
        <v>7</v>
      </c>
    </row>
    <row r="631" spans="1:180" x14ac:dyDescent="0.25">
      <c r="A631" s="7">
        <v>0.41840073856012971</v>
      </c>
      <c r="B631"/>
      <c r="C631"/>
      <c r="D631"/>
      <c r="E631"/>
      <c r="FT631" s="27" t="s">
        <v>7</v>
      </c>
      <c r="FU631" s="27" t="s">
        <v>8</v>
      </c>
      <c r="FV631" s="27" t="s">
        <v>7</v>
      </c>
      <c r="FW631" s="27" t="s">
        <v>8</v>
      </c>
    </row>
    <row r="632" spans="1:180" x14ac:dyDescent="0.25">
      <c r="A632" s="7">
        <v>0.41019680250993112</v>
      </c>
      <c r="B632"/>
      <c r="C632"/>
      <c r="D632"/>
      <c r="E632"/>
      <c r="FT632" s="27" t="s">
        <v>7</v>
      </c>
      <c r="FU632" s="27" t="s">
        <v>8</v>
      </c>
      <c r="FV632" s="27" t="s">
        <v>7</v>
      </c>
      <c r="FW632" s="27" t="s">
        <v>8</v>
      </c>
    </row>
    <row r="633" spans="1:180" x14ac:dyDescent="0.25">
      <c r="A633" s="7">
        <v>0.40215372795091286</v>
      </c>
      <c r="B633"/>
      <c r="C633"/>
      <c r="D633"/>
      <c r="E633"/>
      <c r="FT633" s="27" t="s">
        <v>7</v>
      </c>
      <c r="FV633" s="27" t="s">
        <v>7</v>
      </c>
      <c r="FW633" s="27" t="s">
        <v>8</v>
      </c>
    </row>
    <row r="634" spans="1:180" x14ac:dyDescent="0.25">
      <c r="A634" s="7">
        <v>0.39426836073618904</v>
      </c>
      <c r="B634"/>
      <c r="C634"/>
      <c r="D634"/>
      <c r="E634"/>
      <c r="FV634" s="27" t="s">
        <v>7</v>
      </c>
      <c r="FW634" s="27" t="s">
        <v>8</v>
      </c>
    </row>
    <row r="635" spans="1:180" x14ac:dyDescent="0.25">
      <c r="A635" s="7">
        <v>0.38653760856489122</v>
      </c>
      <c r="B635"/>
      <c r="C635"/>
      <c r="D635"/>
      <c r="E635"/>
      <c r="FV635" s="27" t="s">
        <v>7</v>
      </c>
      <c r="FW635" s="27" t="s">
        <v>8</v>
      </c>
    </row>
    <row r="636" spans="1:180" x14ac:dyDescent="0.25">
      <c r="A636" s="7">
        <v>0.37895843976950117</v>
      </c>
      <c r="B636"/>
      <c r="C636"/>
      <c r="D636"/>
      <c r="E636"/>
      <c r="FV636" s="27" t="s">
        <v>7</v>
      </c>
    </row>
    <row r="637" spans="1:180" x14ac:dyDescent="0.25">
      <c r="A637" s="7">
        <v>0.37152788212696197</v>
      </c>
      <c r="B637"/>
      <c r="C637"/>
      <c r="D637"/>
      <c r="E637"/>
    </row>
    <row r="638" spans="1:180" x14ac:dyDescent="0.25">
      <c r="A638" s="7">
        <v>0.36424302169310002</v>
      </c>
      <c r="B638"/>
      <c r="C638"/>
      <c r="D638"/>
      <c r="E638"/>
    </row>
    <row r="639" spans="1:180" x14ac:dyDescent="0.25">
      <c r="A639" s="7">
        <v>0.35710100165990194</v>
      </c>
      <c r="B639"/>
      <c r="C639"/>
      <c r="D639"/>
      <c r="E639"/>
    </row>
    <row r="640" spans="1:180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744" operator="equal">
      <formula>$U$1</formula>
    </cfRule>
    <cfRule type="cellIs" dxfId="89" priority="745" operator="equal">
      <formula>$S$1</formula>
    </cfRule>
  </conditionalFormatting>
  <conditionalFormatting sqref="D27">
    <cfRule type="cellIs" dxfId="88" priority="742" operator="equal">
      <formula>$S$1</formula>
    </cfRule>
    <cfRule type="cellIs" dxfId="87" priority="743" operator="equal">
      <formula>$U$1</formula>
    </cfRule>
  </conditionalFormatting>
  <conditionalFormatting sqref="C164">
    <cfRule type="cellIs" dxfId="86" priority="740" operator="equal">
      <formula>$U$1</formula>
    </cfRule>
    <cfRule type="cellIs" dxfId="85" priority="741" operator="equal">
      <formula>$S$1</formula>
    </cfRule>
  </conditionalFormatting>
  <conditionalFormatting sqref="D164">
    <cfRule type="cellIs" dxfId="84" priority="738" operator="equal">
      <formula>$S$1</formula>
    </cfRule>
    <cfRule type="cellIs" dxfId="83" priority="739" operator="equal">
      <formula>$U$1</formula>
    </cfRule>
  </conditionalFormatting>
  <conditionalFormatting sqref="C55">
    <cfRule type="cellIs" dxfId="82" priority="736" operator="equal">
      <formula>$U$1</formula>
    </cfRule>
    <cfRule type="cellIs" dxfId="81" priority="737" operator="equal">
      <formula>$S$1</formula>
    </cfRule>
  </conditionalFormatting>
  <conditionalFormatting sqref="D55">
    <cfRule type="cellIs" dxfId="80" priority="734" operator="equal">
      <formula>$S$1</formula>
    </cfRule>
    <cfRule type="cellIs" dxfId="79" priority="735" operator="equal">
      <formula>$U$1</formula>
    </cfRule>
  </conditionalFormatting>
  <conditionalFormatting sqref="C89">
    <cfRule type="cellIs" dxfId="78" priority="732" operator="equal">
      <formula>$U$1</formula>
    </cfRule>
    <cfRule type="cellIs" dxfId="77" priority="733" operator="equal">
      <formula>$S$1</formula>
    </cfRule>
  </conditionalFormatting>
  <conditionalFormatting sqref="D89">
    <cfRule type="cellIs" dxfId="76" priority="730" operator="equal">
      <formula>$S$1</formula>
    </cfRule>
    <cfRule type="cellIs" dxfId="75" priority="731" operator="equal">
      <formula>$U$1</formula>
    </cfRule>
  </conditionalFormatting>
  <conditionalFormatting sqref="C136">
    <cfRule type="cellIs" dxfId="74" priority="728" operator="equal">
      <formula>$U$1</formula>
    </cfRule>
    <cfRule type="cellIs" dxfId="73" priority="729" operator="equal">
      <formula>$S$1</formula>
    </cfRule>
  </conditionalFormatting>
  <conditionalFormatting sqref="D136">
    <cfRule type="cellIs" dxfId="72" priority="726" operator="equal">
      <formula>$S$1</formula>
    </cfRule>
    <cfRule type="cellIs" dxfId="71" priority="727" operator="equal">
      <formula>$U$1</formula>
    </cfRule>
  </conditionalFormatting>
  <conditionalFormatting sqref="C1">
    <cfRule type="cellIs" dxfId="70" priority="725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DI255" sqref="DI255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$A$254</v>
      </c>
      <c r="D111" s="1" t="str">
        <f>ADDRESS(C121-1,D121,1,1)</f>
        <v>$DI$254</v>
      </c>
      <c r="E111"/>
    </row>
    <row r="112" spans="1:5" x14ac:dyDescent="0.25">
      <c r="A112" s="30">
        <v>515.50191262726139</v>
      </c>
      <c r="C112" s="1" t="str">
        <f>ADDRESS(C121,1,1,1)</f>
        <v>$A$255</v>
      </c>
      <c r="D112" s="1" t="str">
        <f>ADDRESS(C121,D121-1,1,1)</f>
        <v>$DH$255</v>
      </c>
      <c r="E112"/>
    </row>
    <row r="113" spans="1:5" x14ac:dyDescent="0.25">
      <c r="A113" s="30">
        <v>490.95420250215363</v>
      </c>
      <c r="C113" s="1" t="str">
        <f>ADDRESS(C121+1,1,1,1)</f>
        <v>$A$256</v>
      </c>
      <c r="D113" s="1" t="str">
        <f>ADDRESS(C121-1,D121+1,1,1)</f>
        <v>$DJ$254</v>
      </c>
    </row>
    <row r="114" spans="1:5" x14ac:dyDescent="0.25">
      <c r="A114" s="30">
        <v>467.57543095443202</v>
      </c>
      <c r="C114" s="1" t="str">
        <f>ADDRESS(C121,D121,1,1)</f>
        <v>$DI$255</v>
      </c>
      <c r="D114" s="1" t="str">
        <f>ADDRESS(C121+1,D121+1,1,1)</f>
        <v>$DJ$256</v>
      </c>
    </row>
    <row r="115" spans="1:5" x14ac:dyDescent="0.25">
      <c r="A115" s="30">
        <v>445.30993424231622</v>
      </c>
      <c r="C115" s="1" t="str">
        <f>ADDRESS(C121+1,D121,1,1)</f>
        <v>$DI$256</v>
      </c>
    </row>
    <row r="116" spans="1:5" x14ac:dyDescent="0.25">
      <c r="A116" s="30">
        <v>424.10469927839637</v>
      </c>
      <c r="C116" s="1">
        <f>C117-1</f>
        <v>254</v>
      </c>
    </row>
    <row r="117" spans="1:5" x14ac:dyDescent="0.25">
      <c r="A117" s="30">
        <v>403.9092374079965</v>
      </c>
      <c r="C117" s="1">
        <f>C121</f>
        <v>255</v>
      </c>
      <c r="D117" s="1">
        <f>D121</f>
        <v>113</v>
      </c>
    </row>
    <row r="118" spans="1:5" x14ac:dyDescent="0.25">
      <c r="A118" s="30">
        <v>384.6754641980919</v>
      </c>
      <c r="C118" s="1">
        <f>C117+1</f>
        <v>256</v>
      </c>
      <c r="D118" s="1">
        <f>D117+1</f>
        <v>114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255</v>
      </c>
      <c r="D121" s="19">
        <v>113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R255</v>
      </c>
      <c r="D123" s="1" t="str">
        <f>"C"&amp;D121</f>
        <v>C113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0.48101709809096732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40" x14ac:dyDescent="0.25">
      <c r="A209" s="30">
        <v>4.5380394939082018</v>
      </c>
      <c r="E209"/>
    </row>
    <row r="210" spans="1:40" x14ac:dyDescent="0.25">
      <c r="A210" s="30">
        <v>4.3219423751506678</v>
      </c>
      <c r="C210"/>
      <c r="E210"/>
    </row>
    <row r="211" spans="1:40" x14ac:dyDescent="0.25">
      <c r="A211" s="30">
        <v>4.1161355953815884</v>
      </c>
      <c r="E211"/>
    </row>
    <row r="212" spans="1:40" x14ac:dyDescent="0.25">
      <c r="A212" s="30">
        <v>3.9201291384586554</v>
      </c>
      <c r="E212"/>
      <c r="O212" s="27" t="s">
        <v>8</v>
      </c>
      <c r="Q212" s="27" t="s">
        <v>8</v>
      </c>
      <c r="S212" s="27" t="s">
        <v>8</v>
      </c>
    </row>
    <row r="213" spans="1:40" x14ac:dyDescent="0.25">
      <c r="A213" s="30">
        <v>3.7334563223415764</v>
      </c>
      <c r="E213"/>
      <c r="I213" s="27" t="s">
        <v>8</v>
      </c>
      <c r="O213" s="27" t="s">
        <v>8</v>
      </c>
      <c r="P213" s="27" t="s">
        <v>7</v>
      </c>
      <c r="Q213" s="27" t="s">
        <v>8</v>
      </c>
      <c r="R213" s="27" t="s">
        <v>7</v>
      </c>
      <c r="S213" s="27" t="s">
        <v>8</v>
      </c>
      <c r="T213" s="27" t="s">
        <v>7</v>
      </c>
    </row>
    <row r="214" spans="1:40" x14ac:dyDescent="0.25">
      <c r="A214" s="30">
        <v>3.5556726879443583</v>
      </c>
      <c r="E214"/>
      <c r="I214" s="27" t="s">
        <v>8</v>
      </c>
      <c r="J214" s="27" t="s">
        <v>7</v>
      </c>
      <c r="O214" s="27" t="s">
        <v>8</v>
      </c>
      <c r="P214" s="27" t="s">
        <v>7</v>
      </c>
      <c r="Q214" s="27" t="s">
        <v>8</v>
      </c>
      <c r="R214" s="27" t="s">
        <v>7</v>
      </c>
      <c r="S214" s="27" t="s">
        <v>8</v>
      </c>
      <c r="T214" s="27" t="s">
        <v>7</v>
      </c>
      <c r="U214" s="27" t="s">
        <v>8</v>
      </c>
    </row>
    <row r="215" spans="1:40" x14ac:dyDescent="0.25">
      <c r="A215" s="30">
        <v>3.3863549408993889</v>
      </c>
      <c r="E215"/>
      <c r="I215" s="27" t="s">
        <v>8</v>
      </c>
      <c r="J215" s="27" t="s">
        <v>7</v>
      </c>
      <c r="O215" s="27" t="s">
        <v>8</v>
      </c>
      <c r="P215" s="27" t="s">
        <v>7</v>
      </c>
      <c r="Q215" s="27" t="s">
        <v>8</v>
      </c>
      <c r="R215" s="27" t="s">
        <v>7</v>
      </c>
      <c r="T215" s="27" t="s">
        <v>7</v>
      </c>
      <c r="U215" s="27" t="s">
        <v>8</v>
      </c>
      <c r="V215" s="27" t="s">
        <v>7</v>
      </c>
      <c r="Y215" s="27" t="s">
        <v>8</v>
      </c>
    </row>
    <row r="216" spans="1:40" x14ac:dyDescent="0.25">
      <c r="A216" s="30">
        <v>3.2250999437137038</v>
      </c>
      <c r="E216" t="s">
        <v>8</v>
      </c>
      <c r="I216" s="27" t="s">
        <v>8</v>
      </c>
      <c r="J216" s="27" t="s">
        <v>7</v>
      </c>
      <c r="K216" s="27" t="s">
        <v>8</v>
      </c>
      <c r="M216" s="27" t="s">
        <v>8</v>
      </c>
      <c r="O216" s="27" t="s">
        <v>8</v>
      </c>
      <c r="P216" s="27" t="s">
        <v>7</v>
      </c>
      <c r="Q216" s="27" t="s">
        <v>8</v>
      </c>
      <c r="T216" s="27" t="s">
        <v>7</v>
      </c>
      <c r="U216" s="27" t="s">
        <v>8</v>
      </c>
      <c r="V216" s="27" t="s">
        <v>7</v>
      </c>
      <c r="W216" s="27" t="s">
        <v>8</v>
      </c>
      <c r="Y216" s="27" t="s">
        <v>8</v>
      </c>
      <c r="Z216" s="27" t="s">
        <v>7</v>
      </c>
    </row>
    <row r="217" spans="1:40" x14ac:dyDescent="0.25">
      <c r="A217" s="30">
        <v>3.0715237559178128</v>
      </c>
      <c r="E217" t="s">
        <v>8</v>
      </c>
      <c r="F217" s="27" t="s">
        <v>7</v>
      </c>
      <c r="I217" s="27" t="s">
        <v>8</v>
      </c>
      <c r="J217" s="27" t="s">
        <v>7</v>
      </c>
      <c r="K217" s="27" t="s">
        <v>8</v>
      </c>
      <c r="L217" s="27" t="s">
        <v>7</v>
      </c>
      <c r="M217" s="27" t="s">
        <v>8</v>
      </c>
      <c r="N217" s="27" t="s">
        <v>7</v>
      </c>
      <c r="O217" s="27" t="s">
        <v>8</v>
      </c>
      <c r="P217" s="27" t="s">
        <v>7</v>
      </c>
      <c r="T217" s="27" t="s">
        <v>7</v>
      </c>
      <c r="V217" s="27" t="s">
        <v>7</v>
      </c>
      <c r="W217" s="27" t="s">
        <v>8</v>
      </c>
      <c r="X217" s="27" t="s">
        <v>7</v>
      </c>
      <c r="Y217" s="27" t="s">
        <v>8</v>
      </c>
      <c r="Z217" s="27" t="s">
        <v>7</v>
      </c>
    </row>
    <row r="218" spans="1:40" x14ac:dyDescent="0.25">
      <c r="A218" s="30">
        <v>2.9252607199217264</v>
      </c>
      <c r="E218" t="s">
        <v>8</v>
      </c>
      <c r="F218" s="27" t="s">
        <v>7</v>
      </c>
      <c r="I218" s="27" t="s">
        <v>8</v>
      </c>
      <c r="J218" s="27" t="s">
        <v>7</v>
      </c>
      <c r="K218" s="27" t="s">
        <v>8</v>
      </c>
      <c r="L218" s="27" t="s">
        <v>7</v>
      </c>
      <c r="M218" s="27" t="s">
        <v>8</v>
      </c>
      <c r="N218" s="27" t="s">
        <v>7</v>
      </c>
      <c r="O218" s="27" t="s">
        <v>8</v>
      </c>
      <c r="V218" s="27" t="s">
        <v>7</v>
      </c>
      <c r="W218" s="27" t="s">
        <v>8</v>
      </c>
      <c r="X218" s="27" t="s">
        <v>7</v>
      </c>
      <c r="Y218" s="27" t="s">
        <v>8</v>
      </c>
      <c r="Z218" s="27" t="s">
        <v>7</v>
      </c>
      <c r="AA218" s="27" t="s">
        <v>8</v>
      </c>
    </row>
    <row r="219" spans="1:40" x14ac:dyDescent="0.25">
      <c r="A219" s="30">
        <v>2.7859625904016441</v>
      </c>
      <c r="E219" t="s">
        <v>8</v>
      </c>
      <c r="F219" s="27" t="s">
        <v>7</v>
      </c>
      <c r="I219" s="27" t="s">
        <v>8</v>
      </c>
      <c r="J219" s="27" t="s">
        <v>7</v>
      </c>
      <c r="K219" s="27" t="s">
        <v>8</v>
      </c>
      <c r="L219" s="27" t="s">
        <v>7</v>
      </c>
      <c r="M219" s="27" t="s">
        <v>8</v>
      </c>
      <c r="N219" s="27" t="s">
        <v>7</v>
      </c>
      <c r="V219" s="27" t="s">
        <v>7</v>
      </c>
      <c r="W219" s="27" t="s">
        <v>8</v>
      </c>
      <c r="X219" s="27" t="s">
        <v>7</v>
      </c>
      <c r="Y219" s="27" t="s">
        <v>8</v>
      </c>
      <c r="Z219" s="27" t="s">
        <v>7</v>
      </c>
      <c r="AA219" s="27" t="s">
        <v>8</v>
      </c>
      <c r="AB219" s="27" t="s">
        <v>7</v>
      </c>
    </row>
    <row r="220" spans="1:40" x14ac:dyDescent="0.25">
      <c r="A220" s="30">
        <v>2.6532977051444226</v>
      </c>
      <c r="E220" t="s">
        <v>8</v>
      </c>
      <c r="F220" s="27" t="s">
        <v>7</v>
      </c>
      <c r="I220" s="27" t="s">
        <v>8</v>
      </c>
      <c r="J220" s="27" t="s">
        <v>7</v>
      </c>
      <c r="L220" s="27" t="s">
        <v>7</v>
      </c>
      <c r="M220" s="27" t="s">
        <v>8</v>
      </c>
      <c r="V220" s="27" t="s">
        <v>7</v>
      </c>
      <c r="W220" s="27" t="s">
        <v>8</v>
      </c>
      <c r="X220" s="27" t="s">
        <v>7</v>
      </c>
      <c r="Y220" s="27" t="s">
        <v>8</v>
      </c>
      <c r="Z220" s="27" t="s">
        <v>7</v>
      </c>
      <c r="AA220" s="27" t="s">
        <v>8</v>
      </c>
      <c r="AB220" s="27" t="s">
        <v>7</v>
      </c>
    </row>
    <row r="221" spans="1:40" x14ac:dyDescent="0.25">
      <c r="A221" s="30">
        <v>2.5269501953756404</v>
      </c>
      <c r="E221" t="s">
        <v>8</v>
      </c>
      <c r="F221" s="27" t="s">
        <v>7</v>
      </c>
      <c r="I221" s="27" t="s">
        <v>8</v>
      </c>
      <c r="L221" s="27" t="s">
        <v>7</v>
      </c>
      <c r="M221" s="27" t="s">
        <v>8</v>
      </c>
      <c r="V221" s="27" t="s">
        <v>7</v>
      </c>
      <c r="W221" s="27" t="s">
        <v>8</v>
      </c>
      <c r="X221" s="27" t="s">
        <v>7</v>
      </c>
      <c r="Z221" s="27" t="s">
        <v>7</v>
      </c>
      <c r="AA221" s="27" t="s">
        <v>8</v>
      </c>
      <c r="AB221" s="27" t="s">
        <v>7</v>
      </c>
      <c r="AC221" s="27" t="s">
        <v>8</v>
      </c>
    </row>
    <row r="222" spans="1:40" x14ac:dyDescent="0.25">
      <c r="A222" s="30">
        <v>2.4066192336910861</v>
      </c>
      <c r="E222" t="s">
        <v>8</v>
      </c>
      <c r="F222" s="27" t="s">
        <v>7</v>
      </c>
      <c r="G222" s="27" t="s">
        <v>8</v>
      </c>
      <c r="I222" s="27" t="s">
        <v>8</v>
      </c>
      <c r="L222" s="27" t="s">
        <v>7</v>
      </c>
      <c r="V222" s="27" t="s">
        <v>7</v>
      </c>
      <c r="W222" s="27" t="s">
        <v>8</v>
      </c>
      <c r="Z222" s="27" t="s">
        <v>7</v>
      </c>
      <c r="AA222" s="27" t="s">
        <v>8</v>
      </c>
      <c r="AB222" s="27" t="s">
        <v>7</v>
      </c>
      <c r="AC222" s="27" t="s">
        <v>8</v>
      </c>
      <c r="AD222" s="27" t="s">
        <v>7</v>
      </c>
      <c r="AI222" s="27" t="s">
        <v>8</v>
      </c>
    </row>
    <row r="223" spans="1:40" x14ac:dyDescent="0.25">
      <c r="A223" s="30">
        <v>2.2920183178010345</v>
      </c>
      <c r="E223" t="s">
        <v>8</v>
      </c>
      <c r="F223" s="27" t="s">
        <v>7</v>
      </c>
      <c r="G223" s="27" t="s">
        <v>8</v>
      </c>
      <c r="H223" s="27" t="s">
        <v>7</v>
      </c>
      <c r="I223" s="27" t="s">
        <v>8</v>
      </c>
      <c r="V223" s="27" t="s">
        <v>7</v>
      </c>
      <c r="Z223" s="27" t="s">
        <v>7</v>
      </c>
      <c r="AB223" s="27" t="s">
        <v>7</v>
      </c>
      <c r="AC223" s="27" t="s">
        <v>8</v>
      </c>
      <c r="AD223" s="27" t="s">
        <v>7</v>
      </c>
      <c r="AI223" s="27" t="s">
        <v>8</v>
      </c>
      <c r="AJ223" s="27" t="s">
        <v>7</v>
      </c>
      <c r="AM223" s="27" t="s">
        <v>8</v>
      </c>
    </row>
    <row r="224" spans="1:40" x14ac:dyDescent="0.25">
      <c r="A224" s="30">
        <v>2.1828745883819374</v>
      </c>
      <c r="E224" t="s">
        <v>8</v>
      </c>
      <c r="F224" s="27" t="s">
        <v>7</v>
      </c>
      <c r="G224" s="27" t="s">
        <v>8</v>
      </c>
      <c r="H224" s="27" t="s">
        <v>7</v>
      </c>
      <c r="I224" s="27" t="s">
        <v>8</v>
      </c>
      <c r="AB224" s="27" t="s">
        <v>7</v>
      </c>
      <c r="AD224" s="27" t="s">
        <v>7</v>
      </c>
      <c r="AI224" s="27" t="s">
        <v>8</v>
      </c>
      <c r="AJ224" s="27" t="s">
        <v>7</v>
      </c>
      <c r="AK224" s="27" t="s">
        <v>8</v>
      </c>
      <c r="AM224" s="27" t="s">
        <v>8</v>
      </c>
      <c r="AN224" s="27" t="s">
        <v>7</v>
      </c>
    </row>
    <row r="225" spans="1:102" x14ac:dyDescent="0.25">
      <c r="A225" s="30">
        <v>2.0789281794113688</v>
      </c>
      <c r="E225" t="s">
        <v>8</v>
      </c>
      <c r="F225" s="27" t="s">
        <v>7</v>
      </c>
      <c r="G225" s="27" t="s">
        <v>8</v>
      </c>
      <c r="H225" s="27" t="s">
        <v>7</v>
      </c>
      <c r="I225" s="27" t="s">
        <v>8</v>
      </c>
      <c r="AD225" s="27" t="s">
        <v>7</v>
      </c>
      <c r="AI225" s="27" t="s">
        <v>8</v>
      </c>
      <c r="AJ225" s="27" t="s">
        <v>7</v>
      </c>
      <c r="AK225" s="27" t="s">
        <v>8</v>
      </c>
      <c r="AL225" s="27" t="s">
        <v>7</v>
      </c>
      <c r="AM225" s="27" t="s">
        <v>8</v>
      </c>
      <c r="AN225" s="27" t="s">
        <v>7</v>
      </c>
    </row>
    <row r="226" spans="1:102" x14ac:dyDescent="0.25">
      <c r="A226" s="30">
        <v>1.9799315994393987</v>
      </c>
      <c r="E226" t="s">
        <v>8</v>
      </c>
      <c r="F226" s="27" t="s">
        <v>7</v>
      </c>
      <c r="G226" s="27" t="s">
        <v>8</v>
      </c>
      <c r="H226" s="27" t="s">
        <v>7</v>
      </c>
      <c r="AD226" s="27" t="s">
        <v>7</v>
      </c>
      <c r="AI226" s="27" t="s">
        <v>8</v>
      </c>
      <c r="AJ226" s="27" t="s">
        <v>7</v>
      </c>
      <c r="AK226" s="27" t="s">
        <v>8</v>
      </c>
      <c r="AL226" s="27" t="s">
        <v>7</v>
      </c>
      <c r="AM226" s="27" t="s">
        <v>8</v>
      </c>
      <c r="AN226" s="27" t="s">
        <v>7</v>
      </c>
    </row>
    <row r="227" spans="1:102" x14ac:dyDescent="0.25">
      <c r="A227" s="30">
        <v>1.8856491423232367</v>
      </c>
      <c r="E227" t="s">
        <v>8</v>
      </c>
      <c r="F227" s="27" t="s">
        <v>7</v>
      </c>
      <c r="AD227" s="27" t="s">
        <v>7</v>
      </c>
      <c r="AI227" s="27" t="s">
        <v>8</v>
      </c>
      <c r="AJ227" s="27" t="s">
        <v>7</v>
      </c>
      <c r="AK227" s="27" t="s">
        <v>8</v>
      </c>
      <c r="AL227" s="27" t="s">
        <v>7</v>
      </c>
      <c r="AM227" s="27" t="s">
        <v>8</v>
      </c>
      <c r="AN227" s="27" t="s">
        <v>7</v>
      </c>
    </row>
    <row r="228" spans="1:102" x14ac:dyDescent="0.25">
      <c r="A228" s="30">
        <v>1.7958563260221301</v>
      </c>
      <c r="C228" s="7"/>
      <c r="D228"/>
      <c r="E228" t="s">
        <v>8</v>
      </c>
      <c r="AD228" s="27" t="s">
        <v>7</v>
      </c>
      <c r="AI228" s="27" t="s">
        <v>8</v>
      </c>
      <c r="AJ228" s="27" t="s">
        <v>7</v>
      </c>
      <c r="AL228" s="27" t="s">
        <v>7</v>
      </c>
      <c r="AM228" s="27" t="s">
        <v>8</v>
      </c>
      <c r="AN228" s="27" t="s">
        <v>7</v>
      </c>
      <c r="BC228" s="27" t="s">
        <v>8</v>
      </c>
    </row>
    <row r="229" spans="1:102" x14ac:dyDescent="0.25">
      <c r="A229" s="30">
        <v>1.7103393581163142</v>
      </c>
      <c r="E229" t="s">
        <v>8</v>
      </c>
      <c r="AD229" s="27" t="s">
        <v>7</v>
      </c>
      <c r="AI229" s="27" t="s">
        <v>8</v>
      </c>
      <c r="AL229" s="27" t="s">
        <v>7</v>
      </c>
      <c r="AM229" s="27" t="s">
        <v>8</v>
      </c>
      <c r="AN229" s="27" t="s">
        <v>7</v>
      </c>
      <c r="BC229" s="27" t="s">
        <v>8</v>
      </c>
      <c r="BD229" s="27" t="s">
        <v>7</v>
      </c>
      <c r="BE229" s="27" t="s">
        <v>8</v>
      </c>
      <c r="CE229" s="27" t="s">
        <v>8</v>
      </c>
    </row>
    <row r="230" spans="1:102" x14ac:dyDescent="0.25">
      <c r="A230" s="30">
        <v>1.628894626777442</v>
      </c>
      <c r="E230" t="s">
        <v>8</v>
      </c>
      <c r="AD230" s="27" t="s">
        <v>7</v>
      </c>
      <c r="AI230" s="27" t="s">
        <v>8</v>
      </c>
      <c r="AL230" s="27" t="s">
        <v>7</v>
      </c>
      <c r="AM230" s="27" t="s">
        <v>8</v>
      </c>
      <c r="AN230" s="27" t="s">
        <v>7</v>
      </c>
      <c r="AO230" s="27" t="s">
        <v>8</v>
      </c>
      <c r="BC230" s="27" t="s">
        <v>8</v>
      </c>
      <c r="BD230" s="27" t="s">
        <v>7</v>
      </c>
      <c r="BE230" s="27" t="s">
        <v>8</v>
      </c>
      <c r="BF230" s="27" t="s">
        <v>7</v>
      </c>
      <c r="BY230" s="27" t="s">
        <v>8</v>
      </c>
      <c r="CE230" s="27" t="s">
        <v>8</v>
      </c>
      <c r="CF230" s="27" t="s">
        <v>7</v>
      </c>
    </row>
    <row r="231" spans="1:102" x14ac:dyDescent="0.25">
      <c r="A231" s="30">
        <v>1.5513282159785162</v>
      </c>
      <c r="C231"/>
      <c r="D231"/>
      <c r="E231" t="s">
        <v>8</v>
      </c>
      <c r="AD231" s="27" t="s">
        <v>7</v>
      </c>
      <c r="AE231" s="27" t="s">
        <v>8</v>
      </c>
      <c r="AI231" s="27" t="s">
        <v>8</v>
      </c>
      <c r="AL231" s="27" t="s">
        <v>7</v>
      </c>
      <c r="AN231" s="27" t="s">
        <v>7</v>
      </c>
      <c r="AO231" s="27" t="s">
        <v>8</v>
      </c>
      <c r="AP231" s="27" t="s">
        <v>7</v>
      </c>
      <c r="BC231" s="27" t="s">
        <v>8</v>
      </c>
      <c r="BD231" s="27" t="s">
        <v>7</v>
      </c>
      <c r="BE231" s="27" t="s">
        <v>8</v>
      </c>
      <c r="BF231" s="27" t="s">
        <v>7</v>
      </c>
      <c r="BY231" s="27" t="s">
        <v>8</v>
      </c>
      <c r="BZ231" s="27" t="s">
        <v>7</v>
      </c>
      <c r="CC231" s="27" t="s">
        <v>8</v>
      </c>
      <c r="CE231" s="27" t="s">
        <v>8</v>
      </c>
      <c r="CF231" s="27" t="s">
        <v>7</v>
      </c>
    </row>
    <row r="232" spans="1:102" x14ac:dyDescent="0.25">
      <c r="A232" s="30">
        <v>1.477455443789063</v>
      </c>
      <c r="E232" t="s">
        <v>8</v>
      </c>
      <c r="AD232" s="27" t="s">
        <v>7</v>
      </c>
      <c r="AE232" s="27" t="s">
        <v>8</v>
      </c>
      <c r="AF232" s="27" t="s">
        <v>7</v>
      </c>
      <c r="AI232" s="27" t="s">
        <v>8</v>
      </c>
      <c r="AN232" s="27" t="s">
        <v>7</v>
      </c>
      <c r="AO232" s="27" t="s">
        <v>8</v>
      </c>
      <c r="AP232" s="27" t="s">
        <v>7</v>
      </c>
      <c r="BC232" s="27" t="s">
        <v>8</v>
      </c>
      <c r="BD232" s="27" t="s">
        <v>7</v>
      </c>
      <c r="BE232" s="27" t="s">
        <v>8</v>
      </c>
      <c r="BF232" s="27" t="s">
        <v>7</v>
      </c>
      <c r="BY232" s="27" t="s">
        <v>8</v>
      </c>
      <c r="BZ232" s="27" t="s">
        <v>7</v>
      </c>
      <c r="CC232" s="27" t="s">
        <v>8</v>
      </c>
      <c r="CD232" s="27" t="s">
        <v>7</v>
      </c>
      <c r="CE232" s="27" t="s">
        <v>8</v>
      </c>
      <c r="CF232" s="27" t="s">
        <v>7</v>
      </c>
    </row>
    <row r="233" spans="1:102" x14ac:dyDescent="0.25">
      <c r="A233" s="30">
        <v>1.4071004226562505</v>
      </c>
      <c r="E233" t="s">
        <v>8</v>
      </c>
      <c r="AD233" s="27" t="s">
        <v>7</v>
      </c>
      <c r="AE233" s="27" t="s">
        <v>8</v>
      </c>
      <c r="AF233" s="27" t="s">
        <v>7</v>
      </c>
      <c r="AG233" s="27" t="s">
        <v>8</v>
      </c>
      <c r="AI233" s="27" t="s">
        <v>8</v>
      </c>
      <c r="AN233" s="27" t="s">
        <v>7</v>
      </c>
      <c r="AO233" s="27" t="s">
        <v>8</v>
      </c>
      <c r="AP233" s="27" t="s">
        <v>7</v>
      </c>
      <c r="AQ233" s="27" t="s">
        <v>8</v>
      </c>
      <c r="BC233" s="27" t="s">
        <v>8</v>
      </c>
      <c r="BD233" s="27" t="s">
        <v>7</v>
      </c>
      <c r="BE233" s="27" t="s">
        <v>8</v>
      </c>
      <c r="BF233" s="27" t="s">
        <v>7</v>
      </c>
      <c r="BY233" s="27" t="s">
        <v>8</v>
      </c>
      <c r="BZ233" s="27" t="s">
        <v>7</v>
      </c>
      <c r="CA233" s="27" t="s">
        <v>8</v>
      </c>
      <c r="CC233" s="27" t="s">
        <v>8</v>
      </c>
      <c r="CD233" s="27" t="s">
        <v>7</v>
      </c>
      <c r="CE233" s="27" t="s">
        <v>8</v>
      </c>
      <c r="CF233" s="27" t="s">
        <v>7</v>
      </c>
    </row>
    <row r="234" spans="1:102" x14ac:dyDescent="0.25">
      <c r="A234" s="30">
        <v>1.3400956406250004</v>
      </c>
      <c r="E234" t="s">
        <v>8</v>
      </c>
      <c r="AD234" s="27" t="s">
        <v>7</v>
      </c>
      <c r="AF234" s="27" t="s">
        <v>7</v>
      </c>
      <c r="AG234" s="27" t="s">
        <v>8</v>
      </c>
      <c r="AH234" s="27" t="s">
        <v>7</v>
      </c>
      <c r="AI234" s="27" t="s">
        <v>8</v>
      </c>
      <c r="AN234" s="27" t="s">
        <v>7</v>
      </c>
      <c r="AP234" s="27" t="s">
        <v>7</v>
      </c>
      <c r="AQ234" s="27" t="s">
        <v>8</v>
      </c>
      <c r="AR234" s="27" t="s">
        <v>7</v>
      </c>
      <c r="BA234" s="27" t="s">
        <v>8</v>
      </c>
      <c r="BC234" s="27" t="s">
        <v>8</v>
      </c>
      <c r="BD234" s="27" t="s">
        <v>7</v>
      </c>
      <c r="BE234" s="27" t="s">
        <v>8</v>
      </c>
      <c r="BF234" s="27" t="s">
        <v>7</v>
      </c>
      <c r="BY234" s="27" t="s">
        <v>8</v>
      </c>
      <c r="BZ234" s="27" t="s">
        <v>7</v>
      </c>
      <c r="CA234" s="27" t="s">
        <v>8</v>
      </c>
      <c r="CB234" s="27" t="s">
        <v>7</v>
      </c>
      <c r="CC234" s="27" t="s">
        <v>8</v>
      </c>
      <c r="CD234" s="27" t="s">
        <v>7</v>
      </c>
      <c r="CE234" s="27" t="s">
        <v>8</v>
      </c>
      <c r="CF234" s="27" t="s">
        <v>7</v>
      </c>
      <c r="CG234" s="27" t="s">
        <v>8</v>
      </c>
      <c r="CI234" s="27" t="s">
        <v>8</v>
      </c>
    </row>
    <row r="235" spans="1:102" x14ac:dyDescent="0.25">
      <c r="A235" s="30">
        <v>1.2762815625000004</v>
      </c>
      <c r="C235"/>
      <c r="E235" t="s">
        <v>8</v>
      </c>
      <c r="AF235" s="27" t="s">
        <v>7</v>
      </c>
      <c r="AG235" s="27" t="s">
        <v>8</v>
      </c>
      <c r="AH235" s="27" t="s">
        <v>7</v>
      </c>
      <c r="AI235" s="27" t="s">
        <v>8</v>
      </c>
      <c r="AP235" s="27" t="s">
        <v>7</v>
      </c>
      <c r="AQ235" s="27" t="s">
        <v>8</v>
      </c>
      <c r="AR235" s="27" t="s">
        <v>7</v>
      </c>
      <c r="BA235" s="27" t="s">
        <v>8</v>
      </c>
      <c r="BB235" s="27" t="s">
        <v>7</v>
      </c>
      <c r="BC235" s="27" t="s">
        <v>8</v>
      </c>
      <c r="BD235" s="27" t="s">
        <v>7</v>
      </c>
      <c r="BF235" s="27" t="s">
        <v>7</v>
      </c>
      <c r="BY235" s="27" t="s">
        <v>8</v>
      </c>
      <c r="BZ235" s="27" t="s">
        <v>7</v>
      </c>
      <c r="CA235" s="27" t="s">
        <v>8</v>
      </c>
      <c r="CB235" s="27" t="s">
        <v>7</v>
      </c>
      <c r="CC235" s="27" t="s">
        <v>8</v>
      </c>
      <c r="CD235" s="27" t="s">
        <v>7</v>
      </c>
      <c r="CE235" s="27" t="s">
        <v>8</v>
      </c>
      <c r="CF235" s="27" t="s">
        <v>7</v>
      </c>
      <c r="CG235" s="27" t="s">
        <v>8</v>
      </c>
      <c r="CH235" s="27" t="s">
        <v>7</v>
      </c>
      <c r="CI235" s="27" t="s">
        <v>8</v>
      </c>
      <c r="CJ235" s="27" t="s">
        <v>7</v>
      </c>
    </row>
    <row r="236" spans="1:102" x14ac:dyDescent="0.25">
      <c r="A236" s="30">
        <v>1.2155062500000002</v>
      </c>
      <c r="E236" t="s">
        <v>8</v>
      </c>
      <c r="AF236" s="27" t="s">
        <v>7</v>
      </c>
      <c r="AG236" s="27" t="s">
        <v>8</v>
      </c>
      <c r="AH236" s="27" t="s">
        <v>7</v>
      </c>
      <c r="AP236" s="27" t="s">
        <v>7</v>
      </c>
      <c r="AR236" s="27" t="s">
        <v>7</v>
      </c>
      <c r="BA236" s="27" t="s">
        <v>8</v>
      </c>
      <c r="BB236" s="27" t="s">
        <v>7</v>
      </c>
      <c r="BC236" s="27" t="s">
        <v>8</v>
      </c>
      <c r="BF236" s="27" t="s">
        <v>7</v>
      </c>
      <c r="BG236" s="27" t="s">
        <v>8</v>
      </c>
      <c r="BY236" s="27" t="s">
        <v>8</v>
      </c>
      <c r="BZ236" s="27" t="s">
        <v>7</v>
      </c>
      <c r="CA236" s="27" t="s">
        <v>8</v>
      </c>
      <c r="CB236" s="27" t="s">
        <v>7</v>
      </c>
      <c r="CC236" s="27" t="s">
        <v>8</v>
      </c>
      <c r="CD236" s="27" t="s">
        <v>7</v>
      </c>
      <c r="CE236" s="27" t="s">
        <v>8</v>
      </c>
      <c r="CF236" s="27" t="s">
        <v>7</v>
      </c>
      <c r="CG236" s="27" t="s">
        <v>8</v>
      </c>
      <c r="CH236" s="27" t="s">
        <v>7</v>
      </c>
      <c r="CI236" s="27" t="s">
        <v>8</v>
      </c>
      <c r="CJ236" s="27" t="s">
        <v>7</v>
      </c>
      <c r="CQ236" s="27" t="s">
        <v>8</v>
      </c>
      <c r="CS236" s="27" t="s">
        <v>8</v>
      </c>
    </row>
    <row r="237" spans="1:102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AF237" s="27" t="s">
        <v>7</v>
      </c>
      <c r="AG237" s="27" t="s">
        <v>8</v>
      </c>
      <c r="AR237" s="27" t="s">
        <v>7</v>
      </c>
      <c r="AW237" s="27" t="s">
        <v>8</v>
      </c>
      <c r="AY237" s="27" t="s">
        <v>8</v>
      </c>
      <c r="BA237" s="27" t="s">
        <v>8</v>
      </c>
      <c r="BB237" s="27" t="s">
        <v>7</v>
      </c>
      <c r="BF237" s="27" t="s">
        <v>7</v>
      </c>
      <c r="BG237" s="27" t="s">
        <v>8</v>
      </c>
      <c r="BH237" s="27" t="s">
        <v>7</v>
      </c>
      <c r="BI237" s="27" t="s">
        <v>8</v>
      </c>
      <c r="BY237" s="27" t="s">
        <v>8</v>
      </c>
      <c r="BZ237" s="27" t="s">
        <v>7</v>
      </c>
      <c r="CA237" s="27" t="s">
        <v>8</v>
      </c>
      <c r="CB237" s="27" t="s">
        <v>7</v>
      </c>
      <c r="CC237" s="27" t="s">
        <v>8</v>
      </c>
      <c r="CD237" s="27" t="s">
        <v>7</v>
      </c>
      <c r="CE237" s="27" t="s">
        <v>8</v>
      </c>
      <c r="CF237" s="27" t="s">
        <v>7</v>
      </c>
      <c r="CG237" s="27" t="s">
        <v>8</v>
      </c>
      <c r="CH237" s="27" t="s">
        <v>7</v>
      </c>
      <c r="CJ237" s="27" t="s">
        <v>7</v>
      </c>
      <c r="CM237" s="27" t="s">
        <v>8</v>
      </c>
      <c r="CO237" s="27" t="s">
        <v>8</v>
      </c>
      <c r="CQ237" s="27" t="s">
        <v>8</v>
      </c>
      <c r="CR237" s="27" t="s">
        <v>7</v>
      </c>
      <c r="CS237" s="27" t="s">
        <v>8</v>
      </c>
      <c r="CT237" s="27" t="s">
        <v>7</v>
      </c>
    </row>
    <row r="238" spans="1:102" x14ac:dyDescent="0.25">
      <c r="A238" s="30">
        <v>1.1025</v>
      </c>
      <c r="E238" t="s">
        <v>8</v>
      </c>
      <c r="AF238" s="27" t="s">
        <v>7</v>
      </c>
      <c r="AG238" s="27" t="s">
        <v>8</v>
      </c>
      <c r="AR238" s="27" t="s">
        <v>7</v>
      </c>
      <c r="AW238" s="27" t="s">
        <v>8</v>
      </c>
      <c r="AX238" s="27" t="s">
        <v>7</v>
      </c>
      <c r="AY238" s="27" t="s">
        <v>8</v>
      </c>
      <c r="AZ238" s="27" t="s">
        <v>7</v>
      </c>
      <c r="BA238" s="27" t="s">
        <v>8</v>
      </c>
      <c r="BF238" s="27" t="s">
        <v>7</v>
      </c>
      <c r="BG238" s="27" t="s">
        <v>8</v>
      </c>
      <c r="BH238" s="27" t="s">
        <v>7</v>
      </c>
      <c r="BI238" s="27" t="s">
        <v>8</v>
      </c>
      <c r="BJ238" s="27" t="s">
        <v>7</v>
      </c>
      <c r="BY238" s="27" t="s">
        <v>8</v>
      </c>
      <c r="BZ238" s="27" t="s">
        <v>7</v>
      </c>
      <c r="CB238" s="27" t="s">
        <v>7</v>
      </c>
      <c r="CC238" s="27" t="s">
        <v>8</v>
      </c>
      <c r="CD238" s="27" t="s">
        <v>7</v>
      </c>
      <c r="CE238" s="27" t="s">
        <v>8</v>
      </c>
      <c r="CF238" s="27" t="s">
        <v>7</v>
      </c>
      <c r="CJ238" s="27" t="s">
        <v>7</v>
      </c>
      <c r="CM238" s="27" t="s">
        <v>8</v>
      </c>
      <c r="CN238" s="27" t="s">
        <v>7</v>
      </c>
      <c r="CO238" s="27" t="s">
        <v>8</v>
      </c>
      <c r="CP238" s="27" t="s">
        <v>7</v>
      </c>
      <c r="CQ238" s="27" t="s">
        <v>8</v>
      </c>
      <c r="CR238" s="27" t="s">
        <v>7</v>
      </c>
      <c r="CS238" s="27" t="s">
        <v>8</v>
      </c>
      <c r="CT238" s="27" t="s">
        <v>7</v>
      </c>
      <c r="CU238" s="27" t="s">
        <v>8</v>
      </c>
    </row>
    <row r="239" spans="1:102" x14ac:dyDescent="0.25">
      <c r="A239" s="30">
        <v>1.05</v>
      </c>
      <c r="E239" t="s">
        <v>8</v>
      </c>
      <c r="AF239" s="27" t="s">
        <v>7</v>
      </c>
      <c r="AR239" s="27" t="s">
        <v>7</v>
      </c>
      <c r="AS239" s="27" t="s">
        <v>8</v>
      </c>
      <c r="AW239" s="27" t="s">
        <v>8</v>
      </c>
      <c r="AX239" s="27" t="s">
        <v>7</v>
      </c>
      <c r="AY239" s="27" t="s">
        <v>8</v>
      </c>
      <c r="AZ239" s="27" t="s">
        <v>7</v>
      </c>
      <c r="BA239" s="27" t="s">
        <v>8</v>
      </c>
      <c r="BF239" s="27" t="s">
        <v>7</v>
      </c>
      <c r="BG239" s="27" t="s">
        <v>8</v>
      </c>
      <c r="BH239" s="27" t="s">
        <v>7</v>
      </c>
      <c r="BI239" s="27" t="s">
        <v>8</v>
      </c>
      <c r="BJ239" s="27" t="s">
        <v>7</v>
      </c>
      <c r="BY239" s="27" t="s">
        <v>8</v>
      </c>
      <c r="CB239" s="27" t="s">
        <v>7</v>
      </c>
      <c r="CD239" s="27" t="s">
        <v>7</v>
      </c>
      <c r="CE239" s="27" t="s">
        <v>8</v>
      </c>
      <c r="CJ239" s="27" t="s">
        <v>7</v>
      </c>
      <c r="CM239" s="27" t="s">
        <v>8</v>
      </c>
      <c r="CN239" s="27" t="s">
        <v>7</v>
      </c>
      <c r="CO239" s="27" t="s">
        <v>8</v>
      </c>
      <c r="CP239" s="27" t="s">
        <v>7</v>
      </c>
      <c r="CQ239" s="27" t="s">
        <v>8</v>
      </c>
      <c r="CR239" s="27" t="s">
        <v>7</v>
      </c>
      <c r="CT239" s="27" t="s">
        <v>7</v>
      </c>
      <c r="CU239" s="27" t="s">
        <v>8</v>
      </c>
      <c r="CV239" s="27" t="s">
        <v>7</v>
      </c>
      <c r="CW239" s="27" t="s">
        <v>8</v>
      </c>
    </row>
    <row r="240" spans="1:102" x14ac:dyDescent="0.25">
      <c r="A240" s="30">
        <v>1</v>
      </c>
      <c r="E240" s="29" t="s">
        <v>8</v>
      </c>
      <c r="AR240" s="27" t="s">
        <v>7</v>
      </c>
      <c r="AS240" s="27" t="s">
        <v>8</v>
      </c>
      <c r="AT240" s="27" t="s">
        <v>7</v>
      </c>
      <c r="AW240" s="27" t="s">
        <v>8</v>
      </c>
      <c r="AX240" s="27" t="s">
        <v>7</v>
      </c>
      <c r="AY240" s="27" t="s">
        <v>8</v>
      </c>
      <c r="AZ240" s="27" t="s">
        <v>7</v>
      </c>
      <c r="BA240" s="27" t="s">
        <v>8</v>
      </c>
      <c r="BF240" s="27" t="s">
        <v>7</v>
      </c>
      <c r="BH240" s="27" t="s">
        <v>7</v>
      </c>
      <c r="BI240" s="27" t="s">
        <v>8</v>
      </c>
      <c r="BJ240" s="27" t="s">
        <v>7</v>
      </c>
      <c r="BY240" s="27" t="s">
        <v>8</v>
      </c>
      <c r="CD240" s="27" t="s">
        <v>7</v>
      </c>
      <c r="CE240" s="27" t="s">
        <v>8</v>
      </c>
      <c r="CJ240" s="27" t="s">
        <v>7</v>
      </c>
      <c r="CK240" s="27" t="s">
        <v>8</v>
      </c>
      <c r="CM240" s="27" t="s">
        <v>8</v>
      </c>
      <c r="CN240" s="27" t="s">
        <v>7</v>
      </c>
      <c r="CO240" s="27" t="s">
        <v>8</v>
      </c>
      <c r="CP240" s="27" t="s">
        <v>7</v>
      </c>
      <c r="CT240" s="27" t="s">
        <v>7</v>
      </c>
      <c r="CU240" s="27" t="s">
        <v>8</v>
      </c>
      <c r="CV240" s="27" t="s">
        <v>7</v>
      </c>
      <c r="CW240" s="27" t="s">
        <v>8</v>
      </c>
      <c r="CX240" s="27" t="s">
        <v>7</v>
      </c>
    </row>
    <row r="241" spans="1:113" x14ac:dyDescent="0.25">
      <c r="A241" s="30">
        <v>0.952380952380952</v>
      </c>
      <c r="B241"/>
      <c r="C241"/>
      <c r="D241"/>
      <c r="E241"/>
      <c r="AR241" s="27" t="s">
        <v>7</v>
      </c>
      <c r="AS241" s="27" t="s">
        <v>8</v>
      </c>
      <c r="AT241" s="27" t="s">
        <v>7</v>
      </c>
      <c r="AW241" s="27" t="s">
        <v>8</v>
      </c>
      <c r="AX241" s="27" t="s">
        <v>7</v>
      </c>
      <c r="AY241" s="27" t="s">
        <v>8</v>
      </c>
      <c r="AZ241" s="27" t="s">
        <v>7</v>
      </c>
      <c r="BA241" s="27" t="s">
        <v>8</v>
      </c>
      <c r="BH241" s="27" t="s">
        <v>7</v>
      </c>
      <c r="BI241" s="27" t="s">
        <v>8</v>
      </c>
      <c r="BJ241" s="27" t="s">
        <v>7</v>
      </c>
      <c r="BU241" s="27" t="s">
        <v>8</v>
      </c>
      <c r="BW241" s="27" t="s">
        <v>8</v>
      </c>
      <c r="BY241" s="27" t="s">
        <v>8</v>
      </c>
      <c r="CD241" s="27" t="s">
        <v>7</v>
      </c>
      <c r="CJ241" s="27" t="s">
        <v>7</v>
      </c>
      <c r="CK241" s="27" t="s">
        <v>8</v>
      </c>
      <c r="CL241" s="27" t="s">
        <v>7</v>
      </c>
      <c r="CM241" s="27" t="s">
        <v>8</v>
      </c>
      <c r="CN241" s="27" t="s">
        <v>7</v>
      </c>
      <c r="CO241" s="27" t="s">
        <v>8</v>
      </c>
      <c r="CT241" s="27" t="s">
        <v>7</v>
      </c>
      <c r="CU241" s="27" t="s">
        <v>8</v>
      </c>
      <c r="CV241" s="27" t="s">
        <v>7</v>
      </c>
      <c r="CW241" s="27" t="s">
        <v>8</v>
      </c>
      <c r="CX241" s="27" t="s">
        <v>7</v>
      </c>
    </row>
    <row r="242" spans="1:113" x14ac:dyDescent="0.25">
      <c r="A242" s="30">
        <v>0.90702947845804915</v>
      </c>
      <c r="B242"/>
      <c r="C242"/>
      <c r="D242"/>
      <c r="E242"/>
      <c r="AR242" s="27" t="s">
        <v>7</v>
      </c>
      <c r="AS242" s="27" t="s">
        <v>8</v>
      </c>
      <c r="AT242" s="27" t="s">
        <v>7</v>
      </c>
      <c r="AW242" s="27" t="s">
        <v>8</v>
      </c>
      <c r="AX242" s="27" t="s">
        <v>7</v>
      </c>
      <c r="AY242" s="27" t="s">
        <v>8</v>
      </c>
      <c r="AZ242" s="27" t="s">
        <v>7</v>
      </c>
      <c r="BA242" s="27" t="s">
        <v>8</v>
      </c>
      <c r="BH242" s="27" t="s">
        <v>7</v>
      </c>
      <c r="BJ242" s="27" t="s">
        <v>7</v>
      </c>
      <c r="BU242" s="27" t="s">
        <v>8</v>
      </c>
      <c r="BV242" s="27" t="s">
        <v>7</v>
      </c>
      <c r="BW242" s="27" t="s">
        <v>8</v>
      </c>
      <c r="BX242" s="27" t="s">
        <v>7</v>
      </c>
      <c r="BY242" s="27" t="s">
        <v>8</v>
      </c>
      <c r="CJ242" s="27" t="s">
        <v>7</v>
      </c>
      <c r="CK242" s="27" t="s">
        <v>8</v>
      </c>
      <c r="CL242" s="27" t="s">
        <v>7</v>
      </c>
      <c r="CM242" s="27" t="s">
        <v>8</v>
      </c>
      <c r="CN242" s="27" t="s">
        <v>7</v>
      </c>
      <c r="CO242" s="27" t="s">
        <v>8</v>
      </c>
      <c r="CT242" s="27" t="s">
        <v>7</v>
      </c>
      <c r="CU242" s="27" t="s">
        <v>8</v>
      </c>
      <c r="CV242" s="27" t="s">
        <v>7</v>
      </c>
      <c r="CW242" s="27" t="s">
        <v>8</v>
      </c>
      <c r="CX242" s="27" t="s">
        <v>7</v>
      </c>
    </row>
    <row r="243" spans="1:113" x14ac:dyDescent="0.25">
      <c r="A243" s="30">
        <v>0.86383759853147501</v>
      </c>
      <c r="B243"/>
      <c r="C243"/>
      <c r="D243"/>
      <c r="E243"/>
      <c r="AR243" s="27" t="s">
        <v>7</v>
      </c>
      <c r="AS243" s="27" t="s">
        <v>8</v>
      </c>
      <c r="AT243" s="27" t="s">
        <v>7</v>
      </c>
      <c r="AW243" s="27" t="s">
        <v>8</v>
      </c>
      <c r="AX243" s="27" t="s">
        <v>7</v>
      </c>
      <c r="AY243" s="27" t="s">
        <v>8</v>
      </c>
      <c r="AZ243" s="27" t="s">
        <v>7</v>
      </c>
      <c r="BA243" s="27" t="s">
        <v>8</v>
      </c>
      <c r="BJ243" s="27" t="s">
        <v>7</v>
      </c>
      <c r="BU243" s="27" t="s">
        <v>8</v>
      </c>
      <c r="BV243" s="27" t="s">
        <v>7</v>
      </c>
      <c r="BW243" s="27" t="s">
        <v>8</v>
      </c>
      <c r="BX243" s="27" t="s">
        <v>7</v>
      </c>
      <c r="BY243" s="27" t="s">
        <v>8</v>
      </c>
      <c r="CJ243" s="27" t="s">
        <v>7</v>
      </c>
      <c r="CK243" s="27" t="s">
        <v>8</v>
      </c>
      <c r="CL243" s="27" t="s">
        <v>7</v>
      </c>
      <c r="CM243" s="27" t="s">
        <v>8</v>
      </c>
      <c r="CN243" s="27" t="s">
        <v>7</v>
      </c>
      <c r="CO243" s="27" t="s">
        <v>8</v>
      </c>
      <c r="CT243" s="27" t="s">
        <v>7</v>
      </c>
      <c r="CU243" s="27" t="s">
        <v>8</v>
      </c>
      <c r="CV243" s="27" t="s">
        <v>7</v>
      </c>
      <c r="CX243" s="27" t="s">
        <v>7</v>
      </c>
    </row>
    <row r="244" spans="1:113" x14ac:dyDescent="0.25">
      <c r="A244" s="30">
        <v>0.82270247479188063</v>
      </c>
      <c r="B244"/>
      <c r="C244"/>
      <c r="D244"/>
      <c r="E244"/>
      <c r="AR244" s="27" t="s">
        <v>7</v>
      </c>
      <c r="AS244" s="27" t="s">
        <v>8</v>
      </c>
      <c r="AT244" s="27" t="s">
        <v>7</v>
      </c>
      <c r="AU244" s="27" t="s">
        <v>8</v>
      </c>
      <c r="AW244" s="27" t="s">
        <v>8</v>
      </c>
      <c r="AX244" s="27" t="s">
        <v>7</v>
      </c>
      <c r="AY244" s="27" t="s">
        <v>8</v>
      </c>
      <c r="AZ244" s="27" t="s">
        <v>7</v>
      </c>
      <c r="BA244" s="27" t="s">
        <v>8</v>
      </c>
      <c r="BJ244" s="27" t="s">
        <v>7</v>
      </c>
      <c r="BM244" s="27" t="s">
        <v>8</v>
      </c>
      <c r="BO244" s="27" t="s">
        <v>8</v>
      </c>
      <c r="BU244" s="27" t="s">
        <v>8</v>
      </c>
      <c r="BV244" s="27" t="s">
        <v>7</v>
      </c>
      <c r="BW244" s="27" t="s">
        <v>8</v>
      </c>
      <c r="BX244" s="27" t="s">
        <v>7</v>
      </c>
      <c r="CJ244" s="27" t="s">
        <v>7</v>
      </c>
      <c r="CL244" s="27" t="s">
        <v>7</v>
      </c>
      <c r="CM244" s="27" t="s">
        <v>8</v>
      </c>
      <c r="CN244" s="27" t="s">
        <v>7</v>
      </c>
      <c r="CO244" s="27" t="s">
        <v>8</v>
      </c>
      <c r="CT244" s="27" t="s">
        <v>7</v>
      </c>
      <c r="CX244" s="27" t="s">
        <v>7</v>
      </c>
      <c r="DC244" s="27" t="s">
        <v>8</v>
      </c>
    </row>
    <row r="245" spans="1:113" x14ac:dyDescent="0.25">
      <c r="A245" s="30">
        <v>0.78352616646845741</v>
      </c>
      <c r="B245"/>
      <c r="C245"/>
      <c r="D245"/>
      <c r="E245"/>
      <c r="AR245" s="27" t="s">
        <v>7</v>
      </c>
      <c r="AT245" s="27" t="s">
        <v>7</v>
      </c>
      <c r="AU245" s="27" t="s">
        <v>8</v>
      </c>
      <c r="AV245" s="27" t="s">
        <v>7</v>
      </c>
      <c r="AW245" s="27" t="s">
        <v>8</v>
      </c>
      <c r="AX245" s="27" t="s">
        <v>7</v>
      </c>
      <c r="AZ245" s="27" t="s">
        <v>7</v>
      </c>
      <c r="BJ245" s="27" t="s">
        <v>7</v>
      </c>
      <c r="BK245" s="27" t="s">
        <v>8</v>
      </c>
      <c r="BM245" s="27" t="s">
        <v>8</v>
      </c>
      <c r="BN245" s="27" t="s">
        <v>7</v>
      </c>
      <c r="BO245" s="27" t="s">
        <v>8</v>
      </c>
      <c r="BP245" s="27" t="s">
        <v>7</v>
      </c>
      <c r="BS245" s="27" t="s">
        <v>8</v>
      </c>
      <c r="BU245" s="27" t="s">
        <v>8</v>
      </c>
      <c r="BV245" s="27" t="s">
        <v>7</v>
      </c>
      <c r="CL245" s="27" t="s">
        <v>7</v>
      </c>
      <c r="CN245" s="27" t="s">
        <v>7</v>
      </c>
      <c r="CX245" s="27" t="s">
        <v>7</v>
      </c>
      <c r="CY245" s="27" t="s">
        <v>8</v>
      </c>
      <c r="DC245" s="27" t="s">
        <v>8</v>
      </c>
      <c r="DD245" s="27" t="s">
        <v>7</v>
      </c>
    </row>
    <row r="246" spans="1:113" x14ac:dyDescent="0.25">
      <c r="A246" s="30">
        <v>0.74621539663662584</v>
      </c>
      <c r="B246"/>
      <c r="C246"/>
      <c r="D246"/>
      <c r="E246"/>
      <c r="AT246" s="27" t="s">
        <v>7</v>
      </c>
      <c r="AU246" s="27" t="s">
        <v>8</v>
      </c>
      <c r="AV246" s="27" t="s">
        <v>7</v>
      </c>
      <c r="AW246" s="27" t="s">
        <v>8</v>
      </c>
      <c r="BJ246" s="27" t="s">
        <v>7</v>
      </c>
      <c r="BK246" s="27" t="s">
        <v>8</v>
      </c>
      <c r="BL246" s="27" t="s">
        <v>7</v>
      </c>
      <c r="BM246" s="27" t="s">
        <v>8</v>
      </c>
      <c r="BN246" s="27" t="s">
        <v>7</v>
      </c>
      <c r="BO246" s="27" t="s">
        <v>8</v>
      </c>
      <c r="BP246" s="27" t="s">
        <v>7</v>
      </c>
      <c r="BS246" s="27" t="s">
        <v>8</v>
      </c>
      <c r="BT246" s="27" t="s">
        <v>7</v>
      </c>
      <c r="BU246" s="27" t="s">
        <v>8</v>
      </c>
      <c r="CX246" s="27" t="s">
        <v>7</v>
      </c>
      <c r="CY246" s="27" t="s">
        <v>8</v>
      </c>
      <c r="CZ246" s="27" t="s">
        <v>7</v>
      </c>
      <c r="DC246" s="27" t="s">
        <v>8</v>
      </c>
      <c r="DD246" s="27" t="s">
        <v>7</v>
      </c>
      <c r="DE246" s="27" t="s">
        <v>8</v>
      </c>
    </row>
    <row r="247" spans="1:113" x14ac:dyDescent="0.25">
      <c r="A247" s="30">
        <v>0.71068133013011958</v>
      </c>
      <c r="B247"/>
      <c r="C247"/>
      <c r="D247"/>
      <c r="E247"/>
      <c r="AT247" s="27" t="s">
        <v>7</v>
      </c>
      <c r="AV247" s="27" t="s">
        <v>7</v>
      </c>
      <c r="AW247" s="27" t="s">
        <v>8</v>
      </c>
      <c r="BJ247" s="27" t="s">
        <v>7</v>
      </c>
      <c r="BK247" s="27" t="s">
        <v>8</v>
      </c>
      <c r="BL247" s="27" t="s">
        <v>7</v>
      </c>
      <c r="BM247" s="27" t="s">
        <v>8</v>
      </c>
      <c r="BN247" s="27" t="s">
        <v>7</v>
      </c>
      <c r="BP247" s="27" t="s">
        <v>7</v>
      </c>
      <c r="BS247" s="27" t="s">
        <v>8</v>
      </c>
      <c r="BT247" s="27" t="s">
        <v>7</v>
      </c>
      <c r="BU247" s="27" t="s">
        <v>8</v>
      </c>
      <c r="CX247" s="27" t="s">
        <v>7</v>
      </c>
      <c r="CY247" s="27" t="s">
        <v>8</v>
      </c>
      <c r="CZ247" s="27" t="s">
        <v>7</v>
      </c>
      <c r="DA247" s="27" t="s">
        <v>8</v>
      </c>
      <c r="DC247" s="27" t="s">
        <v>8</v>
      </c>
      <c r="DD247" s="27" t="s">
        <v>7</v>
      </c>
      <c r="DE247" s="27" t="s">
        <v>8</v>
      </c>
      <c r="DF247" s="27" t="s">
        <v>7</v>
      </c>
    </row>
    <row r="248" spans="1:113" x14ac:dyDescent="0.25">
      <c r="A248" s="30">
        <v>0.676839362028685</v>
      </c>
      <c r="B248"/>
      <c r="C248"/>
      <c r="D248"/>
      <c r="E248"/>
      <c r="AV248" s="27" t="s">
        <v>7</v>
      </c>
      <c r="AW248" s="27" t="s">
        <v>8</v>
      </c>
      <c r="BJ248" s="27" t="s">
        <v>7</v>
      </c>
      <c r="BK248" s="27" t="s">
        <v>8</v>
      </c>
      <c r="BL248" s="27" t="s">
        <v>7</v>
      </c>
      <c r="BM248" s="27" t="s">
        <v>8</v>
      </c>
      <c r="BP248" s="27" t="s">
        <v>7</v>
      </c>
      <c r="BQ248" s="27" t="s">
        <v>8</v>
      </c>
      <c r="BS248" s="27" t="s">
        <v>8</v>
      </c>
      <c r="BT248" s="27" t="s">
        <v>7</v>
      </c>
      <c r="BU248" s="27" t="s">
        <v>8</v>
      </c>
      <c r="CX248" s="27" t="s">
        <v>7</v>
      </c>
      <c r="CZ248" s="27" t="s">
        <v>7</v>
      </c>
      <c r="DA248" s="27" t="s">
        <v>8</v>
      </c>
      <c r="DB248" s="27" t="s">
        <v>7</v>
      </c>
      <c r="DC248" s="27" t="s">
        <v>8</v>
      </c>
      <c r="DD248" s="27" t="s">
        <v>7</v>
      </c>
      <c r="DE248" s="27" t="s">
        <v>8</v>
      </c>
      <c r="DF248" s="27" t="s">
        <v>7</v>
      </c>
    </row>
    <row r="249" spans="1:113" x14ac:dyDescent="0.25">
      <c r="A249" s="30">
        <v>0.64460891621779492</v>
      </c>
      <c r="B249"/>
      <c r="C249"/>
      <c r="D249"/>
      <c r="E249"/>
      <c r="AV249" s="27" t="s">
        <v>7</v>
      </c>
      <c r="AW249" s="27" t="s">
        <v>8</v>
      </c>
      <c r="BJ249" s="27" t="s">
        <v>7</v>
      </c>
      <c r="BK249" s="27" t="s">
        <v>8</v>
      </c>
      <c r="BL249" s="27" t="s">
        <v>7</v>
      </c>
      <c r="BM249" s="27" t="s">
        <v>8</v>
      </c>
      <c r="BP249" s="27" t="s">
        <v>7</v>
      </c>
      <c r="BQ249" s="27" t="s">
        <v>8</v>
      </c>
      <c r="BR249" s="27" t="s">
        <v>7</v>
      </c>
      <c r="BS249" s="27" t="s">
        <v>8</v>
      </c>
      <c r="BT249" s="27" t="s">
        <v>7</v>
      </c>
      <c r="BU249" s="27" t="s">
        <v>8</v>
      </c>
      <c r="CZ249" s="27" t="s">
        <v>7</v>
      </c>
      <c r="DA249" s="27" t="s">
        <v>8</v>
      </c>
      <c r="DB249" s="27" t="s">
        <v>7</v>
      </c>
      <c r="DC249" s="27" t="s">
        <v>8</v>
      </c>
      <c r="DD249" s="27" t="s">
        <v>7</v>
      </c>
      <c r="DE249" s="27" t="s">
        <v>8</v>
      </c>
      <c r="DF249" s="27" t="s">
        <v>7</v>
      </c>
    </row>
    <row r="250" spans="1:113" x14ac:dyDescent="0.25">
      <c r="A250" s="30">
        <v>0.61391325354075688</v>
      </c>
      <c r="B250"/>
      <c r="C250"/>
      <c r="D250"/>
      <c r="E250"/>
      <c r="AV250" s="27" t="s">
        <v>7</v>
      </c>
      <c r="AW250" s="27" t="s">
        <v>8</v>
      </c>
      <c r="BJ250" s="27" t="s">
        <v>7</v>
      </c>
      <c r="BK250" s="27" t="s">
        <v>8</v>
      </c>
      <c r="BL250" s="27" t="s">
        <v>7</v>
      </c>
      <c r="BP250" s="27" t="s">
        <v>7</v>
      </c>
      <c r="BQ250" s="27" t="s">
        <v>8</v>
      </c>
      <c r="BR250" s="27" t="s">
        <v>7</v>
      </c>
      <c r="BS250" s="27" t="s">
        <v>8</v>
      </c>
      <c r="BT250" s="27" t="s">
        <v>7</v>
      </c>
      <c r="CZ250" s="27" t="s">
        <v>7</v>
      </c>
      <c r="DB250" s="27" t="s">
        <v>7</v>
      </c>
      <c r="DC250" s="27" t="s">
        <v>8</v>
      </c>
      <c r="DD250" s="27" t="s">
        <v>7</v>
      </c>
      <c r="DF250" s="27" t="s">
        <v>7</v>
      </c>
      <c r="DG250" s="27" t="s">
        <v>8</v>
      </c>
    </row>
    <row r="251" spans="1:113" x14ac:dyDescent="0.25">
      <c r="A251" s="30">
        <v>0.58467928908643485</v>
      </c>
      <c r="B251"/>
      <c r="C251"/>
      <c r="D251"/>
      <c r="E251"/>
      <c r="AV251" s="27" t="s">
        <v>7</v>
      </c>
      <c r="AW251" s="27" t="s">
        <v>8</v>
      </c>
      <c r="BJ251" s="27" t="s">
        <v>7</v>
      </c>
      <c r="BK251" s="27" t="s">
        <v>8</v>
      </c>
      <c r="BP251" s="27" t="s">
        <v>7</v>
      </c>
      <c r="BQ251" s="27" t="s">
        <v>8</v>
      </c>
      <c r="BR251" s="27" t="s">
        <v>7</v>
      </c>
      <c r="BS251" s="27" t="s">
        <v>8</v>
      </c>
      <c r="DB251" s="27" t="s">
        <v>7</v>
      </c>
      <c r="DF251" s="27" t="s">
        <v>7</v>
      </c>
      <c r="DG251" s="27" t="s">
        <v>8</v>
      </c>
      <c r="DH251" s="27" t="s">
        <v>7</v>
      </c>
    </row>
    <row r="252" spans="1:113" x14ac:dyDescent="0.25">
      <c r="A252" s="30">
        <v>0.55683741817755672</v>
      </c>
      <c r="B252"/>
      <c r="C252"/>
      <c r="D252"/>
      <c r="E252"/>
      <c r="AV252" s="27" t="s">
        <v>7</v>
      </c>
      <c r="AW252" s="27" t="s">
        <v>8</v>
      </c>
      <c r="BJ252" s="27" t="s">
        <v>7</v>
      </c>
      <c r="BP252" s="27" t="s">
        <v>7</v>
      </c>
      <c r="BQ252" s="27" t="s">
        <v>8</v>
      </c>
      <c r="BR252" s="27" t="s">
        <v>7</v>
      </c>
      <c r="BS252" s="27" t="s">
        <v>8</v>
      </c>
      <c r="DF252" s="27" t="s">
        <v>7</v>
      </c>
      <c r="DG252" s="27" t="s">
        <v>8</v>
      </c>
      <c r="DH252" s="27" t="s">
        <v>7</v>
      </c>
    </row>
    <row r="253" spans="1:113" x14ac:dyDescent="0.25">
      <c r="A253" s="30">
        <v>0.53032135064529184</v>
      </c>
      <c r="B253"/>
      <c r="C253"/>
      <c r="D253"/>
      <c r="E253"/>
      <c r="AV253" s="27" t="s">
        <v>7</v>
      </c>
      <c r="AW253" s="27" t="s">
        <v>8</v>
      </c>
      <c r="BP253" s="27" t="s">
        <v>7</v>
      </c>
      <c r="BR253" s="27" t="s">
        <v>7</v>
      </c>
      <c r="BS253" s="27" t="s">
        <v>8</v>
      </c>
      <c r="DF253" s="27" t="s">
        <v>7</v>
      </c>
      <c r="DH253" s="27" t="s">
        <v>7</v>
      </c>
    </row>
    <row r="254" spans="1:113" x14ac:dyDescent="0.25">
      <c r="A254" s="30">
        <v>0.50506795299551588</v>
      </c>
      <c r="B254"/>
      <c r="C254"/>
      <c r="D254"/>
      <c r="E254"/>
      <c r="AV254" s="27" t="s">
        <v>7</v>
      </c>
      <c r="AW254" s="27" t="s">
        <v>8</v>
      </c>
      <c r="BR254" s="27" t="s">
        <v>7</v>
      </c>
      <c r="BS254" s="27" t="s">
        <v>8</v>
      </c>
      <c r="DH254" s="27" t="s">
        <v>7</v>
      </c>
    </row>
    <row r="255" spans="1:113" x14ac:dyDescent="0.25">
      <c r="A255" s="30">
        <v>0.48101709809096732</v>
      </c>
      <c r="E255"/>
      <c r="AV255" s="27" t="s">
        <v>7</v>
      </c>
      <c r="BR255" s="27" t="s">
        <v>7</v>
      </c>
      <c r="BS255" s="27" t="s">
        <v>8</v>
      </c>
      <c r="DH255" s="27" t="s">
        <v>7</v>
      </c>
      <c r="DI255" s="27" t="s">
        <v>8</v>
      </c>
    </row>
    <row r="256" spans="1:113" x14ac:dyDescent="0.25">
      <c r="A256" s="30">
        <v>0.45811152199139726</v>
      </c>
      <c r="E256"/>
      <c r="BR256" s="18" t="s">
        <v>7</v>
      </c>
      <c r="BS256" s="27" t="s">
        <v>8</v>
      </c>
      <c r="DH256" s="27" t="s">
        <v>7</v>
      </c>
      <c r="DI256" s="27" t="s">
        <v>8</v>
      </c>
    </row>
    <row r="257" spans="1:113" x14ac:dyDescent="0.25">
      <c r="A257" s="30">
        <v>0.43629668761085438</v>
      </c>
      <c r="B257"/>
      <c r="C257"/>
      <c r="D257"/>
      <c r="E257"/>
      <c r="BR257" s="27" t="s">
        <v>7</v>
      </c>
      <c r="DH257" s="27" t="s">
        <v>7</v>
      </c>
      <c r="DI257" s="27" t="s">
        <v>8</v>
      </c>
    </row>
    <row r="258" spans="1:113" x14ac:dyDescent="0.25">
      <c r="A258" s="30">
        <v>0.41552065486748019</v>
      </c>
      <c r="B258"/>
      <c r="C258"/>
      <c r="D258"/>
      <c r="E258"/>
      <c r="DH258" s="27" t="s">
        <v>7</v>
      </c>
      <c r="DI258" s="27" t="s">
        <v>8</v>
      </c>
    </row>
    <row r="259" spans="1:113" x14ac:dyDescent="0.25">
      <c r="A259" s="30">
        <v>0.39573395701664765</v>
      </c>
      <c r="B259"/>
      <c r="C259"/>
      <c r="D259"/>
      <c r="E259"/>
      <c r="DH259" s="27" t="s">
        <v>7</v>
      </c>
      <c r="DI259" s="27" t="s">
        <v>8</v>
      </c>
    </row>
    <row r="260" spans="1:113" x14ac:dyDescent="0.25">
      <c r="A260" s="30">
        <v>0.37688948287299762</v>
      </c>
      <c r="B260"/>
      <c r="C260"/>
      <c r="D260"/>
      <c r="E260"/>
      <c r="DH260" s="27" t="s">
        <v>7</v>
      </c>
    </row>
    <row r="261" spans="1:113" x14ac:dyDescent="0.25">
      <c r="A261" s="30">
        <v>0.35894236464094997</v>
      </c>
      <c r="B261"/>
      <c r="C261"/>
      <c r="D261"/>
      <c r="E261"/>
    </row>
    <row r="262" spans="1:113" x14ac:dyDescent="0.25">
      <c r="A262" s="30">
        <v>0.34184987108661891</v>
      </c>
      <c r="B262"/>
      <c r="C262"/>
      <c r="D262"/>
      <c r="E262"/>
    </row>
    <row r="263" spans="1:113" x14ac:dyDescent="0.25">
      <c r="A263" s="30">
        <v>0.32557130579677979</v>
      </c>
      <c r="B263"/>
      <c r="C263"/>
      <c r="D263"/>
      <c r="E263"/>
    </row>
    <row r="264" spans="1:113" x14ac:dyDescent="0.25">
      <c r="A264" s="30">
        <v>0.3100679102826473</v>
      </c>
      <c r="B264"/>
      <c r="C264"/>
      <c r="D264"/>
      <c r="E264"/>
    </row>
    <row r="265" spans="1:113" x14ac:dyDescent="0.25">
      <c r="A265" s="30">
        <v>0.2953027716977592</v>
      </c>
      <c r="B265"/>
      <c r="C265"/>
      <c r="D265"/>
      <c r="E265"/>
    </row>
    <row r="266" spans="1:113" x14ac:dyDescent="0.25">
      <c r="A266" s="30">
        <v>0.28124073495024676</v>
      </c>
      <c r="B266"/>
      <c r="C266"/>
      <c r="D266"/>
      <c r="E266"/>
    </row>
    <row r="267" spans="1:113" x14ac:dyDescent="0.25">
      <c r="A267" s="30">
        <v>0.26784831900023492</v>
      </c>
      <c r="B267"/>
      <c r="C267"/>
      <c r="D267"/>
      <c r="E267"/>
    </row>
    <row r="268" spans="1:113" x14ac:dyDescent="0.25">
      <c r="A268" s="30">
        <v>0.25509363714308075</v>
      </c>
      <c r="B268"/>
      <c r="C268"/>
      <c r="D268"/>
      <c r="E268"/>
    </row>
    <row r="269" spans="1:113" x14ac:dyDescent="0.25">
      <c r="A269" s="30">
        <v>0.24294632108864825</v>
      </c>
      <c r="B269"/>
      <c r="C269"/>
      <c r="D269"/>
      <c r="E269"/>
    </row>
    <row r="270" spans="1:113" x14ac:dyDescent="0.25">
      <c r="A270" s="30">
        <v>0.23137744865585538</v>
      </c>
      <c r="B270"/>
      <c r="C270"/>
      <c r="D270"/>
      <c r="E270"/>
    </row>
    <row r="271" spans="1:113" x14ac:dyDescent="0.25">
      <c r="A271" s="30">
        <v>0.22035947491033836</v>
      </c>
      <c r="B271"/>
      <c r="C271"/>
      <c r="D271"/>
      <c r="E271"/>
    </row>
    <row r="272" spans="1:113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759" operator="equal">
      <formula>$U$1</formula>
    </cfRule>
    <cfRule type="cellIs" dxfId="67" priority="760" operator="equal">
      <formula>$S$1</formula>
    </cfRule>
  </conditionalFormatting>
  <conditionalFormatting sqref="D136">
    <cfRule type="cellIs" dxfId="66" priority="757" operator="equal">
      <formula>$S$1</formula>
    </cfRule>
    <cfRule type="cellIs" dxfId="65" priority="758" operator="equal">
      <formula>$U$1</formula>
    </cfRule>
  </conditionalFormatting>
  <conditionalFormatting sqref="C162">
    <cfRule type="cellIs" dxfId="64" priority="755" operator="equal">
      <formula>$U$1</formula>
    </cfRule>
    <cfRule type="cellIs" dxfId="63" priority="756" operator="equal">
      <formula>$S$1</formula>
    </cfRule>
  </conditionalFormatting>
  <conditionalFormatting sqref="D162">
    <cfRule type="cellIs" dxfId="62" priority="753" operator="equal">
      <formula>$S$1</formula>
    </cfRule>
    <cfRule type="cellIs" dxfId="61" priority="754" operator="equal">
      <formula>$U$1</formula>
    </cfRule>
  </conditionalFormatting>
  <conditionalFormatting sqref="C187">
    <cfRule type="cellIs" dxfId="60" priority="751" operator="equal">
      <formula>$U$1</formula>
    </cfRule>
    <cfRule type="cellIs" dxfId="59" priority="752" operator="equal">
      <formula>$S$1</formula>
    </cfRule>
  </conditionalFormatting>
  <conditionalFormatting sqref="D187">
    <cfRule type="cellIs" dxfId="58" priority="749" operator="equal">
      <formula>$S$1</formula>
    </cfRule>
    <cfRule type="cellIs" dxfId="57" priority="750" operator="equal">
      <formula>$U$1</formula>
    </cfRule>
  </conditionalFormatting>
  <conditionalFormatting sqref="C212">
    <cfRule type="cellIs" dxfId="56" priority="747" operator="equal">
      <formula>$U$1</formula>
    </cfRule>
    <cfRule type="cellIs" dxfId="55" priority="748" operator="equal">
      <formula>$S$1</formula>
    </cfRule>
  </conditionalFormatting>
  <conditionalFormatting sqref="D212">
    <cfRule type="cellIs" dxfId="54" priority="745" operator="equal">
      <formula>$S$1</formula>
    </cfRule>
    <cfRule type="cellIs" dxfId="53" priority="746" operator="equal">
      <formula>$U$1</formula>
    </cfRule>
  </conditionalFormatting>
  <conditionalFormatting sqref="C237">
    <cfRule type="cellIs" dxfId="52" priority="743" operator="equal">
      <formula>$U$1</formula>
    </cfRule>
    <cfRule type="cellIs" dxfId="51" priority="744" operator="equal">
      <formula>$S$1</formula>
    </cfRule>
  </conditionalFormatting>
  <conditionalFormatting sqref="D237">
    <cfRule type="cellIs" dxfId="50" priority="741" operator="equal">
      <formula>$S$1</formula>
    </cfRule>
    <cfRule type="cellIs" dxfId="49" priority="742" operator="equal">
      <formula>$U$1</formula>
    </cfRule>
  </conditionalFormatting>
  <conditionalFormatting sqref="C106">
    <cfRule type="cellIs" dxfId="48" priority="739" operator="equal">
      <formula>$U$1</formula>
    </cfRule>
    <cfRule type="cellIs" dxfId="47" priority="740" operator="equal">
      <formula>$S$1</formula>
    </cfRule>
  </conditionalFormatting>
  <conditionalFormatting sqref="D106">
    <cfRule type="cellIs" dxfId="46" priority="737" operator="equal">
      <formula>$S$1</formula>
    </cfRule>
    <cfRule type="cellIs" dxfId="45" priority="738" operator="equal">
      <formula>$U$1</formula>
    </cfRule>
  </conditionalFormatting>
  <conditionalFormatting sqref="C81">
    <cfRule type="cellIs" dxfId="44" priority="735" operator="equal">
      <formula>$U$1</formula>
    </cfRule>
    <cfRule type="cellIs" dxfId="43" priority="736" operator="equal">
      <formula>$S$1</formula>
    </cfRule>
  </conditionalFormatting>
  <conditionalFormatting sqref="D81">
    <cfRule type="cellIs" dxfId="42" priority="733" operator="equal">
      <formula>$S$1</formula>
    </cfRule>
    <cfRule type="cellIs" dxfId="41" priority="734" operator="equal">
      <formula>$U$1</formula>
    </cfRule>
  </conditionalFormatting>
  <conditionalFormatting sqref="C56">
    <cfRule type="cellIs" dxfId="40" priority="731" operator="equal">
      <formula>$U$1</formula>
    </cfRule>
    <cfRule type="cellIs" dxfId="39" priority="732" operator="equal">
      <formula>$S$1</formula>
    </cfRule>
  </conditionalFormatting>
  <conditionalFormatting sqref="D56">
    <cfRule type="cellIs" dxfId="38" priority="729" operator="equal">
      <formula>$S$1</formula>
    </cfRule>
    <cfRule type="cellIs" dxfId="37" priority="730" operator="equal">
      <formula>$U$1</formula>
    </cfRule>
  </conditionalFormatting>
  <conditionalFormatting sqref="C31">
    <cfRule type="cellIs" dxfId="36" priority="727" operator="equal">
      <formula>$U$1</formula>
    </cfRule>
    <cfRule type="cellIs" dxfId="35" priority="728" operator="equal">
      <formula>$S$1</formula>
    </cfRule>
  </conditionalFormatting>
  <conditionalFormatting sqref="D31">
    <cfRule type="cellIs" dxfId="34" priority="725" operator="equal">
      <formula>$S$1</formula>
    </cfRule>
    <cfRule type="cellIs" dxfId="33" priority="726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P131" sqref="AP131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15" x14ac:dyDescent="0.25">
      <c r="A97" s="30">
        <v>9.849732675807628</v>
      </c>
      <c r="E97"/>
    </row>
    <row r="98" spans="1:15" x14ac:dyDescent="0.25">
      <c r="A98" s="30">
        <v>8.9543024325523888</v>
      </c>
      <c r="C98" s="1" t="s">
        <v>13</v>
      </c>
      <c r="E98"/>
    </row>
    <row r="99" spans="1:15" x14ac:dyDescent="0.25">
      <c r="A99" s="30">
        <v>8.140274938683989</v>
      </c>
      <c r="C99" s="1">
        <f>C88</f>
        <v>0</v>
      </c>
      <c r="E99"/>
    </row>
    <row r="100" spans="1:15" x14ac:dyDescent="0.25">
      <c r="A100" s="30">
        <v>7.4002499442581717</v>
      </c>
      <c r="C100"/>
      <c r="D100"/>
      <c r="E100"/>
    </row>
    <row r="101" spans="1:15" x14ac:dyDescent="0.25">
      <c r="A101" s="30">
        <v>6.72749994932561</v>
      </c>
      <c r="C101" s="1" t="s">
        <v>14</v>
      </c>
      <c r="E101"/>
    </row>
    <row r="102" spans="1:1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15" x14ac:dyDescent="0.25">
      <c r="A103" s="30">
        <v>5.5599173134922388</v>
      </c>
      <c r="E103"/>
    </row>
    <row r="104" spans="1:15" x14ac:dyDescent="0.25">
      <c r="A104" s="30">
        <v>5.0544702849929442</v>
      </c>
      <c r="E104"/>
    </row>
    <row r="105" spans="1:15" x14ac:dyDescent="0.25">
      <c r="A105" s="30">
        <v>4.594972986357222</v>
      </c>
      <c r="E105"/>
    </row>
    <row r="106" spans="1:15" x14ac:dyDescent="0.25">
      <c r="A106" s="30">
        <v>4.1772481694156562</v>
      </c>
      <c r="E106"/>
    </row>
    <row r="107" spans="1:15" x14ac:dyDescent="0.25">
      <c r="A107" s="30">
        <v>3.7974983358324148</v>
      </c>
      <c r="E107"/>
      <c r="G107" s="27" t="s">
        <v>8</v>
      </c>
      <c r="I107" s="27" t="s">
        <v>8</v>
      </c>
    </row>
    <row r="108" spans="1:15" x14ac:dyDescent="0.25">
      <c r="A108" s="30">
        <v>3.4522712143931042</v>
      </c>
      <c r="E108"/>
      <c r="G108" s="27" t="s">
        <v>8</v>
      </c>
      <c r="H108" s="27" t="s">
        <v>7</v>
      </c>
      <c r="I108" s="27" t="s">
        <v>8</v>
      </c>
      <c r="J108" s="27" t="s">
        <v>7</v>
      </c>
    </row>
    <row r="109" spans="1:15" x14ac:dyDescent="0.25">
      <c r="A109" s="30">
        <v>3.1384283767210035</v>
      </c>
      <c r="E109" t="s">
        <v>8</v>
      </c>
      <c r="G109" s="27" t="s">
        <v>8</v>
      </c>
      <c r="H109" s="27" t="s">
        <v>7</v>
      </c>
      <c r="I109" s="27" t="s">
        <v>8</v>
      </c>
      <c r="J109" s="27" t="s">
        <v>7</v>
      </c>
      <c r="K109" s="27" t="s">
        <v>8</v>
      </c>
    </row>
    <row r="110" spans="1:15" x14ac:dyDescent="0.25">
      <c r="A110" s="30">
        <v>2.8531167061100029</v>
      </c>
      <c r="E110" t="s">
        <v>8</v>
      </c>
      <c r="F110" s="27" t="s">
        <v>7</v>
      </c>
      <c r="G110" s="27" t="s">
        <v>8</v>
      </c>
      <c r="H110" s="27" t="s">
        <v>7</v>
      </c>
      <c r="I110" s="27" t="s">
        <v>8</v>
      </c>
      <c r="J110" s="27" t="s">
        <v>7</v>
      </c>
      <c r="K110" s="27" t="s">
        <v>8</v>
      </c>
      <c r="L110" s="27" t="s">
        <v>7</v>
      </c>
    </row>
    <row r="111" spans="1:15" x14ac:dyDescent="0.25">
      <c r="A111" s="30">
        <v>2.5937424601000023</v>
      </c>
      <c r="C111" s="1" t="str">
        <f>ADDRESS(C121-1,1,1,1)</f>
        <v>$A$130</v>
      </c>
      <c r="D111" s="1" t="str">
        <f>ADDRESS(C121-1,D121,1,1)</f>
        <v>$AP$130</v>
      </c>
      <c r="E111" t="s">
        <v>8</v>
      </c>
      <c r="F111" s="27" t="s">
        <v>7</v>
      </c>
      <c r="G111" s="27" t="s">
        <v>8</v>
      </c>
      <c r="H111" s="27" t="s">
        <v>7</v>
      </c>
      <c r="J111" s="27" t="s">
        <v>7</v>
      </c>
      <c r="K111" s="27" t="s">
        <v>8</v>
      </c>
      <c r="L111" s="27" t="s">
        <v>7</v>
      </c>
    </row>
    <row r="112" spans="1:15" x14ac:dyDescent="0.25">
      <c r="A112" s="30">
        <v>2.3579476910000019</v>
      </c>
      <c r="C112" s="1" t="str">
        <f>ADDRESS(C121,1,1,1)</f>
        <v>$A$131</v>
      </c>
      <c r="D112" s="1" t="str">
        <f>ADDRESS(C121,D121-1,1,1)</f>
        <v>$AO$131</v>
      </c>
      <c r="E112" t="s">
        <v>8</v>
      </c>
      <c r="F112" s="27" t="s">
        <v>7</v>
      </c>
      <c r="G112" s="27" t="s">
        <v>8</v>
      </c>
      <c r="J112" s="27" t="s">
        <v>7</v>
      </c>
      <c r="L112" s="27" t="s">
        <v>7</v>
      </c>
      <c r="M112" s="27" t="s">
        <v>8</v>
      </c>
      <c r="O112" s="27" t="s">
        <v>8</v>
      </c>
    </row>
    <row r="113" spans="1:42" x14ac:dyDescent="0.25">
      <c r="A113" s="30">
        <v>2.1435888100000016</v>
      </c>
      <c r="C113" s="1" t="str">
        <f>ADDRESS(C121+1,1,1,1)</f>
        <v>$A$132</v>
      </c>
      <c r="D113" s="1" t="str">
        <f>ADDRESS(C121-1,D121+1,1,1)</f>
        <v>$AQ$130</v>
      </c>
      <c r="E113" s="1" t="s">
        <v>8</v>
      </c>
      <c r="F113" s="27" t="s">
        <v>7</v>
      </c>
      <c r="G113" s="27" t="s">
        <v>8</v>
      </c>
      <c r="L113" s="27" t="s">
        <v>7</v>
      </c>
      <c r="M113" s="27" t="s">
        <v>8</v>
      </c>
      <c r="N113" s="27" t="s">
        <v>7</v>
      </c>
      <c r="O113" s="27" t="s">
        <v>8</v>
      </c>
      <c r="P113" s="27" t="s">
        <v>7</v>
      </c>
    </row>
    <row r="114" spans="1:42" x14ac:dyDescent="0.25">
      <c r="A114" s="30">
        <v>1.9487171000000014</v>
      </c>
      <c r="C114" s="1" t="str">
        <f>ADDRESS(C121,D121,1,1)</f>
        <v>$AP$131</v>
      </c>
      <c r="D114" s="1" t="str">
        <f>ADDRESS(C121+1,D121+1,1,1)</f>
        <v>$AQ$132</v>
      </c>
      <c r="E114" s="1" t="s">
        <v>8</v>
      </c>
      <c r="F114" s="27" t="s">
        <v>7</v>
      </c>
      <c r="L114" s="27" t="s">
        <v>7</v>
      </c>
      <c r="M114" s="27" t="s">
        <v>8</v>
      </c>
      <c r="N114" s="27" t="s">
        <v>7</v>
      </c>
      <c r="O114" s="27" t="s">
        <v>8</v>
      </c>
      <c r="P114" s="27" t="s">
        <v>7</v>
      </c>
    </row>
    <row r="115" spans="1:42" x14ac:dyDescent="0.25">
      <c r="A115" s="30">
        <v>1.7715610000000011</v>
      </c>
      <c r="C115" s="1" t="str">
        <f>ADDRESS(C121+1,D121,1,1)</f>
        <v>$AP$132</v>
      </c>
      <c r="E115" s="1" t="s">
        <v>8</v>
      </c>
      <c r="L115" s="27" t="s">
        <v>7</v>
      </c>
      <c r="M115" s="27" t="s">
        <v>8</v>
      </c>
      <c r="N115" s="27" t="s">
        <v>7</v>
      </c>
      <c r="O115" s="27" t="s">
        <v>8</v>
      </c>
      <c r="P115" s="27" t="s">
        <v>7</v>
      </c>
      <c r="W115" s="27" t="s">
        <v>8</v>
      </c>
    </row>
    <row r="116" spans="1:42" x14ac:dyDescent="0.25">
      <c r="A116" s="30">
        <v>1.6105100000000008</v>
      </c>
      <c r="C116" s="1">
        <f>C117-1</f>
        <v>130</v>
      </c>
      <c r="E116" s="1" t="s">
        <v>8</v>
      </c>
      <c r="L116" s="27" t="s">
        <v>7</v>
      </c>
      <c r="M116" s="27" t="s">
        <v>8</v>
      </c>
      <c r="N116" s="27" t="s">
        <v>7</v>
      </c>
      <c r="P116" s="27" t="s">
        <v>7</v>
      </c>
      <c r="W116" s="27" t="s">
        <v>8</v>
      </c>
      <c r="X116" s="27" t="s">
        <v>7</v>
      </c>
      <c r="AC116" s="27" t="s">
        <v>8</v>
      </c>
      <c r="AG116" s="27" t="s">
        <v>8</v>
      </c>
    </row>
    <row r="117" spans="1:42" x14ac:dyDescent="0.25">
      <c r="A117" s="30">
        <v>1.4641000000000006</v>
      </c>
      <c r="C117" s="1">
        <f>C121</f>
        <v>131</v>
      </c>
      <c r="D117" s="1">
        <f>D121</f>
        <v>42</v>
      </c>
      <c r="E117" s="1" t="s">
        <v>8</v>
      </c>
      <c r="L117" s="27" t="s">
        <v>7</v>
      </c>
      <c r="M117" s="27" t="s">
        <v>8</v>
      </c>
      <c r="P117" s="27" t="s">
        <v>7</v>
      </c>
      <c r="W117" s="27" t="s">
        <v>8</v>
      </c>
      <c r="X117" s="27" t="s">
        <v>7</v>
      </c>
      <c r="AC117" s="27" t="s">
        <v>8</v>
      </c>
      <c r="AD117" s="27" t="s">
        <v>7</v>
      </c>
      <c r="AE117" s="27" t="s">
        <v>8</v>
      </c>
      <c r="AG117" s="27" t="s">
        <v>8</v>
      </c>
      <c r="AH117" s="27" t="s">
        <v>7</v>
      </c>
      <c r="AI117" s="27" t="s">
        <v>8</v>
      </c>
    </row>
    <row r="118" spans="1:42" x14ac:dyDescent="0.25">
      <c r="A118" s="30">
        <v>1.3310000000000004</v>
      </c>
      <c r="C118" s="1">
        <f>C117+1</f>
        <v>132</v>
      </c>
      <c r="D118" s="1">
        <f>D117+1</f>
        <v>43</v>
      </c>
      <c r="E118" s="1" t="s">
        <v>8</v>
      </c>
      <c r="L118" s="27" t="s">
        <v>7</v>
      </c>
      <c r="M118" s="27" t="s">
        <v>8</v>
      </c>
      <c r="P118" s="27" t="s">
        <v>7</v>
      </c>
      <c r="W118" s="27" t="s">
        <v>8</v>
      </c>
      <c r="X118" s="27" t="s">
        <v>7</v>
      </c>
      <c r="AC118" s="27" t="s">
        <v>8</v>
      </c>
      <c r="AD118" s="27" t="s">
        <v>7</v>
      </c>
      <c r="AE118" s="27" t="s">
        <v>8</v>
      </c>
      <c r="AF118" s="27" t="s">
        <v>7</v>
      </c>
      <c r="AG118" s="27" t="s">
        <v>8</v>
      </c>
      <c r="AH118" s="27" t="s">
        <v>7</v>
      </c>
      <c r="AI118" s="27" t="s">
        <v>8</v>
      </c>
      <c r="AJ118" s="27" t="s">
        <v>7</v>
      </c>
    </row>
    <row r="119" spans="1:42" x14ac:dyDescent="0.25">
      <c r="A119" s="30">
        <v>1.2100000000000002</v>
      </c>
      <c r="E119" s="1" t="s">
        <v>8</v>
      </c>
      <c r="L119" s="27" t="s">
        <v>7</v>
      </c>
      <c r="M119" s="27" t="s">
        <v>8</v>
      </c>
      <c r="P119" s="27" t="s">
        <v>7</v>
      </c>
      <c r="W119" s="27" t="s">
        <v>8</v>
      </c>
      <c r="X119" s="27" t="s">
        <v>7</v>
      </c>
      <c r="AC119" s="27" t="s">
        <v>8</v>
      </c>
      <c r="AD119" s="27" t="s">
        <v>7</v>
      </c>
      <c r="AE119" s="27" t="s">
        <v>8</v>
      </c>
      <c r="AF119" s="27" t="s">
        <v>7</v>
      </c>
      <c r="AG119" s="27" t="s">
        <v>8</v>
      </c>
      <c r="AH119" s="27" t="s">
        <v>7</v>
      </c>
      <c r="AI119" s="27" t="s">
        <v>8</v>
      </c>
      <c r="AJ119" s="27" t="s">
        <v>7</v>
      </c>
      <c r="AK119" s="27" t="s">
        <v>8</v>
      </c>
    </row>
    <row r="120" spans="1:42" x14ac:dyDescent="0.25">
      <c r="A120" s="30">
        <v>1.1000000000000001</v>
      </c>
      <c r="C120" s="1" t="s">
        <v>9</v>
      </c>
      <c r="E120" s="1" t="s">
        <v>8</v>
      </c>
      <c r="L120" s="27" t="s">
        <v>7</v>
      </c>
      <c r="P120" s="27" t="s">
        <v>7</v>
      </c>
      <c r="Q120" s="27" t="s">
        <v>8</v>
      </c>
      <c r="S120" s="27" t="s">
        <v>8</v>
      </c>
      <c r="U120" s="27" t="s">
        <v>8</v>
      </c>
      <c r="W120" s="27" t="s">
        <v>8</v>
      </c>
      <c r="X120" s="27" t="s">
        <v>7</v>
      </c>
      <c r="AC120" s="27" t="s">
        <v>8</v>
      </c>
      <c r="AD120" s="27" t="s">
        <v>7</v>
      </c>
      <c r="AF120" s="27" t="s">
        <v>7</v>
      </c>
      <c r="AG120" s="27" t="s">
        <v>8</v>
      </c>
      <c r="AH120" s="27" t="s">
        <v>7</v>
      </c>
      <c r="AI120" s="27" t="s">
        <v>8</v>
      </c>
      <c r="AJ120" s="27" t="s">
        <v>7</v>
      </c>
      <c r="AK120" s="27" t="s">
        <v>8</v>
      </c>
      <c r="AL120" s="27" t="s">
        <v>7</v>
      </c>
      <c r="AM120" s="27" t="s">
        <v>8</v>
      </c>
    </row>
    <row r="121" spans="1:42" x14ac:dyDescent="0.25">
      <c r="A121" s="30">
        <v>1</v>
      </c>
      <c r="C121" s="18">
        <v>131</v>
      </c>
      <c r="D121" s="19">
        <v>42</v>
      </c>
      <c r="E121" s="18" t="s">
        <v>8</v>
      </c>
      <c r="P121" s="27" t="s">
        <v>7</v>
      </c>
      <c r="Q121" s="27" t="s">
        <v>8</v>
      </c>
      <c r="R121" s="27" t="s">
        <v>7</v>
      </c>
      <c r="S121" s="27" t="s">
        <v>8</v>
      </c>
      <c r="T121" s="27" t="s">
        <v>7</v>
      </c>
      <c r="U121" s="27" t="s">
        <v>8</v>
      </c>
      <c r="V121" s="27" t="s">
        <v>7</v>
      </c>
      <c r="W121" s="27" t="s">
        <v>8</v>
      </c>
      <c r="X121" s="27" t="s">
        <v>7</v>
      </c>
      <c r="AC121" s="27" t="s">
        <v>8</v>
      </c>
      <c r="AF121" s="27" t="s">
        <v>7</v>
      </c>
      <c r="AH121" s="27" t="s">
        <v>7</v>
      </c>
      <c r="AI121" s="27" t="s">
        <v>8</v>
      </c>
      <c r="AJ121" s="27" t="s">
        <v>7</v>
      </c>
      <c r="AK121" s="27" t="s">
        <v>8</v>
      </c>
      <c r="AL121" s="27" t="s">
        <v>7</v>
      </c>
      <c r="AM121" s="27" t="s">
        <v>8</v>
      </c>
      <c r="AN121" s="27" t="s">
        <v>7</v>
      </c>
    </row>
    <row r="122" spans="1:42" x14ac:dyDescent="0.25">
      <c r="A122" s="30">
        <v>0.90909090909090895</v>
      </c>
      <c r="C122" s="1" t="str">
        <f>INDEX(1:1048576,C117,D117)</f>
        <v>O</v>
      </c>
      <c r="P122" s="27" t="s">
        <v>7</v>
      </c>
      <c r="Q122" s="27" t="s">
        <v>8</v>
      </c>
      <c r="R122" s="27" t="s">
        <v>7</v>
      </c>
      <c r="S122" s="27" t="s">
        <v>8</v>
      </c>
      <c r="T122" s="27" t="s">
        <v>7</v>
      </c>
      <c r="U122" s="27" t="s">
        <v>8</v>
      </c>
      <c r="V122" s="27" t="s">
        <v>7</v>
      </c>
      <c r="W122" s="27" t="s">
        <v>8</v>
      </c>
      <c r="X122" s="27" t="s">
        <v>7</v>
      </c>
      <c r="AC122" s="27" t="s">
        <v>8</v>
      </c>
      <c r="AH122" s="27" t="s">
        <v>7</v>
      </c>
      <c r="AI122" s="27" t="s">
        <v>8</v>
      </c>
      <c r="AJ122" s="27" t="s">
        <v>7</v>
      </c>
      <c r="AK122" s="27" t="s">
        <v>8</v>
      </c>
      <c r="AL122" s="27" t="s">
        <v>7</v>
      </c>
      <c r="AM122" s="27" t="s">
        <v>8</v>
      </c>
      <c r="AN122" s="27" t="s">
        <v>7</v>
      </c>
    </row>
    <row r="123" spans="1:42" x14ac:dyDescent="0.25">
      <c r="A123" s="30">
        <v>0.82644628099173523</v>
      </c>
      <c r="C123" s="1" t="str">
        <f>"R"&amp;C121</f>
        <v>R131</v>
      </c>
      <c r="D123" s="1" t="str">
        <f>"C"&amp;D121</f>
        <v>C42</v>
      </c>
      <c r="P123" s="27" t="s">
        <v>7</v>
      </c>
      <c r="R123" s="27" t="s">
        <v>7</v>
      </c>
      <c r="S123" s="27" t="s">
        <v>8</v>
      </c>
      <c r="T123" s="27" t="s">
        <v>7</v>
      </c>
      <c r="V123" s="27" t="s">
        <v>7</v>
      </c>
      <c r="X123" s="27" t="s">
        <v>7</v>
      </c>
      <c r="Y123" s="27" t="s">
        <v>8</v>
      </c>
      <c r="AC123" s="27" t="s">
        <v>8</v>
      </c>
      <c r="AH123" s="27" t="s">
        <v>7</v>
      </c>
      <c r="AJ123" s="27" t="s">
        <v>7</v>
      </c>
      <c r="AL123" s="27" t="s">
        <v>7</v>
      </c>
      <c r="AN123" s="27" t="s">
        <v>7</v>
      </c>
      <c r="AO123" s="27" t="s">
        <v>8</v>
      </c>
    </row>
    <row r="124" spans="1:42" x14ac:dyDescent="0.25">
      <c r="A124" s="30">
        <v>0.75131480090157732</v>
      </c>
      <c r="C124" s="1">
        <f>SUM(C130:D130)</f>
        <v>0</v>
      </c>
      <c r="D124" s="1">
        <f>IF(C124=0,0,1)</f>
        <v>0</v>
      </c>
      <c r="R124" s="27" t="s">
        <v>7</v>
      </c>
      <c r="S124" s="27" t="s">
        <v>8</v>
      </c>
      <c r="X124" s="27" t="s">
        <v>7</v>
      </c>
      <c r="Y124" s="27" t="s">
        <v>8</v>
      </c>
      <c r="Z124" s="27" t="s">
        <v>7</v>
      </c>
      <c r="AC124" s="27" t="s">
        <v>8</v>
      </c>
      <c r="AN124" s="27" t="s">
        <v>7</v>
      </c>
      <c r="AO124" s="27" t="s">
        <v>8</v>
      </c>
      <c r="AP124" s="27" t="s">
        <v>7</v>
      </c>
    </row>
    <row r="125" spans="1:42" x14ac:dyDescent="0.25">
      <c r="A125" s="30">
        <v>0.68301345536507019</v>
      </c>
      <c r="R125" s="27" t="s">
        <v>7</v>
      </c>
      <c r="S125" s="27" t="s">
        <v>8</v>
      </c>
      <c r="X125" s="27" t="s">
        <v>7</v>
      </c>
      <c r="Y125" s="27" t="s">
        <v>8</v>
      </c>
      <c r="Z125" s="27" t="s">
        <v>7</v>
      </c>
      <c r="AA125" s="27" t="s">
        <v>8</v>
      </c>
      <c r="AC125" s="27" t="s">
        <v>8</v>
      </c>
      <c r="AN125" s="27" t="s">
        <v>7</v>
      </c>
      <c r="AO125" s="27" t="s">
        <v>8</v>
      </c>
      <c r="AP125" s="27" t="s">
        <v>7</v>
      </c>
    </row>
    <row r="126" spans="1:42" x14ac:dyDescent="0.25">
      <c r="A126" s="30">
        <v>0.6209213230591546</v>
      </c>
      <c r="C126" s="1" t="s">
        <v>10</v>
      </c>
      <c r="R126" s="27" t="s">
        <v>7</v>
      </c>
      <c r="S126" s="27" t="s">
        <v>8</v>
      </c>
      <c r="X126" s="27" t="s">
        <v>7</v>
      </c>
      <c r="Y126" s="27" t="s">
        <v>8</v>
      </c>
      <c r="Z126" s="27" t="s">
        <v>7</v>
      </c>
      <c r="AA126" s="27" t="s">
        <v>8</v>
      </c>
      <c r="AB126" s="27" t="s">
        <v>7</v>
      </c>
      <c r="AC126" s="27" t="s">
        <v>8</v>
      </c>
      <c r="AN126" s="27" t="s">
        <v>7</v>
      </c>
      <c r="AP126" s="27" t="s">
        <v>7</v>
      </c>
    </row>
    <row r="127" spans="1:42" x14ac:dyDescent="0.25">
      <c r="A127" s="30">
        <v>0.56447393005377677</v>
      </c>
      <c r="C127" s="30">
        <v>0.38554328942953109</v>
      </c>
      <c r="D127"/>
      <c r="R127" s="27" t="s">
        <v>7</v>
      </c>
      <c r="S127" s="27" t="s">
        <v>8</v>
      </c>
      <c r="X127" s="27" t="s">
        <v>7</v>
      </c>
      <c r="Z127" s="27" t="s">
        <v>7</v>
      </c>
      <c r="AA127" s="27" t="s">
        <v>8</v>
      </c>
      <c r="AB127" s="27" t="s">
        <v>7</v>
      </c>
      <c r="AC127" s="27" t="s">
        <v>8</v>
      </c>
      <c r="AP127" s="27" t="s">
        <v>7</v>
      </c>
    </row>
    <row r="128" spans="1:42" x14ac:dyDescent="0.25">
      <c r="A128" s="30">
        <v>0.51315811823070612</v>
      </c>
      <c r="R128" s="27" t="s">
        <v>7</v>
      </c>
      <c r="Z128" s="27" t="s">
        <v>7</v>
      </c>
      <c r="AB128" s="27" t="s">
        <v>7</v>
      </c>
      <c r="AC128" s="27" t="s">
        <v>8</v>
      </c>
      <c r="AP128" s="27" t="s">
        <v>7</v>
      </c>
    </row>
    <row r="129" spans="1:42" x14ac:dyDescent="0.25">
      <c r="A129" s="30">
        <v>0.46650738020973276</v>
      </c>
      <c r="C129" s="1" t="s">
        <v>11</v>
      </c>
      <c r="D129" s="1" t="s">
        <v>12</v>
      </c>
      <c r="E129"/>
      <c r="AB129" s="18" t="s">
        <v>7</v>
      </c>
      <c r="AP129" s="27" t="s">
        <v>7</v>
      </c>
    </row>
    <row r="130" spans="1:42" x14ac:dyDescent="0.25">
      <c r="A130" s="30">
        <v>0.42409761837248428</v>
      </c>
      <c r="C130" s="6"/>
      <c r="D130" s="6"/>
      <c r="E130"/>
      <c r="AP130" s="27" t="s">
        <v>7</v>
      </c>
    </row>
    <row r="131" spans="1:42" x14ac:dyDescent="0.25">
      <c r="A131" s="30">
        <v>0.38554328942953109</v>
      </c>
      <c r="E131"/>
      <c r="AP131" s="27" t="s">
        <v>7</v>
      </c>
    </row>
    <row r="132" spans="1:42" x14ac:dyDescent="0.25">
      <c r="A132" s="30">
        <v>0.35049389948139187</v>
      </c>
      <c r="C132" s="1" t="s">
        <v>13</v>
      </c>
      <c r="E132"/>
    </row>
    <row r="133" spans="1:42" x14ac:dyDescent="0.25">
      <c r="A133" s="30">
        <v>0.31863081771035617</v>
      </c>
      <c r="C133" s="1" t="str">
        <f>C122</f>
        <v>O</v>
      </c>
      <c r="E133"/>
    </row>
    <row r="134" spans="1:42" x14ac:dyDescent="0.25">
      <c r="A134" s="30">
        <v>0.28966437973668741</v>
      </c>
      <c r="C134"/>
      <c r="D134"/>
      <c r="E134"/>
    </row>
    <row r="135" spans="1:42" x14ac:dyDescent="0.25">
      <c r="A135" s="30">
        <v>0.2633312543060794</v>
      </c>
      <c r="C135" s="1" t="s">
        <v>14</v>
      </c>
      <c r="E135"/>
    </row>
    <row r="136" spans="1:42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42" x14ac:dyDescent="0.25">
      <c r="A137" s="30">
        <v>0.2176291357901482</v>
      </c>
      <c r="E137"/>
    </row>
    <row r="138" spans="1:42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42" x14ac:dyDescent="0.25">
      <c r="A139" s="30">
        <v>0.17985878990921333</v>
      </c>
      <c r="E139"/>
    </row>
    <row r="140" spans="1:42" x14ac:dyDescent="0.25">
      <c r="A140" s="30">
        <v>0.16350799082655756</v>
      </c>
      <c r="C140" s="1">
        <v>0</v>
      </c>
      <c r="E140"/>
    </row>
    <row r="141" spans="1:42" x14ac:dyDescent="0.25">
      <c r="A141" s="30">
        <v>0.14864362802414322</v>
      </c>
      <c r="C141" s="1">
        <v>1</v>
      </c>
      <c r="E141"/>
    </row>
    <row r="142" spans="1:42" x14ac:dyDescent="0.25">
      <c r="A142" s="30">
        <v>0.13513057093103928</v>
      </c>
      <c r="C142" s="1">
        <v>2</v>
      </c>
      <c r="E142"/>
    </row>
    <row r="143" spans="1:42" x14ac:dyDescent="0.25">
      <c r="A143" s="30">
        <v>0.12284597357367205</v>
      </c>
      <c r="C143" s="1">
        <v>3</v>
      </c>
      <c r="E143"/>
    </row>
    <row r="144" spans="1:42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743" operator="equal">
      <formula>$U$1</formula>
    </cfRule>
    <cfRule type="cellIs" dxfId="30" priority="744" operator="equal">
      <formula>$S$1</formula>
    </cfRule>
  </conditionalFormatting>
  <conditionalFormatting sqref="D136">
    <cfRule type="cellIs" dxfId="29" priority="741" operator="equal">
      <formula>$S$1</formula>
    </cfRule>
    <cfRule type="cellIs" dxfId="28" priority="742" operator="equal">
      <formula>$U$1</formula>
    </cfRule>
  </conditionalFormatting>
  <conditionalFormatting sqref="C102">
    <cfRule type="cellIs" dxfId="27" priority="739" operator="equal">
      <formula>$U$1</formula>
    </cfRule>
    <cfRule type="cellIs" dxfId="26" priority="740" operator="equal">
      <formula>$S$1</formula>
    </cfRule>
  </conditionalFormatting>
  <conditionalFormatting sqref="D102">
    <cfRule type="cellIs" dxfId="25" priority="737" operator="equal">
      <formula>$S$1</formula>
    </cfRule>
    <cfRule type="cellIs" dxfId="24" priority="738" operator="equal">
      <formula>$U$1</formula>
    </cfRule>
  </conditionalFormatting>
  <conditionalFormatting sqref="C77">
    <cfRule type="cellIs" dxfId="23" priority="735" operator="equal">
      <formula>$U$1</formula>
    </cfRule>
    <cfRule type="cellIs" dxfId="22" priority="736" operator="equal">
      <formula>$S$1</formula>
    </cfRule>
  </conditionalFormatting>
  <conditionalFormatting sqref="D77">
    <cfRule type="cellIs" dxfId="21" priority="733" operator="equal">
      <formula>$S$1</formula>
    </cfRule>
    <cfRule type="cellIs" dxfId="20" priority="734" operator="equal">
      <formula>$U$1</formula>
    </cfRule>
  </conditionalFormatting>
  <conditionalFormatting sqref="C52">
    <cfRule type="cellIs" dxfId="19" priority="731" operator="equal">
      <formula>$U$1</formula>
    </cfRule>
    <cfRule type="cellIs" dxfId="18" priority="732" operator="equal">
      <formula>$S$1</formula>
    </cfRule>
  </conditionalFormatting>
  <conditionalFormatting sqref="D52">
    <cfRule type="cellIs" dxfId="17" priority="729" operator="equal">
      <formula>$S$1</formula>
    </cfRule>
    <cfRule type="cellIs" dxfId="16" priority="730" operator="equal">
      <formula>$U$1</formula>
    </cfRule>
  </conditionalFormatting>
  <conditionalFormatting sqref="C26">
    <cfRule type="cellIs" dxfId="15" priority="727" operator="equal">
      <formula>$U$1</formula>
    </cfRule>
    <cfRule type="cellIs" dxfId="14" priority="728" operator="equal">
      <formula>$S$1</formula>
    </cfRule>
  </conditionalFormatting>
  <conditionalFormatting sqref="D26">
    <cfRule type="cellIs" dxfId="13" priority="725" operator="equal">
      <formula>$S$1</formula>
    </cfRule>
    <cfRule type="cellIs" dxfId="12" priority="726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2022-01-28T01:22:33Z</dcterms:modified>
</cp:coreProperties>
</file>