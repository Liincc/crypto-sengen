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896819B-5912-4CDB-A54D-F9CB2FF41E49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4"/>
  <c r="C133" i="4" s="1"/>
  <c r="C136" i="4" s="1"/>
  <c r="C116" i="4"/>
  <c r="C116" i="3"/>
  <c r="C122" i="3"/>
  <c r="C133" i="3" s="1"/>
  <c r="D136" i="3" s="1"/>
  <c r="R765" i="1"/>
  <c r="C136" i="5" l="1"/>
  <c r="C138" i="5" s="1"/>
  <c r="D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S761" i="1" l="1"/>
  <c r="T761" i="1" s="1"/>
  <c r="R760" i="1"/>
  <c r="R759" i="1" l="1"/>
  <c r="S760" i="1"/>
  <c r="T760" i="1" s="1"/>
  <c r="R758" i="1" l="1"/>
  <c r="S759" i="1"/>
  <c r="T759" i="1" s="1"/>
  <c r="S758" i="1" l="1"/>
  <c r="T758" i="1" s="1"/>
  <c r="R757" i="1"/>
  <c r="S757" i="1" l="1"/>
  <c r="T757" i="1" s="1"/>
  <c r="R756" i="1"/>
  <c r="R755" i="1" l="1"/>
  <c r="S756" i="1"/>
  <c r="T756" i="1" s="1"/>
  <c r="R754" i="1" l="1"/>
  <c r="S755" i="1"/>
  <c r="T755" i="1" s="1"/>
  <c r="S754" i="1" l="1"/>
  <c r="T754" i="1" s="1"/>
  <c r="R753" i="1"/>
  <c r="R752" i="1" l="1"/>
  <c r="S753" i="1"/>
  <c r="T753" i="1" s="1"/>
  <c r="S752" i="1" l="1"/>
  <c r="T752" i="1" s="1"/>
  <c r="R751" i="1"/>
  <c r="S751" i="1" l="1"/>
  <c r="T751" i="1" s="1"/>
  <c r="R750" i="1"/>
  <c r="S750" i="1" l="1"/>
  <c r="T750" i="1" s="1"/>
  <c r="R749" i="1"/>
  <c r="R748" i="1" l="1"/>
  <c r="S749" i="1"/>
  <c r="T749" i="1" s="1"/>
  <c r="S748" i="1" l="1"/>
  <c r="T748" i="1" s="1"/>
  <c r="R747" i="1"/>
  <c r="R746" i="1" l="1"/>
  <c r="S747" i="1"/>
  <c r="T747" i="1" s="1"/>
  <c r="R745" i="1" l="1"/>
  <c r="S746" i="1"/>
  <c r="T746" i="1" s="1"/>
  <c r="R744" i="1" l="1"/>
  <c r="S745" i="1"/>
  <c r="T745" i="1" s="1"/>
  <c r="S744" i="1" l="1"/>
  <c r="T744" i="1" s="1"/>
  <c r="R743" i="1"/>
  <c r="R742" i="1" l="1"/>
  <c r="S743" i="1"/>
  <c r="T743" i="1" s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S738" i="1" l="1"/>
  <c r="T738" i="1" s="1"/>
  <c r="R737" i="1"/>
  <c r="S737" i="1" l="1"/>
  <c r="T737" i="1" s="1"/>
  <c r="R736" i="1"/>
  <c r="R735" i="1" l="1"/>
  <c r="S736" i="1"/>
  <c r="T736" i="1" s="1"/>
  <c r="S735" i="1" l="1"/>
  <c r="T735" i="1" s="1"/>
  <c r="R734" i="1"/>
  <c r="S734" i="1" l="1"/>
  <c r="T734" i="1" s="1"/>
  <c r="R733" i="1"/>
  <c r="S733" i="1" l="1"/>
  <c r="T733" i="1" s="1"/>
  <c r="R732" i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S727" i="1" l="1"/>
  <c r="T727" i="1" s="1"/>
  <c r="R726" i="1"/>
  <c r="R725" i="1" l="1"/>
  <c r="S726" i="1"/>
  <c r="T726" i="1" s="1"/>
  <c r="S725" i="1" l="1"/>
  <c r="T725" i="1" s="1"/>
  <c r="R724" i="1"/>
  <c r="S724" i="1" l="1"/>
  <c r="T724" i="1" s="1"/>
  <c r="R723" i="1"/>
  <c r="S723" i="1" l="1"/>
  <c r="T723" i="1" s="1"/>
  <c r="R722" i="1"/>
  <c r="R721" i="1" l="1"/>
  <c r="S722" i="1"/>
  <c r="T722" i="1" s="1"/>
  <c r="S721" i="1" l="1"/>
  <c r="T721" i="1" s="1"/>
  <c r="R720" i="1"/>
  <c r="R719" i="1" l="1"/>
  <c r="S720" i="1"/>
  <c r="T720" i="1" s="1"/>
  <c r="S719" i="1" l="1"/>
  <c r="T719" i="1" s="1"/>
  <c r="R718" i="1"/>
  <c r="S718" i="1" l="1"/>
  <c r="T718" i="1" s="1"/>
  <c r="R717" i="1"/>
  <c r="S717" i="1" l="1"/>
  <c r="T717" i="1" s="1"/>
  <c r="R716" i="1"/>
  <c r="S716" i="1" l="1"/>
  <c r="T716" i="1" s="1"/>
  <c r="R715" i="1"/>
  <c r="S715" i="1" l="1"/>
  <c r="T715" i="1" s="1"/>
  <c r="R714" i="1"/>
  <c r="S714" i="1" l="1"/>
  <c r="T714" i="1" s="1"/>
  <c r="R713" i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S708" i="1" l="1"/>
  <c r="T708" i="1" s="1"/>
  <c r="R707" i="1"/>
  <c r="S707" i="1" l="1"/>
  <c r="T707" i="1" s="1"/>
  <c r="R706" i="1"/>
  <c r="S706" i="1" l="1"/>
  <c r="T706" i="1" s="1"/>
  <c r="R705" i="1"/>
  <c r="S705" i="1" l="1"/>
  <c r="T705" i="1" s="1"/>
  <c r="R704" i="1"/>
  <c r="S704" i="1" l="1"/>
  <c r="T704" i="1" s="1"/>
  <c r="R703" i="1"/>
  <c r="R702" i="1" l="1"/>
  <c r="S703" i="1"/>
  <c r="T703" i="1" s="1"/>
  <c r="S702" i="1" l="1"/>
  <c r="T702" i="1" s="1"/>
  <c r="R701" i="1"/>
  <c r="R700" i="1" l="1"/>
  <c r="S701" i="1"/>
  <c r="T701" i="1" s="1"/>
  <c r="S700" i="1" l="1"/>
  <c r="T700" i="1" s="1"/>
  <c r="R699" i="1"/>
  <c r="R698" i="1" l="1"/>
  <c r="S699" i="1"/>
  <c r="T699" i="1" s="1"/>
  <c r="R697" i="1" l="1"/>
  <c r="S698" i="1"/>
  <c r="T698" i="1" s="1"/>
  <c r="S697" i="1" l="1"/>
  <c r="T697" i="1" s="1"/>
  <c r="R696" i="1"/>
  <c r="R695" i="1" l="1"/>
  <c r="S696" i="1"/>
  <c r="T696" i="1" s="1"/>
  <c r="R694" i="1" l="1"/>
  <c r="S695" i="1"/>
  <c r="T695" i="1" s="1"/>
  <c r="S694" i="1" l="1"/>
  <c r="T694" i="1" s="1"/>
  <c r="R693" i="1"/>
  <c r="R692" i="1" l="1"/>
  <c r="S693" i="1"/>
  <c r="T693" i="1" s="1"/>
  <c r="R691" i="1" l="1"/>
  <c r="S692" i="1"/>
  <c r="T692" i="1" s="1"/>
  <c r="S691" i="1" l="1"/>
  <c r="T691" i="1" s="1"/>
  <c r="R690" i="1"/>
  <c r="S690" i="1" l="1"/>
  <c r="T690" i="1" s="1"/>
  <c r="R689" i="1"/>
  <c r="S689" i="1" l="1"/>
  <c r="T689" i="1" s="1"/>
  <c r="R688" i="1"/>
  <c r="S688" i="1" l="1"/>
  <c r="T688" i="1" s="1"/>
  <c r="R687" i="1"/>
  <c r="S687" i="1" l="1"/>
  <c r="T687" i="1" s="1"/>
  <c r="R686" i="1"/>
  <c r="R685" i="1" l="1"/>
  <c r="S686" i="1"/>
  <c r="T686" i="1" s="1"/>
  <c r="R684" i="1" l="1"/>
  <c r="S685" i="1"/>
  <c r="T685" i="1" s="1"/>
  <c r="S684" i="1" l="1"/>
  <c r="T684" i="1" s="1"/>
  <c r="R683" i="1"/>
  <c r="S683" i="1" l="1"/>
  <c r="T683" i="1" s="1"/>
  <c r="R682" i="1"/>
  <c r="R681" i="1" l="1"/>
  <c r="S682" i="1"/>
  <c r="T682" i="1" s="1"/>
  <c r="S681" i="1" l="1"/>
  <c r="T681" i="1" s="1"/>
  <c r="R680" i="1"/>
  <c r="S680" i="1" l="1"/>
  <c r="T680" i="1" s="1"/>
  <c r="R679" i="1"/>
  <c r="S679" i="1" l="1"/>
  <c r="T679" i="1" s="1"/>
  <c r="R678" i="1"/>
  <c r="R677" i="1" l="1"/>
  <c r="S678" i="1"/>
  <c r="T678" i="1" s="1"/>
  <c r="S677" i="1" l="1"/>
  <c r="T677" i="1" s="1"/>
  <c r="R676" i="1"/>
  <c r="S676" i="1" l="1"/>
  <c r="T676" i="1" s="1"/>
  <c r="R675" i="1"/>
  <c r="R674" i="1" l="1"/>
  <c r="S675" i="1"/>
  <c r="T675" i="1" s="1"/>
  <c r="S674" i="1" l="1"/>
  <c r="T674" i="1" s="1"/>
  <c r="R673" i="1"/>
  <c r="R672" i="1" l="1"/>
  <c r="S673" i="1"/>
  <c r="T673" i="1" s="1"/>
  <c r="R671" i="1" l="1"/>
  <c r="S672" i="1"/>
  <c r="T672" i="1" s="1"/>
  <c r="S671" i="1" l="1"/>
  <c r="T671" i="1" s="1"/>
  <c r="R670" i="1"/>
  <c r="S670" i="1" l="1"/>
  <c r="T670" i="1" s="1"/>
  <c r="R669" i="1"/>
  <c r="R668" i="1" l="1"/>
  <c r="S669" i="1"/>
  <c r="T669" i="1" s="1"/>
  <c r="S668" i="1" l="1"/>
  <c r="T668" i="1" s="1"/>
  <c r="R667" i="1"/>
  <c r="S667" i="1" l="1"/>
  <c r="T667" i="1" s="1"/>
  <c r="R666" i="1"/>
  <c r="R665" i="1" l="1"/>
  <c r="S666" i="1"/>
  <c r="T666" i="1" s="1"/>
  <c r="R664" i="1" l="1"/>
  <c r="S665" i="1"/>
  <c r="T665" i="1" s="1"/>
  <c r="S664" i="1" l="1"/>
  <c r="T664" i="1" s="1"/>
  <c r="R663" i="1"/>
  <c r="S663" i="1" l="1"/>
  <c r="T663" i="1" s="1"/>
  <c r="R662" i="1"/>
  <c r="R661" i="1" l="1"/>
  <c r="S662" i="1"/>
  <c r="T662" i="1" s="1"/>
  <c r="S661" i="1" l="1"/>
  <c r="T661" i="1" s="1"/>
  <c r="R660" i="1"/>
  <c r="S660" i="1" l="1"/>
  <c r="T660" i="1" s="1"/>
  <c r="R659" i="1"/>
  <c r="R658" i="1" l="1"/>
  <c r="S659" i="1"/>
  <c r="T659" i="1" s="1"/>
  <c r="R657" i="1" l="1"/>
  <c r="S658" i="1"/>
  <c r="T658" i="1" s="1"/>
  <c r="S657" i="1" l="1"/>
  <c r="T657" i="1" s="1"/>
  <c r="R656" i="1"/>
  <c r="R655" i="1" l="1"/>
  <c r="S656" i="1"/>
  <c r="T656" i="1" s="1"/>
  <c r="S655" i="1" l="1"/>
  <c r="T655" i="1" s="1"/>
  <c r="R654" i="1"/>
  <c r="S654" i="1" l="1"/>
  <c r="T654" i="1" s="1"/>
  <c r="R653" i="1"/>
  <c r="S653" i="1" l="1"/>
  <c r="T653" i="1" s="1"/>
  <c r="R652" i="1"/>
  <c r="R651" i="1" l="1"/>
  <c r="S652" i="1"/>
  <c r="T652" i="1" s="1"/>
  <c r="R650" i="1" l="1"/>
  <c r="S651" i="1"/>
  <c r="T651" i="1" s="1"/>
  <c r="S650" i="1" l="1"/>
  <c r="T650" i="1" s="1"/>
  <c r="R649" i="1"/>
  <c r="R648" i="1" l="1"/>
  <c r="S649" i="1"/>
  <c r="T649" i="1" s="1"/>
  <c r="S648" i="1" l="1"/>
  <c r="T648" i="1" s="1"/>
  <c r="R647" i="1"/>
  <c r="S647" i="1" l="1"/>
  <c r="T647" i="1" s="1"/>
  <c r="R646" i="1"/>
  <c r="S646" i="1" l="1"/>
  <c r="T646" i="1" s="1"/>
  <c r="R645" i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S640" i="1" l="1"/>
  <c r="T640" i="1" s="1"/>
  <c r="R639" i="1"/>
  <c r="S639" i="1" l="1"/>
  <c r="T639" i="1" s="1"/>
  <c r="R638" i="1"/>
  <c r="S638" i="1" l="1"/>
  <c r="T638" i="1" s="1"/>
  <c r="R637" i="1"/>
  <c r="S637" i="1" l="1"/>
  <c r="T637" i="1" s="1"/>
  <c r="R636" i="1"/>
  <c r="S636" i="1" l="1"/>
  <c r="T636" i="1" s="1"/>
  <c r="R635" i="1"/>
  <c r="R634" i="1" l="1"/>
  <c r="S635" i="1"/>
  <c r="T635" i="1" s="1"/>
  <c r="S634" i="1" l="1"/>
  <c r="T634" i="1" s="1"/>
  <c r="R633" i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S629" i="1" l="1"/>
  <c r="T629" i="1" s="1"/>
  <c r="R628" i="1"/>
  <c r="S628" i="1" l="1"/>
  <c r="T628" i="1" s="1"/>
  <c r="R627" i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R620" i="1" l="1"/>
  <c r="S621" i="1"/>
  <c r="T621" i="1" s="1"/>
  <c r="S620" i="1" l="1"/>
  <c r="T620" i="1" s="1"/>
  <c r="R619" i="1"/>
  <c r="R618" i="1" l="1"/>
  <c r="S619" i="1"/>
  <c r="T619" i="1" s="1"/>
  <c r="S618" i="1" l="1"/>
  <c r="T618" i="1" s="1"/>
  <c r="R617" i="1"/>
  <c r="S617" i="1" l="1"/>
  <c r="T617" i="1" s="1"/>
  <c r="R616" i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S611" i="1" l="1"/>
  <c r="T611" i="1" s="1"/>
  <c r="R610" i="1"/>
  <c r="S610" i="1" l="1"/>
  <c r="T610" i="1" s="1"/>
  <c r="R609" i="1"/>
  <c r="S609" i="1" l="1"/>
  <c r="T609" i="1" s="1"/>
  <c r="R608" i="1"/>
  <c r="S608" i="1" l="1"/>
  <c r="T608" i="1" s="1"/>
  <c r="R607" i="1"/>
  <c r="S607" i="1" l="1"/>
  <c r="T607" i="1" s="1"/>
  <c r="R606" i="1"/>
  <c r="R605" i="1" l="1"/>
  <c r="S606" i="1"/>
  <c r="T606" i="1" s="1"/>
  <c r="R604" i="1" l="1"/>
  <c r="S605" i="1"/>
  <c r="T605" i="1" s="1"/>
  <c r="S604" i="1" l="1"/>
  <c r="T604" i="1" s="1"/>
  <c r="R603" i="1"/>
  <c r="S603" i="1" l="1"/>
  <c r="T603" i="1" s="1"/>
  <c r="R602" i="1"/>
  <c r="S602" i="1" l="1"/>
  <c r="T602" i="1" s="1"/>
  <c r="R601" i="1"/>
  <c r="S601" i="1" l="1"/>
  <c r="T601" i="1" s="1"/>
  <c r="R600" i="1"/>
  <c r="S600" i="1" l="1"/>
  <c r="T600" i="1" s="1"/>
  <c r="R599" i="1"/>
  <c r="R598" i="1" l="1"/>
  <c r="S599" i="1"/>
  <c r="T599" i="1" s="1"/>
  <c r="S598" i="1" l="1"/>
  <c r="T598" i="1" s="1"/>
  <c r="R597" i="1"/>
  <c r="R596" i="1" l="1"/>
  <c r="S597" i="1"/>
  <c r="T597" i="1" s="1"/>
  <c r="R595" i="1" l="1"/>
  <c r="S596" i="1"/>
  <c r="T596" i="1" s="1"/>
  <c r="S595" i="1" l="1"/>
  <c r="T595" i="1" s="1"/>
  <c r="R594" i="1"/>
  <c r="S594" i="1" l="1"/>
  <c r="T594" i="1" s="1"/>
  <c r="R593" i="1"/>
  <c r="R592" i="1" l="1"/>
  <c r="S593" i="1"/>
  <c r="T593" i="1" s="1"/>
  <c r="S592" i="1" l="1"/>
  <c r="T592" i="1" s="1"/>
  <c r="R591" i="1"/>
  <c r="S591" i="1" l="1"/>
  <c r="T591" i="1" s="1"/>
  <c r="R590" i="1"/>
  <c r="R589" i="1" l="1"/>
  <c r="S590" i="1"/>
  <c r="T590" i="1" s="1"/>
  <c r="R588" i="1" l="1"/>
  <c r="S589" i="1"/>
  <c r="T589" i="1" s="1"/>
  <c r="S588" i="1" l="1"/>
  <c r="T588" i="1" s="1"/>
  <c r="R587" i="1"/>
  <c r="R586" i="1" l="1"/>
  <c r="S587" i="1"/>
  <c r="T587" i="1" s="1"/>
  <c r="R585" i="1" l="1"/>
  <c r="S586" i="1"/>
  <c r="T586" i="1" s="1"/>
  <c r="S585" i="1" l="1"/>
  <c r="T585" i="1" s="1"/>
  <c r="R584" i="1"/>
  <c r="S584" i="1" l="1"/>
  <c r="T584" i="1" s="1"/>
  <c r="R583" i="1"/>
  <c r="R582" i="1" l="1"/>
  <c r="S583" i="1"/>
  <c r="T583" i="1" s="1"/>
  <c r="S582" i="1" l="1"/>
  <c r="T582" i="1" s="1"/>
  <c r="R581" i="1"/>
  <c r="S581" i="1" l="1"/>
  <c r="T581" i="1" s="1"/>
  <c r="R580" i="1"/>
  <c r="R579" i="1" l="1"/>
  <c r="S580" i="1"/>
  <c r="T580" i="1" s="1"/>
  <c r="R578" i="1" l="1"/>
  <c r="S579" i="1"/>
  <c r="T579" i="1" s="1"/>
  <c r="S578" i="1" l="1"/>
  <c r="T578" i="1" s="1"/>
  <c r="R577" i="1"/>
  <c r="R576" i="1" l="1"/>
  <c r="S577" i="1"/>
  <c r="T577" i="1" s="1"/>
  <c r="R575" i="1" l="1"/>
  <c r="S576" i="1"/>
  <c r="T576" i="1" s="1"/>
  <c r="S575" i="1" l="1"/>
  <c r="T575" i="1" s="1"/>
  <c r="R574" i="1"/>
  <c r="S574" i="1" l="1"/>
  <c r="T574" i="1" s="1"/>
  <c r="R573" i="1"/>
  <c r="S573" i="1" l="1"/>
  <c r="T573" i="1" s="1"/>
  <c r="R572" i="1"/>
  <c r="S572" i="1" l="1"/>
  <c r="T572" i="1" s="1"/>
  <c r="R571" i="1"/>
  <c r="R570" i="1" l="1"/>
  <c r="S571" i="1"/>
  <c r="T571" i="1" s="1"/>
  <c r="R569" i="1" l="1"/>
  <c r="S570" i="1"/>
  <c r="T570" i="1" s="1"/>
  <c r="R568" i="1" l="1"/>
  <c r="S569" i="1"/>
  <c r="T569" i="1" s="1"/>
  <c r="S568" i="1" l="1"/>
  <c r="T568" i="1" s="1"/>
  <c r="R567" i="1"/>
  <c r="R566" i="1" l="1"/>
  <c r="S567" i="1"/>
  <c r="T567" i="1" s="1"/>
  <c r="R565" i="1" l="1"/>
  <c r="S566" i="1"/>
  <c r="T566" i="1" s="1"/>
  <c r="S565" i="1" l="1"/>
  <c r="T565" i="1" s="1"/>
  <c r="R564" i="1"/>
  <c r="S564" i="1" l="1"/>
  <c r="T564" i="1" s="1"/>
  <c r="R563" i="1"/>
  <c r="S563" i="1" l="1"/>
  <c r="T563" i="1" s="1"/>
  <c r="R562" i="1"/>
  <c r="S562" i="1" l="1"/>
  <c r="T562" i="1" s="1"/>
  <c r="R561" i="1"/>
  <c r="S561" i="1" l="1"/>
  <c r="T561" i="1" s="1"/>
  <c r="R560" i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S554" i="1" l="1"/>
  <c r="T554" i="1" s="1"/>
  <c r="R553" i="1"/>
  <c r="S553" i="1" l="1"/>
  <c r="T553" i="1" s="1"/>
  <c r="R552" i="1"/>
  <c r="S552" i="1" l="1"/>
  <c r="T552" i="1" s="1"/>
  <c r="R551" i="1"/>
  <c r="S551" i="1" l="1"/>
  <c r="T551" i="1" s="1"/>
  <c r="R550" i="1"/>
  <c r="R549" i="1" l="1"/>
  <c r="S550" i="1"/>
  <c r="T550" i="1" s="1"/>
  <c r="R548" i="1" l="1"/>
  <c r="S549" i="1"/>
  <c r="T549" i="1" s="1"/>
  <c r="R547" i="1" l="1"/>
  <c r="S548" i="1"/>
  <c r="T548" i="1" s="1"/>
  <c r="S547" i="1" l="1"/>
  <c r="T547" i="1" s="1"/>
  <c r="R546" i="1"/>
  <c r="R545" i="1" l="1"/>
  <c r="S546" i="1"/>
  <c r="T546" i="1" s="1"/>
  <c r="S545" i="1" l="1"/>
  <c r="T545" i="1" s="1"/>
  <c r="R544" i="1"/>
  <c r="S544" i="1" l="1"/>
  <c r="T544" i="1" s="1"/>
  <c r="R543" i="1"/>
  <c r="S543" i="1" l="1"/>
  <c r="T543" i="1" s="1"/>
  <c r="R542" i="1"/>
  <c r="R541" i="1" l="1"/>
  <c r="S542" i="1"/>
  <c r="T542" i="1" s="1"/>
  <c r="S541" i="1" l="1"/>
  <c r="T541" i="1" s="1"/>
  <c r="R540" i="1"/>
  <c r="R539" i="1" l="1"/>
  <c r="S540" i="1"/>
  <c r="T540" i="1" s="1"/>
  <c r="R538" i="1" l="1"/>
  <c r="S539" i="1"/>
  <c r="T539" i="1" s="1"/>
  <c r="S538" i="1" l="1"/>
  <c r="T538" i="1" s="1"/>
  <c r="R537" i="1"/>
  <c r="S537" i="1" l="1"/>
  <c r="T537" i="1" s="1"/>
  <c r="R536" i="1"/>
  <c r="S536" i="1" l="1"/>
  <c r="T536" i="1" s="1"/>
  <c r="R535" i="1"/>
  <c r="S535" i="1" l="1"/>
  <c r="T535" i="1" s="1"/>
  <c r="R534" i="1"/>
  <c r="S534" i="1" l="1"/>
  <c r="T534" i="1" s="1"/>
  <c r="R533" i="1"/>
  <c r="R532" i="1" l="1"/>
  <c r="S533" i="1"/>
  <c r="T533" i="1" s="1"/>
  <c r="S532" i="1" l="1"/>
  <c r="T532" i="1" s="1"/>
  <c r="R531" i="1"/>
  <c r="S531" i="1" l="1"/>
  <c r="T531" i="1" s="1"/>
  <c r="R530" i="1"/>
  <c r="S530" i="1" l="1"/>
  <c r="T530" i="1" s="1"/>
  <c r="R529" i="1"/>
  <c r="R528" i="1" l="1"/>
  <c r="S529" i="1"/>
  <c r="T529" i="1" s="1"/>
  <c r="S528" i="1" l="1"/>
  <c r="T528" i="1" s="1"/>
  <c r="R527" i="1"/>
  <c r="S527" i="1" l="1"/>
  <c r="T527" i="1" s="1"/>
  <c r="R526" i="1"/>
  <c r="R525" i="1" l="1"/>
  <c r="S526" i="1"/>
  <c r="T526" i="1" s="1"/>
  <c r="S525" i="1" l="1"/>
  <c r="T525" i="1" s="1"/>
  <c r="R524" i="1"/>
  <c r="R523" i="1" l="1"/>
  <c r="S524" i="1"/>
  <c r="T524" i="1" s="1"/>
  <c r="R522" i="1" l="1"/>
  <c r="S523" i="1"/>
  <c r="T523" i="1" s="1"/>
  <c r="R521" i="1" l="1"/>
  <c r="S522" i="1"/>
  <c r="T522" i="1" s="1"/>
  <c r="S521" i="1" l="1"/>
  <c r="T521" i="1" s="1"/>
  <c r="R520" i="1"/>
  <c r="R519" i="1" l="1"/>
  <c r="S520" i="1"/>
  <c r="T520" i="1" s="1"/>
  <c r="S519" i="1" l="1"/>
  <c r="T519" i="1" s="1"/>
  <c r="R518" i="1"/>
  <c r="S518" i="1" l="1"/>
  <c r="T518" i="1" s="1"/>
  <c r="R517" i="1"/>
  <c r="S517" i="1" l="1"/>
  <c r="T517" i="1" s="1"/>
  <c r="R516" i="1"/>
  <c r="R515" i="1" l="1"/>
  <c r="S516" i="1"/>
  <c r="T516" i="1" s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S511" i="1" l="1"/>
  <c r="T511" i="1" s="1"/>
  <c r="R510" i="1"/>
  <c r="R509" i="1" l="1"/>
  <c r="S510" i="1"/>
  <c r="T510" i="1" s="1"/>
  <c r="R508" i="1" l="1"/>
  <c r="S509" i="1"/>
  <c r="T509" i="1" s="1"/>
  <c r="S508" i="1" l="1"/>
  <c r="T508" i="1" s="1"/>
  <c r="R507" i="1"/>
  <c r="S507" i="1" l="1"/>
  <c r="T507" i="1" s="1"/>
  <c r="R506" i="1"/>
  <c r="R505" i="1" l="1"/>
  <c r="S506" i="1"/>
  <c r="T506" i="1" s="1"/>
  <c r="S505" i="1" l="1"/>
  <c r="T505" i="1" s="1"/>
  <c r="R504" i="1"/>
  <c r="S504" i="1" l="1"/>
  <c r="T504" i="1" s="1"/>
  <c r="R503" i="1"/>
  <c r="S503" i="1" l="1"/>
  <c r="T503" i="1" s="1"/>
  <c r="R502" i="1"/>
  <c r="R501" i="1" l="1"/>
  <c r="S502" i="1"/>
  <c r="T502" i="1" s="1"/>
  <c r="R500" i="1" l="1"/>
  <c r="S501" i="1"/>
  <c r="T501" i="1" s="1"/>
  <c r="R499" i="1" l="1"/>
  <c r="S500" i="1"/>
  <c r="T500" i="1" s="1"/>
  <c r="S499" i="1" l="1"/>
  <c r="T499" i="1" s="1"/>
  <c r="R498" i="1"/>
  <c r="S498" i="1" l="1"/>
  <c r="T498" i="1" s="1"/>
  <c r="R497" i="1"/>
  <c r="S497" i="1" l="1"/>
  <c r="T497" i="1" s="1"/>
  <c r="R496" i="1"/>
  <c r="S496" i="1" l="1"/>
  <c r="T496" i="1" s="1"/>
  <c r="R495" i="1"/>
  <c r="S495" i="1" l="1"/>
  <c r="T495" i="1" s="1"/>
  <c r="R494" i="1"/>
  <c r="S494" i="1" l="1"/>
  <c r="T494" i="1" s="1"/>
  <c r="R493" i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S487" i="1" l="1"/>
  <c r="T487" i="1" s="1"/>
  <c r="R486" i="1"/>
  <c r="S486" i="1" l="1"/>
  <c r="T486" i="1" s="1"/>
  <c r="R485" i="1"/>
  <c r="R484" i="1" l="1"/>
  <c r="S485" i="1"/>
  <c r="T485" i="1" s="1"/>
  <c r="S484" i="1" l="1"/>
  <c r="T484" i="1" s="1"/>
  <c r="R483" i="1"/>
  <c r="R482" i="1" l="1"/>
  <c r="S483" i="1"/>
  <c r="T483" i="1" s="1"/>
  <c r="R481" i="1" l="1"/>
  <c r="S482" i="1"/>
  <c r="T482" i="1" s="1"/>
  <c r="R480" i="1" l="1"/>
  <c r="S481" i="1"/>
  <c r="T481" i="1" s="1"/>
  <c r="S480" i="1" l="1"/>
  <c r="T480" i="1" s="1"/>
  <c r="R479" i="1"/>
  <c r="R478" i="1" l="1"/>
  <c r="S479" i="1"/>
  <c r="T479" i="1" s="1"/>
  <c r="S478" i="1" l="1"/>
  <c r="T478" i="1" s="1"/>
  <c r="R477" i="1"/>
  <c r="S477" i="1" l="1"/>
  <c r="T477" i="1" s="1"/>
  <c r="R476" i="1"/>
  <c r="S476" i="1" l="1"/>
  <c r="T476" i="1" s="1"/>
  <c r="R475" i="1"/>
  <c r="R474" i="1" l="1"/>
  <c r="S475" i="1"/>
  <c r="T475" i="1" s="1"/>
  <c r="S474" i="1" l="1"/>
  <c r="T474" i="1" s="1"/>
  <c r="R473" i="1"/>
  <c r="S473" i="1" l="1"/>
  <c r="T473" i="1" s="1"/>
  <c r="R472" i="1"/>
  <c r="S472" i="1" l="1"/>
  <c r="T472" i="1" s="1"/>
  <c r="R471" i="1"/>
  <c r="R470" i="1" l="1"/>
  <c r="S471" i="1"/>
  <c r="T471" i="1" s="1"/>
  <c r="S470" i="1" l="1"/>
  <c r="T470" i="1" s="1"/>
  <c r="R469" i="1"/>
  <c r="S469" i="1" l="1"/>
  <c r="T469" i="1" s="1"/>
  <c r="R468" i="1"/>
  <c r="S468" i="1" l="1"/>
  <c r="T468" i="1" s="1"/>
  <c r="R467" i="1"/>
  <c r="S467" i="1" l="1"/>
  <c r="T467" i="1" s="1"/>
  <c r="R466" i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S461" i="1" l="1"/>
  <c r="T461" i="1" s="1"/>
  <c r="R460" i="1"/>
  <c r="S460" i="1" l="1"/>
  <c r="T460" i="1" s="1"/>
  <c r="R459" i="1"/>
  <c r="S459" i="1" l="1"/>
  <c r="T459" i="1" s="1"/>
  <c r="R458" i="1"/>
  <c r="S458" i="1" l="1"/>
  <c r="T458" i="1" s="1"/>
  <c r="R457" i="1"/>
  <c r="S457" i="1" l="1"/>
  <c r="T457" i="1" s="1"/>
  <c r="R456" i="1"/>
  <c r="R455" i="1" l="1"/>
  <c r="S456" i="1"/>
  <c r="T456" i="1" s="1"/>
  <c r="S455" i="1" l="1"/>
  <c r="T455" i="1" s="1"/>
  <c r="R454" i="1"/>
  <c r="S454" i="1" l="1"/>
  <c r="T454" i="1" s="1"/>
  <c r="R453" i="1"/>
  <c r="R452" i="1" l="1"/>
  <c r="S453" i="1"/>
  <c r="T453" i="1" s="1"/>
  <c r="R451" i="1" l="1"/>
  <c r="S452" i="1"/>
  <c r="T452" i="1" s="1"/>
  <c r="S451" i="1" l="1"/>
  <c r="T451" i="1" s="1"/>
  <c r="R450" i="1"/>
  <c r="R449" i="1" l="1"/>
  <c r="S450" i="1"/>
  <c r="T450" i="1" s="1"/>
  <c r="R448" i="1" l="1"/>
  <c r="S449" i="1"/>
  <c r="T449" i="1" s="1"/>
  <c r="S448" i="1" l="1"/>
  <c r="T448" i="1" s="1"/>
  <c r="R447" i="1"/>
  <c r="S447" i="1" l="1"/>
  <c r="T447" i="1" s="1"/>
  <c r="R446" i="1"/>
  <c r="S446" i="1" l="1"/>
  <c r="T446" i="1" s="1"/>
  <c r="R445" i="1"/>
  <c r="S445" i="1" l="1"/>
  <c r="T445" i="1" s="1"/>
  <c r="R444" i="1"/>
  <c r="S444" i="1" l="1"/>
  <c r="T444" i="1" s="1"/>
  <c r="R443" i="1"/>
  <c r="S443" i="1" l="1"/>
  <c r="T443" i="1" s="1"/>
  <c r="R442" i="1"/>
  <c r="S442" i="1" l="1"/>
  <c r="T442" i="1" s="1"/>
  <c r="R441" i="1"/>
  <c r="S441" i="1" l="1"/>
  <c r="T441" i="1" s="1"/>
  <c r="R440" i="1"/>
  <c r="S440" i="1" l="1"/>
  <c r="T440" i="1" s="1"/>
  <c r="R439" i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S433" i="1" l="1"/>
  <c r="T433" i="1" s="1"/>
  <c r="R432" i="1"/>
  <c r="R431" i="1" l="1"/>
  <c r="S432" i="1"/>
  <c r="T432" i="1" s="1"/>
  <c r="S431" i="1" l="1"/>
  <c r="T431" i="1" s="1"/>
  <c r="R430" i="1"/>
  <c r="S430" i="1" l="1"/>
  <c r="T430" i="1" s="1"/>
  <c r="R429" i="1"/>
  <c r="S429" i="1" l="1"/>
  <c r="T429" i="1" s="1"/>
  <c r="R428" i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S423" i="1" l="1"/>
  <c r="T423" i="1" s="1"/>
  <c r="R422" i="1"/>
  <c r="S422" i="1" l="1"/>
  <c r="T422" i="1" s="1"/>
  <c r="R421" i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S414" i="1" l="1"/>
  <c r="T414" i="1" s="1"/>
  <c r="R413" i="1"/>
  <c r="S413" i="1" l="1"/>
  <c r="T413" i="1" s="1"/>
  <c r="R412" i="1"/>
  <c r="S412" i="1" l="1"/>
  <c r="T412" i="1" s="1"/>
  <c r="R411" i="1"/>
  <c r="S411" i="1" l="1"/>
  <c r="T411" i="1" s="1"/>
  <c r="R410" i="1"/>
  <c r="S410" i="1" l="1"/>
  <c r="T410" i="1" s="1"/>
  <c r="R409" i="1"/>
  <c r="S409" i="1" l="1"/>
  <c r="T409" i="1" s="1"/>
  <c r="R408" i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S403" i="1" l="1"/>
  <c r="T403" i="1" s="1"/>
  <c r="R402" i="1"/>
  <c r="S402" i="1" l="1"/>
  <c r="T402" i="1" s="1"/>
  <c r="R401" i="1"/>
  <c r="S401" i="1" l="1"/>
  <c r="T401" i="1" s="1"/>
  <c r="R400" i="1"/>
  <c r="R399" i="1" l="1"/>
  <c r="S400" i="1"/>
  <c r="T400" i="1" s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S395" i="1" l="1"/>
  <c r="T395" i="1" s="1"/>
  <c r="R394" i="1"/>
  <c r="R393" i="1" l="1"/>
  <c r="S394" i="1"/>
  <c r="T394" i="1" s="1"/>
  <c r="S393" i="1" l="1"/>
  <c r="T393" i="1" s="1"/>
  <c r="R392" i="1"/>
  <c r="S392" i="1" l="1"/>
  <c r="T392" i="1" s="1"/>
  <c r="R391" i="1"/>
  <c r="S391" i="1" l="1"/>
  <c r="T391" i="1" s="1"/>
  <c r="R390" i="1"/>
  <c r="R389" i="1" l="1"/>
  <c r="S390" i="1"/>
  <c r="T390" i="1" s="1"/>
  <c r="S389" i="1" l="1"/>
  <c r="T389" i="1" s="1"/>
  <c r="R388" i="1"/>
  <c r="S388" i="1" l="1"/>
  <c r="T388" i="1" s="1"/>
  <c r="R387" i="1"/>
  <c r="S387" i="1" l="1"/>
  <c r="T387" i="1" s="1"/>
  <c r="R386" i="1"/>
  <c r="R385" i="1" l="1"/>
  <c r="S386" i="1"/>
  <c r="T386" i="1" s="1"/>
  <c r="S385" i="1" l="1"/>
  <c r="T385" i="1" s="1"/>
  <c r="R384" i="1"/>
  <c r="S384" i="1" l="1"/>
  <c r="T384" i="1" s="1"/>
  <c r="R383" i="1"/>
  <c r="R382" i="1" l="1"/>
  <c r="S383" i="1"/>
  <c r="T383" i="1" s="1"/>
  <c r="R381" i="1" l="1"/>
  <c r="S382" i="1"/>
  <c r="T382" i="1" s="1"/>
  <c r="R380" i="1" l="1"/>
  <c r="S381" i="1"/>
  <c r="T381" i="1" s="1"/>
  <c r="S380" i="1" l="1"/>
  <c r="T380" i="1" s="1"/>
  <c r="R379" i="1"/>
  <c r="R378" i="1" l="1"/>
  <c r="S379" i="1"/>
  <c r="T379" i="1" s="1"/>
  <c r="S378" i="1" l="1"/>
  <c r="T378" i="1" s="1"/>
  <c r="R377" i="1"/>
  <c r="S377" i="1" l="1"/>
  <c r="T377" i="1" s="1"/>
  <c r="R376" i="1"/>
  <c r="S376" i="1" l="1"/>
  <c r="T376" i="1" s="1"/>
  <c r="R375" i="1"/>
  <c r="R374" i="1" l="1"/>
  <c r="S375" i="1"/>
  <c r="T375" i="1" s="1"/>
  <c r="S374" i="1" l="1"/>
  <c r="T374" i="1" s="1"/>
  <c r="R373" i="1"/>
  <c r="R372" i="1" l="1"/>
  <c r="S373" i="1"/>
  <c r="T373" i="1" s="1"/>
  <c r="R371" i="1" l="1"/>
  <c r="S372" i="1"/>
  <c r="T372" i="1" s="1"/>
  <c r="S371" i="1" l="1"/>
  <c r="T371" i="1" s="1"/>
  <c r="R370" i="1"/>
  <c r="S370" i="1" l="1"/>
  <c r="T370" i="1" s="1"/>
  <c r="R369" i="1"/>
  <c r="R368" i="1" l="1"/>
  <c r="S369" i="1"/>
  <c r="T369" i="1" s="1"/>
  <c r="S368" i="1" l="1"/>
  <c r="T368" i="1" s="1"/>
  <c r="R367" i="1"/>
  <c r="S367" i="1" l="1"/>
  <c r="T367" i="1" s="1"/>
  <c r="R366" i="1"/>
  <c r="R365" i="1" l="1"/>
  <c r="S366" i="1"/>
  <c r="T366" i="1" s="1"/>
  <c r="S365" i="1" l="1"/>
  <c r="T365" i="1" s="1"/>
  <c r="R364" i="1"/>
  <c r="R363" i="1" l="1"/>
  <c r="S364" i="1"/>
  <c r="T364" i="1" s="1"/>
  <c r="R362" i="1" l="1"/>
  <c r="S363" i="1"/>
  <c r="T363" i="1" s="1"/>
  <c r="R361" i="1" l="1"/>
  <c r="S362" i="1"/>
  <c r="T362" i="1" s="1"/>
  <c r="S361" i="1" l="1"/>
  <c r="T361" i="1" s="1"/>
  <c r="R360" i="1"/>
  <c r="R359" i="1" l="1"/>
  <c r="S360" i="1"/>
  <c r="T360" i="1" s="1"/>
  <c r="R358" i="1" l="1"/>
  <c r="S359" i="1"/>
  <c r="T359" i="1" s="1"/>
  <c r="R357" i="1" l="1"/>
  <c r="S358" i="1"/>
  <c r="T358" i="1" s="1"/>
  <c r="S357" i="1" l="1"/>
  <c r="T357" i="1" s="1"/>
  <c r="R356" i="1"/>
  <c r="R355" i="1" l="1"/>
  <c r="S356" i="1"/>
  <c r="T356" i="1" s="1"/>
  <c r="R354" i="1" l="1"/>
  <c r="S355" i="1"/>
  <c r="T355" i="1" s="1"/>
  <c r="S354" i="1" l="1"/>
  <c r="T354" i="1" s="1"/>
  <c r="R353" i="1"/>
  <c r="S353" i="1" l="1"/>
  <c r="T353" i="1" s="1"/>
  <c r="R352" i="1"/>
  <c r="S352" i="1" l="1"/>
  <c r="T352" i="1" s="1"/>
  <c r="R351" i="1"/>
  <c r="S351" i="1" l="1"/>
  <c r="T351" i="1" s="1"/>
  <c r="R350" i="1"/>
  <c r="S350" i="1" l="1"/>
  <c r="T350" i="1" s="1"/>
  <c r="R349" i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S345" i="1" l="1"/>
  <c r="T345" i="1" s="1"/>
  <c r="R344" i="1"/>
  <c r="S344" i="1" l="1"/>
  <c r="T344" i="1" s="1"/>
  <c r="R343" i="1"/>
  <c r="S343" i="1" l="1"/>
  <c r="T343" i="1" s="1"/>
  <c r="R342" i="1"/>
  <c r="S342" i="1" l="1"/>
  <c r="T342" i="1" s="1"/>
  <c r="R341" i="1"/>
  <c r="S341" i="1" l="1"/>
  <c r="T341" i="1" s="1"/>
  <c r="R340" i="1"/>
  <c r="S340" i="1" l="1"/>
  <c r="T340" i="1" s="1"/>
  <c r="R339" i="1"/>
  <c r="S339" i="1" l="1"/>
  <c r="T339" i="1" s="1"/>
  <c r="R338" i="1"/>
  <c r="S338" i="1" l="1"/>
  <c r="T338" i="1" s="1"/>
  <c r="R337" i="1"/>
  <c r="S337" i="1" l="1"/>
  <c r="T337" i="1" s="1"/>
  <c r="R336" i="1"/>
  <c r="R335" i="1" l="1"/>
  <c r="S336" i="1"/>
  <c r="T336" i="1" s="1"/>
  <c r="S335" i="1" l="1"/>
  <c r="T335" i="1" s="1"/>
  <c r="R334" i="1"/>
  <c r="S334" i="1" l="1"/>
  <c r="T334" i="1" s="1"/>
  <c r="R333" i="1"/>
  <c r="S333" i="1" l="1"/>
  <c r="T333" i="1" s="1"/>
  <c r="R332" i="1"/>
  <c r="S332" i="1" l="1"/>
  <c r="T332" i="1" s="1"/>
  <c r="R331" i="1"/>
  <c r="S331" i="1" l="1"/>
  <c r="T331" i="1" s="1"/>
  <c r="R330" i="1"/>
  <c r="R329" i="1" l="1"/>
  <c r="S330" i="1"/>
  <c r="T330" i="1" s="1"/>
  <c r="R328" i="1" l="1"/>
  <c r="S329" i="1"/>
  <c r="T329" i="1" s="1"/>
  <c r="S328" i="1" l="1"/>
  <c r="T328" i="1" s="1"/>
  <c r="R327" i="1"/>
  <c r="S327" i="1" l="1"/>
  <c r="T327" i="1" s="1"/>
  <c r="R326" i="1"/>
  <c r="R325" i="1" l="1"/>
  <c r="S326" i="1"/>
  <c r="T326" i="1" s="1"/>
  <c r="S325" i="1" l="1"/>
  <c r="T325" i="1" s="1"/>
  <c r="R324" i="1"/>
  <c r="S324" i="1" l="1"/>
  <c r="T324" i="1" s="1"/>
  <c r="R323" i="1"/>
  <c r="S323" i="1" l="1"/>
  <c r="T323" i="1" s="1"/>
  <c r="R322" i="1"/>
  <c r="R321" i="1" l="1"/>
  <c r="S322" i="1"/>
  <c r="T322" i="1" s="1"/>
  <c r="S321" i="1" l="1"/>
  <c r="T321" i="1" s="1"/>
  <c r="R320" i="1"/>
  <c r="S320" i="1" l="1"/>
  <c r="T320" i="1" s="1"/>
  <c r="R319" i="1"/>
  <c r="S319" i="1" l="1"/>
  <c r="T319" i="1" s="1"/>
  <c r="R318" i="1"/>
  <c r="S318" i="1" l="1"/>
  <c r="T318" i="1" s="1"/>
  <c r="R317" i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S311" i="1" l="1"/>
  <c r="T311" i="1" s="1"/>
  <c r="R310" i="1"/>
  <c r="S310" i="1" l="1"/>
  <c r="T310" i="1" s="1"/>
  <c r="R309" i="1"/>
  <c r="S309" i="1" l="1"/>
  <c r="T309" i="1" s="1"/>
  <c r="R308" i="1"/>
  <c r="S308" i="1" l="1"/>
  <c r="T308" i="1" s="1"/>
  <c r="R307" i="1"/>
  <c r="R306" i="1" l="1"/>
  <c r="S307" i="1"/>
  <c r="T307" i="1" s="1"/>
  <c r="R305" i="1" l="1"/>
  <c r="S306" i="1"/>
  <c r="T306" i="1" s="1"/>
  <c r="R304" i="1" l="1"/>
  <c r="S305" i="1"/>
  <c r="T305" i="1" s="1"/>
  <c r="S304" i="1" l="1"/>
  <c r="T304" i="1" s="1"/>
  <c r="R303" i="1"/>
  <c r="R302" i="1" l="1"/>
  <c r="S303" i="1"/>
  <c r="T303" i="1" s="1"/>
  <c r="S302" i="1" l="1"/>
  <c r="T302" i="1" s="1"/>
  <c r="R301" i="1"/>
  <c r="R300" i="1" l="1"/>
  <c r="S301" i="1"/>
  <c r="T301" i="1" s="1"/>
  <c r="S300" i="1" l="1"/>
  <c r="T300" i="1" s="1"/>
  <c r="R299" i="1"/>
  <c r="R298" i="1" l="1"/>
  <c r="S299" i="1"/>
  <c r="T299" i="1" s="1"/>
  <c r="S298" i="1" l="1"/>
  <c r="T298" i="1" s="1"/>
  <c r="R297" i="1"/>
  <c r="R296" i="1" l="1"/>
  <c r="S297" i="1"/>
  <c r="T297" i="1" s="1"/>
  <c r="S296" i="1" l="1"/>
  <c r="T296" i="1" s="1"/>
  <c r="R295" i="1"/>
  <c r="R294" i="1" l="1"/>
  <c r="S295" i="1"/>
  <c r="T295" i="1" s="1"/>
  <c r="S294" i="1" l="1"/>
  <c r="T294" i="1" s="1"/>
  <c r="R293" i="1"/>
  <c r="R292" i="1" l="1"/>
  <c r="S293" i="1"/>
  <c r="T293" i="1" s="1"/>
  <c r="S292" i="1" l="1"/>
  <c r="T292" i="1" s="1"/>
  <c r="R291" i="1"/>
  <c r="R290" i="1" l="1"/>
  <c r="S291" i="1"/>
  <c r="T291" i="1" s="1"/>
  <c r="S290" i="1" l="1"/>
  <c r="T290" i="1" s="1"/>
  <c r="R289" i="1"/>
  <c r="R288" i="1" l="1"/>
  <c r="S289" i="1"/>
  <c r="T289" i="1" s="1"/>
  <c r="S288" i="1" l="1"/>
  <c r="T288" i="1" s="1"/>
  <c r="R287" i="1"/>
  <c r="S287" i="1" l="1"/>
  <c r="T287" i="1" s="1"/>
  <c r="R286" i="1"/>
  <c r="R285" i="1" l="1"/>
  <c r="S286" i="1"/>
  <c r="T286" i="1" s="1"/>
  <c r="S285" i="1" l="1"/>
  <c r="T285" i="1" s="1"/>
  <c r="R284" i="1"/>
  <c r="S284" i="1" l="1"/>
  <c r="T284" i="1" s="1"/>
  <c r="R283" i="1"/>
  <c r="S283" i="1" l="1"/>
  <c r="T283" i="1" s="1"/>
  <c r="R282" i="1"/>
  <c r="S282" i="1" l="1"/>
  <c r="T282" i="1" s="1"/>
  <c r="R281" i="1"/>
  <c r="S281" i="1" l="1"/>
  <c r="T281" i="1" s="1"/>
  <c r="R280" i="1"/>
  <c r="R279" i="1" l="1"/>
  <c r="S280" i="1"/>
  <c r="T280" i="1" s="1"/>
  <c r="S279" i="1" l="1"/>
  <c r="T279" i="1" s="1"/>
  <c r="R278" i="1"/>
  <c r="R277" i="1" l="1"/>
  <c r="S278" i="1"/>
  <c r="T278" i="1" s="1"/>
  <c r="S277" i="1" l="1"/>
  <c r="T277" i="1" s="1"/>
  <c r="R276" i="1"/>
  <c r="R275" i="1" l="1"/>
  <c r="S276" i="1"/>
  <c r="T276" i="1" s="1"/>
  <c r="S275" i="1" l="1"/>
  <c r="T275" i="1" s="1"/>
  <c r="R274" i="1"/>
  <c r="R273" i="1" l="1"/>
  <c r="S274" i="1"/>
  <c r="T274" i="1" s="1"/>
  <c r="S273" i="1" l="1"/>
  <c r="T273" i="1" s="1"/>
  <c r="R272" i="1"/>
  <c r="R271" i="1" l="1"/>
  <c r="S272" i="1"/>
  <c r="T272" i="1" s="1"/>
  <c r="R270" i="1" l="1"/>
  <c r="S271" i="1"/>
  <c r="T271" i="1" s="1"/>
  <c r="R269" i="1" l="1"/>
  <c r="S270" i="1"/>
  <c r="T270" i="1" s="1"/>
  <c r="S269" i="1" l="1"/>
  <c r="T269" i="1" s="1"/>
  <c r="R268" i="1"/>
  <c r="S268" i="1" l="1"/>
  <c r="T268" i="1" s="1"/>
  <c r="R267" i="1"/>
  <c r="S267" i="1" l="1"/>
  <c r="T267" i="1" s="1"/>
  <c r="R266" i="1"/>
  <c r="S266" i="1" l="1"/>
  <c r="T266" i="1" s="1"/>
  <c r="R265" i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R258" i="1" l="1"/>
  <c r="S259" i="1"/>
  <c r="T259" i="1" s="1"/>
  <c r="R257" i="1" l="1"/>
  <c r="S258" i="1"/>
  <c r="T258" i="1" s="1"/>
  <c r="S257" i="1" l="1"/>
  <c r="T257" i="1" s="1"/>
  <c r="R256" i="1"/>
  <c r="S256" i="1" l="1"/>
  <c r="T256" i="1" s="1"/>
  <c r="R255" i="1"/>
  <c r="R254" i="1" l="1"/>
  <c r="S255" i="1"/>
  <c r="T255" i="1" s="1"/>
  <c r="S254" i="1" l="1"/>
  <c r="T254" i="1" s="1"/>
  <c r="R253" i="1"/>
  <c r="S253" i="1" l="1"/>
  <c r="T253" i="1" s="1"/>
  <c r="R252" i="1"/>
  <c r="S252" i="1" l="1"/>
  <c r="T252" i="1" s="1"/>
  <c r="R251" i="1"/>
  <c r="R250" i="1" l="1"/>
  <c r="S251" i="1"/>
  <c r="T251" i="1" s="1"/>
  <c r="S250" i="1" l="1"/>
  <c r="T250" i="1" s="1"/>
  <c r="R249" i="1"/>
  <c r="R248" i="1" l="1"/>
  <c r="S249" i="1"/>
  <c r="T249" i="1" s="1"/>
  <c r="R247" i="1" l="1"/>
  <c r="S248" i="1"/>
  <c r="T248" i="1" s="1"/>
  <c r="S247" i="1" l="1"/>
  <c r="T247" i="1" s="1"/>
  <c r="R246" i="1"/>
  <c r="S246" i="1" l="1"/>
  <c r="T246" i="1" s="1"/>
  <c r="R245" i="1"/>
  <c r="S245" i="1" l="1"/>
  <c r="T245" i="1" s="1"/>
  <c r="R244" i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S233" i="1" l="1"/>
  <c r="T233" i="1" s="1"/>
  <c r="R232" i="1"/>
  <c r="S232" i="1" l="1"/>
  <c r="T232" i="1" s="1"/>
  <c r="R231" i="1"/>
  <c r="S231" i="1" l="1"/>
  <c r="T231" i="1" s="1"/>
  <c r="R230" i="1"/>
  <c r="S230" i="1" l="1"/>
  <c r="T230" i="1" s="1"/>
  <c r="R229" i="1"/>
  <c r="S229" i="1" l="1"/>
  <c r="T229" i="1" s="1"/>
  <c r="R228" i="1"/>
  <c r="R227" i="1" l="1"/>
  <c r="S228" i="1"/>
  <c r="T228" i="1" s="1"/>
  <c r="R226" i="1" l="1"/>
  <c r="S227" i="1"/>
  <c r="T227" i="1" s="1"/>
  <c r="S226" i="1" l="1"/>
  <c r="T226" i="1" s="1"/>
  <c r="R225" i="1"/>
  <c r="S225" i="1" l="1"/>
  <c r="T225" i="1" s="1"/>
  <c r="R224" i="1"/>
  <c r="R223" i="1" l="1"/>
  <c r="S224" i="1"/>
  <c r="T224" i="1" s="1"/>
  <c r="R222" i="1" l="1"/>
  <c r="S223" i="1"/>
  <c r="T223" i="1" s="1"/>
  <c r="S222" i="1" l="1"/>
  <c r="T222" i="1" s="1"/>
  <c r="R221" i="1"/>
  <c r="R220" i="1" l="1"/>
  <c r="S221" i="1"/>
  <c r="T221" i="1" s="1"/>
  <c r="S220" i="1" l="1"/>
  <c r="T220" i="1" s="1"/>
  <c r="R219" i="1"/>
  <c r="S219" i="1" l="1"/>
  <c r="T219" i="1" s="1"/>
  <c r="R218" i="1"/>
  <c r="S218" i="1" l="1"/>
  <c r="T218" i="1" s="1"/>
  <c r="R217" i="1"/>
  <c r="S217" i="1" l="1"/>
  <c r="T217" i="1" s="1"/>
  <c r="R216" i="1"/>
  <c r="S216" i="1" l="1"/>
  <c r="T216" i="1" s="1"/>
  <c r="R215" i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S210" i="1" l="1"/>
  <c r="T210" i="1" s="1"/>
  <c r="R209" i="1"/>
  <c r="S209" i="1" l="1"/>
  <c r="T209" i="1" s="1"/>
  <c r="R208" i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R201" i="1" l="1"/>
  <c r="S202" i="1"/>
  <c r="T202" i="1" s="1"/>
  <c r="S201" i="1" l="1"/>
  <c r="T201" i="1" s="1"/>
  <c r="R200" i="1"/>
  <c r="R199" i="1" l="1"/>
  <c r="S200" i="1"/>
  <c r="T200" i="1" s="1"/>
  <c r="S199" i="1" l="1"/>
  <c r="T199" i="1" s="1"/>
  <c r="R198" i="1"/>
  <c r="S198" i="1" l="1"/>
  <c r="T198" i="1" s="1"/>
  <c r="R197" i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S193" i="1" l="1"/>
  <c r="T193" i="1" s="1"/>
  <c r="R192" i="1"/>
  <c r="S192" i="1" l="1"/>
  <c r="T192" i="1" s="1"/>
  <c r="R191" i="1"/>
  <c r="S191" i="1" l="1"/>
  <c r="T191" i="1" s="1"/>
  <c r="R190" i="1"/>
  <c r="R189" i="1" l="1"/>
  <c r="S190" i="1"/>
  <c r="T190" i="1" s="1"/>
  <c r="S189" i="1" l="1"/>
  <c r="T189" i="1" s="1"/>
  <c r="R188" i="1"/>
  <c r="R187" i="1" l="1"/>
  <c r="S188" i="1"/>
  <c r="T188" i="1" s="1"/>
  <c r="S187" i="1" l="1"/>
  <c r="T187" i="1" s="1"/>
  <c r="R186" i="1"/>
  <c r="R185" i="1" l="1"/>
  <c r="S186" i="1"/>
  <c r="T186" i="1" s="1"/>
  <c r="S185" i="1" l="1"/>
  <c r="T185" i="1" s="1"/>
  <c r="R184" i="1"/>
  <c r="R183" i="1" l="1"/>
  <c r="S184" i="1"/>
  <c r="T184" i="1" s="1"/>
  <c r="S183" i="1" l="1"/>
  <c r="T183" i="1" s="1"/>
  <c r="R182" i="1"/>
  <c r="R181" i="1" l="1"/>
  <c r="S182" i="1"/>
  <c r="T182" i="1" s="1"/>
  <c r="S181" i="1" l="1"/>
  <c r="T181" i="1" s="1"/>
  <c r="R180" i="1"/>
  <c r="S180" i="1" l="1"/>
  <c r="T180" i="1" s="1"/>
  <c r="R179" i="1"/>
  <c r="S179" i="1" l="1"/>
  <c r="T179" i="1" s="1"/>
  <c r="R178" i="1"/>
  <c r="R177" i="1" l="1"/>
  <c r="S178" i="1"/>
  <c r="T178" i="1" s="1"/>
  <c r="S177" i="1" l="1"/>
  <c r="T177" i="1" s="1"/>
  <c r="R176" i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S166" i="1" l="1"/>
  <c r="T166" i="1" s="1"/>
  <c r="R165" i="1"/>
  <c r="S165" i="1" l="1"/>
  <c r="T165" i="1" s="1"/>
  <c r="R164" i="1"/>
  <c r="S164" i="1" l="1"/>
  <c r="T164" i="1" s="1"/>
  <c r="R163" i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S154" i="1" l="1"/>
  <c r="T154" i="1" s="1"/>
  <c r="R153" i="1"/>
  <c r="S153" i="1" l="1"/>
  <c r="T153" i="1" s="1"/>
  <c r="R152" i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S146" i="1" l="1"/>
  <c r="T146" i="1" s="1"/>
  <c r="R145" i="1"/>
  <c r="S145" i="1" l="1"/>
  <c r="T145" i="1" s="1"/>
  <c r="R144" i="1"/>
  <c r="S144" i="1" l="1"/>
  <c r="T144" i="1" s="1"/>
  <c r="R143" i="1"/>
  <c r="R142" i="1" l="1"/>
  <c r="S143" i="1"/>
  <c r="T143" i="1" s="1"/>
  <c r="R141" i="1" l="1"/>
  <c r="S142" i="1"/>
  <c r="T142" i="1" s="1"/>
  <c r="S141" i="1" l="1"/>
  <c r="T141" i="1" s="1"/>
  <c r="R140" i="1"/>
  <c r="R139" i="1" l="1"/>
  <c r="S140" i="1"/>
  <c r="T140" i="1" s="1"/>
  <c r="R138" i="1" l="1"/>
  <c r="S139" i="1"/>
  <c r="T139" i="1" s="1"/>
  <c r="S138" i="1" l="1"/>
  <c r="T138" i="1" s="1"/>
  <c r="R137" i="1"/>
  <c r="S137" i="1" l="1"/>
  <c r="T137" i="1" s="1"/>
  <c r="R136" i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S129" i="1" l="1"/>
  <c r="T129" i="1" s="1"/>
  <c r="R128" i="1"/>
  <c r="S128" i="1" l="1"/>
  <c r="T128" i="1" s="1"/>
  <c r="R127" i="1"/>
  <c r="S127" i="1" l="1"/>
  <c r="T127" i="1" s="1"/>
  <c r="R126" i="1"/>
  <c r="S126" i="1" l="1"/>
  <c r="T126" i="1" s="1"/>
  <c r="R125" i="1"/>
  <c r="S125" i="1" l="1"/>
  <c r="T125" i="1" s="1"/>
  <c r="R124" i="1"/>
  <c r="S124" i="1" l="1"/>
  <c r="T124" i="1" s="1"/>
  <c r="R123" i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S118" i="1" l="1"/>
  <c r="T118" i="1" s="1"/>
  <c r="R117" i="1"/>
  <c r="S117" i="1" l="1"/>
  <c r="T117" i="1" s="1"/>
  <c r="R116" i="1"/>
  <c r="S116" i="1" l="1"/>
  <c r="T116" i="1" s="1"/>
  <c r="R115" i="1"/>
  <c r="R114" i="1" l="1"/>
  <c r="S115" i="1"/>
  <c r="T115" i="1" s="1"/>
  <c r="S114" i="1" l="1"/>
  <c r="T114" i="1" s="1"/>
  <c r="R113" i="1"/>
  <c r="R112" i="1" l="1"/>
  <c r="S113" i="1"/>
  <c r="T113" i="1" s="1"/>
  <c r="R111" i="1" l="1"/>
  <c r="S112" i="1"/>
  <c r="T112" i="1" s="1"/>
  <c r="R110" i="1" l="1"/>
  <c r="S111" i="1"/>
  <c r="T111" i="1" s="1"/>
  <c r="S110" i="1" l="1"/>
  <c r="T110" i="1" s="1"/>
  <c r="R109" i="1"/>
  <c r="R108" i="1" l="1"/>
  <c r="S109" i="1"/>
  <c r="T109" i="1" s="1"/>
  <c r="R107" i="1" l="1"/>
  <c r="S108" i="1"/>
  <c r="T108" i="1" s="1"/>
  <c r="S107" i="1" l="1"/>
  <c r="T107" i="1" s="1"/>
  <c r="R106" i="1"/>
  <c r="S106" i="1" l="1"/>
  <c r="T106" i="1" s="1"/>
  <c r="R105" i="1"/>
  <c r="R104" i="1" l="1"/>
  <c r="S105" i="1"/>
  <c r="T105" i="1" s="1"/>
  <c r="S104" i="1" l="1"/>
  <c r="T104" i="1" s="1"/>
  <c r="R103" i="1"/>
  <c r="R102" i="1" l="1"/>
  <c r="S103" i="1"/>
  <c r="T103" i="1" s="1"/>
  <c r="R101" i="1" l="1"/>
  <c r="S102" i="1"/>
  <c r="T102" i="1" s="1"/>
  <c r="S101" i="1" l="1"/>
  <c r="T101" i="1" s="1"/>
  <c r="R100" i="1"/>
  <c r="S100" i="1" l="1"/>
  <c r="T100" i="1" s="1"/>
  <c r="R99" i="1"/>
  <c r="R98" i="1" l="1"/>
  <c r="S99" i="1"/>
  <c r="T99" i="1" s="1"/>
  <c r="R97" i="1" l="1"/>
  <c r="S98" i="1"/>
  <c r="T98" i="1" s="1"/>
  <c r="S97" i="1" l="1"/>
  <c r="T97" i="1" s="1"/>
  <c r="R96" i="1"/>
  <c r="R95" i="1" l="1"/>
  <c r="S96" i="1"/>
  <c r="T96" i="1" s="1"/>
  <c r="R94" i="1" l="1"/>
  <c r="S95" i="1"/>
  <c r="T95" i="1" s="1"/>
  <c r="S94" i="1" l="1"/>
  <c r="T94" i="1" s="1"/>
  <c r="R93" i="1"/>
  <c r="S93" i="1" l="1"/>
  <c r="T93" i="1" s="1"/>
  <c r="R92" i="1"/>
  <c r="R91" i="1" l="1"/>
  <c r="S92" i="1"/>
  <c r="T92" i="1" s="1"/>
  <c r="R90" i="1" l="1"/>
  <c r="S91" i="1"/>
  <c r="T91" i="1" s="1"/>
  <c r="S90" i="1" l="1"/>
  <c r="T90" i="1" s="1"/>
  <c r="R89" i="1"/>
  <c r="R88" i="1" l="1"/>
  <c r="S89" i="1"/>
  <c r="T89" i="1" s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S80" i="1" l="1"/>
  <c r="T80" i="1" s="1"/>
  <c r="R79" i="1"/>
  <c r="R78" i="1" l="1"/>
  <c r="S79" i="1"/>
  <c r="T79" i="1" s="1"/>
  <c r="R77" i="1" l="1"/>
  <c r="S78" i="1"/>
  <c r="T78" i="1" s="1"/>
  <c r="S77" i="1" l="1"/>
  <c r="T77" i="1" s="1"/>
  <c r="R76" i="1"/>
  <c r="S76" i="1" l="1"/>
  <c r="T76" i="1" s="1"/>
  <c r="R75" i="1"/>
  <c r="R74" i="1" l="1"/>
  <c r="S75" i="1"/>
  <c r="T75" i="1" s="1"/>
  <c r="S74" i="1" l="1"/>
  <c r="T74" i="1" s="1"/>
  <c r="R73" i="1"/>
  <c r="S73" i="1" l="1"/>
  <c r="T73" i="1" s="1"/>
  <c r="R72" i="1"/>
  <c r="S72" i="1" l="1"/>
  <c r="T72" i="1" s="1"/>
  <c r="R71" i="1"/>
  <c r="R70" i="1" l="1"/>
  <c r="S71" i="1"/>
  <c r="T71" i="1" s="1"/>
  <c r="S70" i="1" l="1"/>
  <c r="T70" i="1" s="1"/>
  <c r="R69" i="1"/>
  <c r="R68" i="1" l="1"/>
  <c r="S69" i="1"/>
  <c r="T69" i="1" s="1"/>
  <c r="R67" i="1" l="1"/>
  <c r="S68" i="1"/>
  <c r="T68" i="1" s="1"/>
  <c r="R66" i="1" l="1"/>
  <c r="S67" i="1"/>
  <c r="T67" i="1" s="1"/>
  <c r="S66" i="1" l="1"/>
  <c r="T66" i="1" s="1"/>
  <c r="R65" i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S53" i="1" l="1"/>
  <c r="T53" i="1" s="1"/>
  <c r="R52" i="1"/>
  <c r="S52" i="1" l="1"/>
  <c r="T52" i="1" s="1"/>
  <c r="R51" i="1"/>
  <c r="S51" i="1" l="1"/>
  <c r="T51" i="1" s="1"/>
  <c r="R50" i="1"/>
  <c r="S50" i="1" l="1"/>
  <c r="T50" i="1" s="1"/>
  <c r="R49" i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R37" i="1" l="1"/>
  <c r="S38" i="1"/>
  <c r="T38" i="1" s="1"/>
  <c r="S37" i="1" l="1"/>
  <c r="T37" i="1" s="1"/>
  <c r="R36" i="1"/>
  <c r="R35" i="1" l="1"/>
  <c r="S36" i="1"/>
  <c r="T36" i="1" s="1"/>
  <c r="R34" i="1" l="1"/>
  <c r="S35" i="1"/>
  <c r="T35" i="1" s="1"/>
  <c r="S34" i="1" l="1"/>
  <c r="T34" i="1" s="1"/>
  <c r="R33" i="1"/>
  <c r="R32" i="1" l="1"/>
  <c r="S33" i="1"/>
  <c r="T33" i="1" s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R27" i="1" l="1"/>
  <c r="S28" i="1"/>
  <c r="T28" i="1" s="1"/>
  <c r="R26" i="1" l="1"/>
  <c r="S27" i="1"/>
  <c r="T27" i="1" s="1"/>
  <c r="S26" i="1" l="1"/>
  <c r="T26" i="1" s="1"/>
  <c r="R25" i="1"/>
  <c r="S25" i="1" l="1"/>
  <c r="T25" i="1" s="1"/>
  <c r="R24" i="1"/>
  <c r="S24" i="1" l="1"/>
  <c r="T24" i="1" s="1"/>
  <c r="R23" i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<sst xmlns="http://schemas.openxmlformats.org/spreadsheetml/2006/main" count="3718" uniqueCount="34">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</sst>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5.67</c:v>
                </c:pt>
                <c:pt idx="1">
                  <c:v>5.93</c:v>
                </c:pt>
                <c:pt idx="2">
                  <c:v>5.83</c:v>
                </c:pt>
                <c:pt idx="3">
                  <c:v>6.19</c:v>
                </c:pt>
                <c:pt idx="4">
                  <c:v>7.93</c:v>
                </c:pt>
                <c:pt idx="5">
                  <c:v>7.82</c:v>
                </c:pt>
                <c:pt idx="6">
                  <c:v>8.8699999999999992</c:v>
                </c:pt>
                <c:pt idx="7">
                  <c:v>8.93</c:v>
                </c:pt>
                <c:pt idx="8">
                  <c:v>8.98</c:v>
                </c:pt>
                <c:pt idx="9">
                  <c:v>8.89</c:v>
                </c:pt>
                <c:pt idx="10">
                  <c:v>8.3800000000000008</c:v>
                </c:pt>
                <c:pt idx="11">
                  <c:v>8.67</c:v>
                </c:pt>
                <c:pt idx="12">
                  <c:v>8.7100000000000009</c:v>
                </c:pt>
                <c:pt idx="13">
                  <c:v>8.9700000000000006</c:v>
                </c:pt>
                <c:pt idx="14">
                  <c:v>9.0500000000000007</c:v>
                </c:pt>
                <c:pt idx="15">
                  <c:v>9.51</c:v>
                </c:pt>
                <c:pt idx="16">
                  <c:v>9.41</c:v>
                </c:pt>
                <c:pt idx="17">
                  <c:v>9.27</c:v>
                </c:pt>
                <c:pt idx="18">
                  <c:v>9.18</c:v>
                </c:pt>
                <c:pt idx="19">
                  <c:v>9.0299999999999994</c:v>
                </c:pt>
                <c:pt idx="20">
                  <c:v>8.75</c:v>
                </c:pt>
                <c:pt idx="21">
                  <c:v>8.69</c:v>
                </c:pt>
                <c:pt idx="22">
                  <c:v>9.32</c:v>
                </c:pt>
                <c:pt idx="23">
                  <c:v>9.33</c:v>
                </c:pt>
                <c:pt idx="24">
                  <c:v>9.19</c:v>
                </c:pt>
                <c:pt idx="25">
                  <c:v>9.08</c:v>
                </c:pt>
                <c:pt idx="26">
                  <c:v>9.1300000000000008</c:v>
                </c:pt>
                <c:pt idx="27">
                  <c:v>8.77</c:v>
                </c:pt>
                <c:pt idx="28">
                  <c:v>9.0399999999999991</c:v>
                </c:pt>
                <c:pt idx="29">
                  <c:v>8.86</c:v>
                </c:pt>
                <c:pt idx="30">
                  <c:v>9.0500000000000007</c:v>
                </c:pt>
                <c:pt idx="31">
                  <c:v>9.51</c:v>
                </c:pt>
                <c:pt idx="32">
                  <c:v>9.48</c:v>
                </c:pt>
                <c:pt idx="33">
                  <c:v>9.19</c:v>
                </c:pt>
                <c:pt idx="34">
                  <c:v>9.15</c:v>
                </c:pt>
                <c:pt idx="35">
                  <c:v>9.39</c:v>
                </c:pt>
                <c:pt idx="36">
                  <c:v>9.36</c:v>
                </c:pt>
                <c:pt idx="37">
                  <c:v>9.9499999999999993</c:v>
                </c:pt>
                <c:pt idx="38">
                  <c:v>10.029999999999999</c:v>
                </c:pt>
                <c:pt idx="39">
                  <c:v>9.7799999999999994</c:v>
                </c:pt>
                <c:pt idx="40">
                  <c:v>9.43</c:v>
                </c:pt>
                <c:pt idx="41">
                  <c:v>9.2799999999999994</c:v>
                </c:pt>
                <c:pt idx="42">
                  <c:v>9.0500000000000007</c:v>
                </c:pt>
                <c:pt idx="43">
                  <c:v>8.93</c:v>
                </c:pt>
                <c:pt idx="44">
                  <c:v>8.76</c:v>
                </c:pt>
                <c:pt idx="45">
                  <c:v>8.65</c:v>
                </c:pt>
                <c:pt idx="46">
                  <c:v>9.36</c:v>
                </c:pt>
                <c:pt idx="47">
                  <c:v>9.1199999999999992</c:v>
                </c:pt>
                <c:pt idx="48">
                  <c:v>9.1</c:v>
                </c:pt>
                <c:pt idx="49">
                  <c:v>9.84</c:v>
                </c:pt>
                <c:pt idx="50">
                  <c:v>11.08</c:v>
                </c:pt>
                <c:pt idx="51">
                  <c:v>11.09</c:v>
                </c:pt>
                <c:pt idx="52">
                  <c:v>11.34</c:v>
                </c:pt>
                <c:pt idx="53">
                  <c:v>11.06</c:v>
                </c:pt>
                <c:pt idx="54">
                  <c:v>11.66</c:v>
                </c:pt>
                <c:pt idx="55">
                  <c:v>12.56</c:v>
                </c:pt>
                <c:pt idx="56">
                  <c:v>13.18</c:v>
                </c:pt>
                <c:pt idx="57">
                  <c:v>13.06</c:v>
                </c:pt>
                <c:pt idx="58">
                  <c:v>12.6</c:v>
                </c:pt>
                <c:pt idx="59">
                  <c:v>13</c:v>
                </c:pt>
                <c:pt idx="60">
                  <c:v>12.73</c:v>
                </c:pt>
                <c:pt idx="61">
                  <c:v>12.71</c:v>
                </c:pt>
                <c:pt idx="62">
                  <c:v>12.42</c:v>
                </c:pt>
                <c:pt idx="63">
                  <c:v>14.86</c:v>
                </c:pt>
                <c:pt idx="64">
                  <c:v>14.77</c:v>
                </c:pt>
                <c:pt idx="65">
                  <c:v>15.11</c:v>
                </c:pt>
                <c:pt idx="66">
                  <c:v>14.85</c:v>
                </c:pt>
                <c:pt idx="67">
                  <c:v>15.27</c:v>
                </c:pt>
                <c:pt idx="68">
                  <c:v>15.23</c:v>
                </c:pt>
                <c:pt idx="69">
                  <c:v>15.03</c:v>
                </c:pt>
                <c:pt idx="70">
                  <c:v>14</c:v>
                </c:pt>
                <c:pt idx="71">
                  <c:v>15.47</c:v>
                </c:pt>
                <c:pt idx="72">
                  <c:v>15.31</c:v>
                </c:pt>
                <c:pt idx="73">
                  <c:v>16.41</c:v>
                </c:pt>
                <c:pt idx="74">
                  <c:v>17.29</c:v>
                </c:pt>
                <c:pt idx="75">
                  <c:v>17.36</c:v>
                </c:pt>
                <c:pt idx="76">
                  <c:v>17.5</c:v>
                </c:pt>
                <c:pt idx="77">
                  <c:v>16.77</c:v>
                </c:pt>
                <c:pt idx="78">
                  <c:v>16.73</c:v>
                </c:pt>
                <c:pt idx="79">
                  <c:v>17.690000000000001</c:v>
                </c:pt>
                <c:pt idx="80">
                  <c:v>17.97</c:v>
                </c:pt>
                <c:pt idx="81">
                  <c:v>17.420000000000002</c:v>
                </c:pt>
                <c:pt idx="82">
                  <c:v>17.309999999999999</c:v>
                </c:pt>
                <c:pt idx="83">
                  <c:v>17.329999999999998</c:v>
                </c:pt>
                <c:pt idx="84">
                  <c:v>16.989999999999998</c:v>
                </c:pt>
                <c:pt idx="85">
                  <c:v>17.010000000000002</c:v>
                </c:pt>
                <c:pt idx="86">
                  <c:v>17.350000000000001</c:v>
                </c:pt>
                <c:pt idx="87">
                  <c:v>16.32</c:v>
                </c:pt>
                <c:pt idx="88">
                  <c:v>16.420000000000002</c:v>
                </c:pt>
                <c:pt idx="89">
                  <c:v>16.940000000000001</c:v>
                </c:pt>
                <c:pt idx="90">
                  <c:v>16.75</c:v>
                </c:pt>
                <c:pt idx="91">
                  <c:v>16.5</c:v>
                </c:pt>
                <c:pt idx="92">
                  <c:v>15.71</c:v>
                </c:pt>
                <c:pt idx="93">
                  <c:v>17.02</c:v>
                </c:pt>
                <c:pt idx="94">
                  <c:v>16.420000000000002</c:v>
                </c:pt>
                <c:pt idx="95">
                  <c:v>16.149999999999999</c:v>
                </c:pt>
                <c:pt idx="96">
                  <c:v>16.25</c:v>
                </c:pt>
                <c:pt idx="97">
                  <c:v>15.95</c:v>
                </c:pt>
                <c:pt idx="98">
                  <c:v>16.18</c:v>
                </c:pt>
                <c:pt idx="99">
                  <c:v>16.16</c:v>
                </c:pt>
                <c:pt idx="100">
                  <c:v>16.11</c:v>
                </c:pt>
                <c:pt idx="101">
                  <c:v>16.739999999999998</c:v>
                </c:pt>
                <c:pt idx="102">
                  <c:v>17.8</c:v>
                </c:pt>
                <c:pt idx="103">
                  <c:v>17.16</c:v>
                </c:pt>
                <c:pt idx="104">
                  <c:v>18.52</c:v>
                </c:pt>
                <c:pt idx="105">
                  <c:v>18.14</c:v>
                </c:pt>
                <c:pt idx="106">
                  <c:v>17.86</c:v>
                </c:pt>
                <c:pt idx="107">
                  <c:v>15.4</c:v>
                </c:pt>
                <c:pt idx="108">
                  <c:v>15.56</c:v>
                </c:pt>
                <c:pt idx="109">
                  <c:v>13.41</c:v>
                </c:pt>
                <c:pt idx="110">
                  <c:v>14.14</c:v>
                </c:pt>
                <c:pt idx="111">
                  <c:v>13.74</c:v>
                </c:pt>
                <c:pt idx="112">
                  <c:v>13.44</c:v>
                </c:pt>
                <c:pt idx="113">
                  <c:v>13.8</c:v>
                </c:pt>
                <c:pt idx="114">
                  <c:v>13.84</c:v>
                </c:pt>
                <c:pt idx="115">
                  <c:v>14.54</c:v>
                </c:pt>
                <c:pt idx="116">
                  <c:v>15.04</c:v>
                </c:pt>
                <c:pt idx="117">
                  <c:v>15.54</c:v>
                </c:pt>
                <c:pt idx="118">
                  <c:v>14.91</c:v>
                </c:pt>
                <c:pt idx="119">
                  <c:v>14.23</c:v>
                </c:pt>
                <c:pt idx="120">
                  <c:v>15.02</c:v>
                </c:pt>
                <c:pt idx="121">
                  <c:v>13.65</c:v>
                </c:pt>
                <c:pt idx="122">
                  <c:v>15.13</c:v>
                </c:pt>
                <c:pt idx="123">
                  <c:v>14.1</c:v>
                </c:pt>
                <c:pt idx="124">
                  <c:v>11.91</c:v>
                </c:pt>
                <c:pt idx="125">
                  <c:v>12.23</c:v>
                </c:pt>
                <c:pt idx="126">
                  <c:v>13.08</c:v>
                </c:pt>
                <c:pt idx="127">
                  <c:v>13.92</c:v>
                </c:pt>
                <c:pt idx="128">
                  <c:v>11.1</c:v>
                </c:pt>
                <c:pt idx="129">
                  <c:v>13.96</c:v>
                </c:pt>
                <c:pt idx="130">
                  <c:v>14.29</c:v>
                </c:pt>
                <c:pt idx="131">
                  <c:v>14.99</c:v>
                </c:pt>
                <c:pt idx="132">
                  <c:v>15.32</c:v>
                </c:pt>
                <c:pt idx="133">
                  <c:v>17.16</c:v>
                </c:pt>
                <c:pt idx="134">
                  <c:v>17.8</c:v>
                </c:pt>
                <c:pt idx="135">
                  <c:v>18.329999999999998</c:v>
                </c:pt>
                <c:pt idx="136">
                  <c:v>16.04</c:v>
                </c:pt>
                <c:pt idx="137">
                  <c:v>14.98</c:v>
                </c:pt>
                <c:pt idx="138">
                  <c:v>15.75</c:v>
                </c:pt>
                <c:pt idx="139">
                  <c:v>15.49</c:v>
                </c:pt>
                <c:pt idx="140">
                  <c:v>18.23</c:v>
                </c:pt>
                <c:pt idx="141">
                  <c:v>19.559999999999999</c:v>
                </c:pt>
                <c:pt idx="142">
                  <c:v>20.02</c:v>
                </c:pt>
                <c:pt idx="143">
                  <c:v>21.5</c:v>
                </c:pt>
                <c:pt idx="144">
                  <c:v>19.87</c:v>
                </c:pt>
                <c:pt idx="145">
                  <c:v>19.13</c:v>
                </c:pt>
                <c:pt idx="146">
                  <c:v>19.86</c:v>
                </c:pt>
                <c:pt idx="147">
                  <c:v>19.5</c:v>
                </c:pt>
                <c:pt idx="148">
                  <c:v>20.83</c:v>
                </c:pt>
                <c:pt idx="149">
                  <c:v>20.16</c:v>
                </c:pt>
                <c:pt idx="150">
                  <c:v>21.45</c:v>
                </c:pt>
                <c:pt idx="151">
                  <c:v>18.670000000000002</c:v>
                </c:pt>
                <c:pt idx="152">
                  <c:v>17.920000000000002</c:v>
                </c:pt>
                <c:pt idx="153">
                  <c:v>17.23</c:v>
                </c:pt>
                <c:pt idx="154">
                  <c:v>16.86</c:v>
                </c:pt>
                <c:pt idx="155">
                  <c:v>18.257000000000001</c:v>
                </c:pt>
                <c:pt idx="156">
                  <c:v>16.895</c:v>
                </c:pt>
                <c:pt idx="157">
                  <c:v>17.562999999999999</c:v>
                </c:pt>
                <c:pt idx="158">
                  <c:v>17.863</c:v>
                </c:pt>
                <c:pt idx="159">
                  <c:v>18.186</c:v>
                </c:pt>
                <c:pt idx="160">
                  <c:v>18.814</c:v>
                </c:pt>
                <c:pt idx="161">
                  <c:v>18.817</c:v>
                </c:pt>
                <c:pt idx="162">
                  <c:v>16.268000000000001</c:v>
                </c:pt>
                <c:pt idx="163">
                  <c:v>14.834</c:v>
                </c:pt>
                <c:pt idx="164">
                  <c:v>14.343</c:v>
                </c:pt>
                <c:pt idx="165">
                  <c:v>14.683</c:v>
                </c:pt>
                <c:pt idx="166">
                  <c:v>14.762</c:v>
                </c:pt>
                <c:pt idx="167">
                  <c:v>15.794</c:v>
                </c:pt>
                <c:pt idx="168">
                  <c:v>15.074999999999999</c:v>
                </c:pt>
                <c:pt idx="169">
                  <c:v>15.629</c:v>
                </c:pt>
                <c:pt idx="170">
                  <c:v>15.602</c:v>
                </c:pt>
                <c:pt idx="171">
                  <c:v>15.906000000000001</c:v>
                </c:pt>
                <c:pt idx="172">
                  <c:v>14.481999999999999</c:v>
                </c:pt>
                <c:pt idx="173">
                  <c:v>15.98</c:v>
                </c:pt>
                <c:pt idx="174">
                  <c:v>15.657999999999999</c:v>
                </c:pt>
                <c:pt idx="175">
                  <c:v>15.949</c:v>
                </c:pt>
                <c:pt idx="176">
                  <c:v>16.977</c:v>
                </c:pt>
                <c:pt idx="177">
                  <c:v>15.923</c:v>
                </c:pt>
                <c:pt idx="178">
                  <c:v>14.285</c:v>
                </c:pt>
                <c:pt idx="179">
                  <c:v>13.936999999999999</c:v>
                </c:pt>
                <c:pt idx="180">
                  <c:v>14.763</c:v>
                </c:pt>
                <c:pt idx="181">
                  <c:v>14.7</c:v>
                </c:pt>
                <c:pt idx="182">
                  <c:v>13.733000000000001</c:v>
                </c:pt>
                <c:pt idx="183">
                  <c:v>10.709</c:v>
                </c:pt>
                <c:pt idx="184">
                  <c:v>9.9469999999999992</c:v>
                </c:pt>
                <c:pt idx="185">
                  <c:v>9.9830000000000005</c:v>
                </c:pt>
                <c:pt idx="186">
                  <c:v>9.1620000000000008</c:v>
                </c:pt>
                <c:pt idx="187">
                  <c:v>9.2560000000000002</c:v>
                </c:pt>
                <c:pt idx="188">
                  <c:v>9.2370000000000001</c:v>
                </c:pt>
                <c:pt idx="189">
                  <c:v>7.9009999999999998</c:v>
                </c:pt>
                <c:pt idx="190">
                  <c:v>7.5830000000000002</c:v>
                </c:pt>
                <c:pt idx="191">
                  <c:v>6.8289999999999997</c:v>
                </c:pt>
                <c:pt idx="192">
                  <c:v>6.6360000000000001</c:v>
                </c:pt>
                <c:pt idx="193">
                  <c:v>7.68</c:v>
                </c:pt>
                <c:pt idx="194">
                  <c:v>8.17</c:v>
                </c:pt>
                <c:pt idx="195">
                  <c:v>7.452</c:v>
                </c:pt>
                <c:pt idx="196">
                  <c:v>7.9909999999999997</c:v>
                </c:pt>
                <c:pt idx="197">
                  <c:v>8.0909999999999993</c:v>
                </c:pt>
                <c:pt idx="198">
                  <c:v>7.5940000000000003</c:v>
                </c:pt>
                <c:pt idx="199">
                  <c:v>8.3179999999999996</c:v>
                </c:pt>
                <c:pt idx="200">
                  <c:v>8.8640000000000008</c:v>
                </c:pt>
                <c:pt idx="201">
                  <c:v>8.3339999999999996</c:v>
                </c:pt>
                <c:pt idx="202">
                  <c:v>8.8699999999999992</c:v>
                </c:pt>
                <c:pt idx="203">
                  <c:v>9.15</c:v>
                </c:pt>
                <c:pt idx="204">
                  <c:v>10.584</c:v>
                </c:pt>
                <c:pt idx="205">
                  <c:v>11.05</c:v>
                </c:pt>
                <c:pt idx="206">
                  <c:v>9.2759999999999998</c:v>
                </c:pt>
                <c:pt idx="207">
                  <c:v>8.59</c:v>
                </c:pt>
                <c:pt idx="208">
                  <c:v>7.9850000000000003</c:v>
                </c:pt>
                <c:pt idx="209">
                  <c:v>7.6909999999999998</c:v>
                </c:pt>
                <c:pt idx="210">
                  <c:v>7.4329999999999998</c:v>
                </c:pt>
                <c:pt idx="211">
                  <c:v>8.2530000000000001</c:v>
                </c:pt>
                <c:pt idx="212">
                  <c:v>5.8819999999999997</c:v>
                </c:pt>
                <c:pt idx="213">
                  <c:v>5.5179999999999998</c:v>
                </c:pt>
                <c:pt idx="214">
                  <c:v>4.3849999999999998</c:v>
                </c:pt>
                <c:pt idx="215">
                  <c:v>4.1219999999999999</c:v>
                </c:pt>
                <c:pt idx="216">
                  <c:v>4.5030000000000001</c:v>
                </c:pt>
                <c:pt idx="217">
                  <c:v>5.3339999999999996</c:v>
                </c:pt>
                <c:pt idx="218">
                  <c:v>5.25</c:v>
                </c:pt>
                <c:pt idx="219">
                  <c:v>4.8609999999999998</c:v>
                </c:pt>
                <c:pt idx="220">
                  <c:v>4.4420000000000002</c:v>
                </c:pt>
                <c:pt idx="221">
                  <c:v>6.0279999999999996</c:v>
                </c:pt>
                <c:pt idx="222">
                  <c:v>6.1079999999999997</c:v>
                </c:pt>
                <c:pt idx="223">
                  <c:v>7.0030000000000001</c:v>
                </c:pt>
                <c:pt idx="224">
                  <c:v>7.5419999999999998</c:v>
                </c:pt>
                <c:pt idx="225">
                  <c:v>7.4359999999999999</c:v>
                </c:pt>
                <c:pt idx="226">
                  <c:v>8.4109999999999996</c:v>
                </c:pt>
                <c:pt idx="227">
                  <c:v>9.4610000000000003</c:v>
                </c:pt>
                <c:pt idx="228">
                  <c:v>8.548</c:v>
                </c:pt>
                <c:pt idx="229">
                  <c:v>7.641</c:v>
                </c:pt>
                <c:pt idx="230">
                  <c:v>7.5209999999999999</c:v>
                </c:pt>
                <c:pt idx="231">
                  <c:v>8.3040000000000003</c:v>
                </c:pt>
                <c:pt idx="232">
                  <c:v>9</c:v>
                </c:pt>
                <c:pt idx="233">
                  <c:v>8.49</c:v>
                </c:pt>
                <c:pt idx="234">
                  <c:v>8.9</c:v>
                </c:pt>
                <c:pt idx="235">
                  <c:v>9.8409999999999993</c:v>
                </c:pt>
                <c:pt idx="236">
                  <c:v>9.85</c:v>
                </c:pt>
                <c:pt idx="237">
                  <c:v>9.9730000000000008</c:v>
                </c:pt>
                <c:pt idx="238">
                  <c:v>10.4</c:v>
                </c:pt>
                <c:pt idx="239">
                  <c:v>10.616</c:v>
                </c:pt>
                <c:pt idx="240">
                  <c:v>8.9</c:v>
                </c:pt>
                <c:pt idx="241">
                  <c:v>8.5500000000000007</c:v>
                </c:pt>
                <c:pt idx="242">
                  <c:v>7.6790000000000003</c:v>
                </c:pt>
                <c:pt idx="243">
                  <c:v>7.2569999999999997</c:v>
                </c:pt>
                <c:pt idx="244">
                  <c:v>7.88</c:v>
                </c:pt>
                <c:pt idx="245">
                  <c:v>8.9770000000000003</c:v>
                </c:pt>
                <c:pt idx="246">
                  <c:v>10.286</c:v>
                </c:pt>
                <c:pt idx="247">
                  <c:v>10.451000000000001</c:v>
                </c:pt>
                <c:pt idx="248">
                  <c:v>10.491</c:v>
                </c:pt>
                <c:pt idx="249">
                  <c:v>7.83</c:v>
                </c:pt>
                <c:pt idx="250">
                  <c:v>10.241</c:v>
                </c:pt>
                <c:pt idx="251">
                  <c:v>10.313000000000001</c:v>
                </c:pt>
                <c:pt idx="252">
                  <c:v>13.34</c:v>
                </c:pt>
                <c:pt idx="253">
                  <c:v>10.859</c:v>
                </c:pt>
                <c:pt idx="254">
                  <c:v>11.805</c:v>
                </c:pt>
                <c:pt idx="255">
                  <c:v>9.3940000000000001</c:v>
                </c:pt>
                <c:pt idx="256">
                  <c:v>9.2650000000000006</c:v>
                </c:pt>
                <c:pt idx="257">
                  <c:v>9.7040000000000006</c:v>
                </c:pt>
                <c:pt idx="258">
                  <c:v>10.927</c:v>
                </c:pt>
                <c:pt idx="259">
                  <c:v>7.8979999999999997</c:v>
                </c:pt>
                <c:pt idx="260">
                  <c:v>7.5339999999999998</c:v>
                </c:pt>
                <c:pt idx="261">
                  <c:v>7.6710000000000003</c:v>
                </c:pt>
                <c:pt idx="262">
                  <c:v>7.76</c:v>
                </c:pt>
                <c:pt idx="263">
                  <c:v>8.0670000000000002</c:v>
                </c:pt>
                <c:pt idx="264">
                  <c:v>8.3049999999999997</c:v>
                </c:pt>
                <c:pt idx="265">
                  <c:v>8.0299999999999994</c:v>
                </c:pt>
                <c:pt idx="266">
                  <c:v>8.1199999999999992</c:v>
                </c:pt>
                <c:pt idx="267">
                  <c:v>9.0340000000000007</c:v>
                </c:pt>
                <c:pt idx="268">
                  <c:v>8.4749999999999996</c:v>
                </c:pt>
                <c:pt idx="269">
                  <c:v>8.5809999999999995</c:v>
                </c:pt>
                <c:pt idx="270">
                  <c:v>7.8949999999999996</c:v>
                </c:pt>
                <c:pt idx="271">
                  <c:v>7.79</c:v>
                </c:pt>
                <c:pt idx="272">
                  <c:v>8.2620000000000005</c:v>
                </c:pt>
                <c:pt idx="273">
                  <c:v>7.2839999999999998</c:v>
                </c:pt>
                <c:pt idx="274">
                  <c:v>7.1820000000000004</c:v>
                </c:pt>
                <c:pt idx="275">
                  <c:v>6.5220000000000002</c:v>
                </c:pt>
                <c:pt idx="276">
                  <c:v>6.4580000000000002</c:v>
                </c:pt>
                <c:pt idx="277">
                  <c:v>6.1559999999999997</c:v>
                </c:pt>
                <c:pt idx="278">
                  <c:v>6.4160000000000004</c:v>
                </c:pt>
                <c:pt idx="279">
                  <c:v>6.62</c:v>
                </c:pt>
                <c:pt idx="280">
                  <c:v>5.952</c:v>
                </c:pt>
                <c:pt idx="281">
                  <c:v>6.1529999999999996</c:v>
                </c:pt>
                <c:pt idx="282">
                  <c:v>6.1429999999999998</c:v>
                </c:pt>
                <c:pt idx="283">
                  <c:v>5.9509999999999996</c:v>
                </c:pt>
                <c:pt idx="284">
                  <c:v>6.327</c:v>
                </c:pt>
                <c:pt idx="285">
                  <c:v>7.3550000000000004</c:v>
                </c:pt>
                <c:pt idx="286">
                  <c:v>7.508</c:v>
                </c:pt>
                <c:pt idx="287">
                  <c:v>8.3960000000000008</c:v>
                </c:pt>
                <c:pt idx="288">
                  <c:v>8.1069999999999993</c:v>
                </c:pt>
                <c:pt idx="289">
                  <c:v>8.3919999999999995</c:v>
                </c:pt>
                <c:pt idx="290">
                  <c:v>8.0500000000000007</c:v>
                </c:pt>
                <c:pt idx="291">
                  <c:v>7.9850000000000003</c:v>
                </c:pt>
                <c:pt idx="292">
                  <c:v>7.5039999999999996</c:v>
                </c:pt>
                <c:pt idx="293">
                  <c:v>7.7839999999999998</c:v>
                </c:pt>
                <c:pt idx="294">
                  <c:v>7.7270000000000003</c:v>
                </c:pt>
                <c:pt idx="295">
                  <c:v>7.3280000000000003</c:v>
                </c:pt>
                <c:pt idx="296">
                  <c:v>8.2219999999999995</c:v>
                </c:pt>
                <c:pt idx="297">
                  <c:v>8.6010000000000009</c:v>
                </c:pt>
                <c:pt idx="298">
                  <c:v>9.09</c:v>
                </c:pt>
                <c:pt idx="299">
                  <c:v>8.39</c:v>
                </c:pt>
                <c:pt idx="300">
                  <c:v>9.5830000000000002</c:v>
                </c:pt>
                <c:pt idx="301">
                  <c:v>8.7309999999999999</c:v>
                </c:pt>
                <c:pt idx="302">
                  <c:v>8.2789999999999999</c:v>
                </c:pt>
                <c:pt idx="303">
                  <c:v>8.3350000000000009</c:v>
                </c:pt>
                <c:pt idx="304">
                  <c:v>7.3170000000000002</c:v>
                </c:pt>
                <c:pt idx="305">
                  <c:v>7.2779999999999996</c:v>
                </c:pt>
                <c:pt idx="306">
                  <c:v>6.5019999999999998</c:v>
                </c:pt>
                <c:pt idx="307">
                  <c:v>6.81</c:v>
                </c:pt>
                <c:pt idx="308">
                  <c:v>6.048</c:v>
                </c:pt>
                <c:pt idx="309">
                  <c:v>6.3150000000000004</c:v>
                </c:pt>
                <c:pt idx="310">
                  <c:v>7.1020000000000003</c:v>
                </c:pt>
                <c:pt idx="311">
                  <c:v>7.601</c:v>
                </c:pt>
                <c:pt idx="312">
                  <c:v>8.0039999999999996</c:v>
                </c:pt>
                <c:pt idx="313">
                  <c:v>8.5039999999999996</c:v>
                </c:pt>
                <c:pt idx="314">
                  <c:v>9.6129999999999995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1-4905-8909-5AFA81FC432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-0.14300786813551836</c:v>
                </c:pt>
                <c:pt idx="1">
                  <c:v>-0.14251579623551835</c:v>
                </c:pt>
                <c:pt idx="2">
                  <c:v>-0.14348240280551836</c:v>
                </c:pt>
                <c:pt idx="3">
                  <c:v>-0.13900446221604465</c:v>
                </c:pt>
                <c:pt idx="4">
                  <c:v>-0.12877648198703232</c:v>
                </c:pt>
                <c:pt idx="5">
                  <c:v>-0.13035582462401862</c:v>
                </c:pt>
                <c:pt idx="6">
                  <c:v>-0.12753307735615738</c:v>
                </c:pt>
                <c:pt idx="7">
                  <c:v>-0.11964100785180952</c:v>
                </c:pt>
                <c:pt idx="8">
                  <c:v>-0.12022942778011141</c:v>
                </c:pt>
                <c:pt idx="9">
                  <c:v>-0.12084532563725427</c:v>
                </c:pt>
                <c:pt idx="10">
                  <c:v>-0.12454518926225427</c:v>
                </c:pt>
                <c:pt idx="11">
                  <c:v>-0.1246961500210778</c:v>
                </c:pt>
                <c:pt idx="12">
                  <c:v>-0.12533704276482782</c:v>
                </c:pt>
                <c:pt idx="13">
                  <c:v>-0.1240508704244023</c:v>
                </c:pt>
                <c:pt idx="14">
                  <c:v>-0.12309015209517153</c:v>
                </c:pt>
                <c:pt idx="15">
                  <c:v>-0.12110297710057695</c:v>
                </c:pt>
                <c:pt idx="16">
                  <c:v>-0.12066189986057695</c:v>
                </c:pt>
                <c:pt idx="17">
                  <c:v>-0.12089899061613252</c:v>
                </c:pt>
                <c:pt idx="18">
                  <c:v>-0.12198927811613253</c:v>
                </c:pt>
                <c:pt idx="19">
                  <c:v>-0.12140057068536331</c:v>
                </c:pt>
                <c:pt idx="20">
                  <c:v>-0.12271716880308481</c:v>
                </c:pt>
                <c:pt idx="21">
                  <c:v>-0.12766086493602599</c:v>
                </c:pt>
                <c:pt idx="22">
                  <c:v>-0.12706473961585793</c:v>
                </c:pt>
                <c:pt idx="23">
                  <c:v>-0.1305966321257345</c:v>
                </c:pt>
                <c:pt idx="24">
                  <c:v>-0.13063115359664357</c:v>
                </c:pt>
                <c:pt idx="25">
                  <c:v>-0.13097305693054187</c:v>
                </c:pt>
                <c:pt idx="26">
                  <c:v>-0.13228147809810945</c:v>
                </c:pt>
                <c:pt idx="27">
                  <c:v>-0.1336960062981094</c:v>
                </c:pt>
                <c:pt idx="28">
                  <c:v>-0.13347131469810941</c:v>
                </c:pt>
                <c:pt idx="29">
                  <c:v>-0.13290613839810941</c:v>
                </c:pt>
                <c:pt idx="30">
                  <c:v>-0.13267507451349403</c:v>
                </c:pt>
                <c:pt idx="31">
                  <c:v>-0.13043173529900126</c:v>
                </c:pt>
                <c:pt idx="32">
                  <c:v>-0.12886938659408323</c:v>
                </c:pt>
                <c:pt idx="33">
                  <c:v>-0.13009215638254476</c:v>
                </c:pt>
                <c:pt idx="34">
                  <c:v>-0.12997026388254476</c:v>
                </c:pt>
                <c:pt idx="35">
                  <c:v>-0.12853507727666244</c:v>
                </c:pt>
                <c:pt idx="36">
                  <c:v>-0.1302920840766624</c:v>
                </c:pt>
                <c:pt idx="37">
                  <c:v>-0.12665349047666244</c:v>
                </c:pt>
                <c:pt idx="38">
                  <c:v>-0.12736500961127778</c:v>
                </c:pt>
                <c:pt idx="39">
                  <c:v>-0.12964530957318254</c:v>
                </c:pt>
                <c:pt idx="40">
                  <c:v>-0.13113021424241333</c:v>
                </c:pt>
                <c:pt idx="41">
                  <c:v>-0.13262635370004042</c:v>
                </c:pt>
                <c:pt idx="42">
                  <c:v>-0.1365382597196666</c:v>
                </c:pt>
                <c:pt idx="43">
                  <c:v>-0.13762362682875751</c:v>
                </c:pt>
                <c:pt idx="44">
                  <c:v>-0.13952217520827556</c:v>
                </c:pt>
                <c:pt idx="45">
                  <c:v>-0.14089357914375944</c:v>
                </c:pt>
                <c:pt idx="46">
                  <c:v>-0.1397491102749521</c:v>
                </c:pt>
                <c:pt idx="47">
                  <c:v>-0.13849569408606319</c:v>
                </c:pt>
                <c:pt idx="48">
                  <c:v>-0.13866403335272987</c:v>
                </c:pt>
                <c:pt idx="49">
                  <c:v>-0.13508834267844416</c:v>
                </c:pt>
                <c:pt idx="50">
                  <c:v>-0.13228690807977747</c:v>
                </c:pt>
                <c:pt idx="51">
                  <c:v>-0.13573498615294821</c:v>
                </c:pt>
                <c:pt idx="52">
                  <c:v>-0.13453964594308906</c:v>
                </c:pt>
                <c:pt idx="53">
                  <c:v>-0.13738063845325854</c:v>
                </c:pt>
                <c:pt idx="54">
                  <c:v>-0.13552821057529243</c:v>
                </c:pt>
                <c:pt idx="55">
                  <c:v>-0.13645687051896219</c:v>
                </c:pt>
                <c:pt idx="56">
                  <c:v>-0.13562655308417956</c:v>
                </c:pt>
                <c:pt idx="57">
                  <c:v>-0.13904431326065014</c:v>
                </c:pt>
                <c:pt idx="58">
                  <c:v>-0.14383843842010963</c:v>
                </c:pt>
                <c:pt idx="59">
                  <c:v>-0.13992288564184874</c:v>
                </c:pt>
                <c:pt idx="60">
                  <c:v>-0.14331314564184877</c:v>
                </c:pt>
                <c:pt idx="61">
                  <c:v>-0.14747331552698389</c:v>
                </c:pt>
                <c:pt idx="62">
                  <c:v>-0.15872394322698388</c:v>
                </c:pt>
                <c:pt idx="63">
                  <c:v>-0.15400554716448389</c:v>
                </c:pt>
                <c:pt idx="64">
                  <c:v>-0.15710221731342006</c:v>
                </c:pt>
                <c:pt idx="65">
                  <c:v>-0.15584426888484862</c:v>
                </c:pt>
                <c:pt idx="66">
                  <c:v>-0.15575730997651527</c:v>
                </c:pt>
                <c:pt idx="67">
                  <c:v>-0.15458173939723599</c:v>
                </c:pt>
                <c:pt idx="68">
                  <c:v>-0.15490462023302548</c:v>
                </c:pt>
                <c:pt idx="69">
                  <c:v>-0.15637936046159689</c:v>
                </c:pt>
                <c:pt idx="70">
                  <c:v>-0.15984612356023636</c:v>
                </c:pt>
                <c:pt idx="71">
                  <c:v>-0.15800985045756255</c:v>
                </c:pt>
                <c:pt idx="72">
                  <c:v>-0.16034748565453227</c:v>
                </c:pt>
                <c:pt idx="73">
                  <c:v>-0.15906700060541984</c:v>
                </c:pt>
                <c:pt idx="74">
                  <c:v>-0.15156123644412953</c:v>
                </c:pt>
                <c:pt idx="75">
                  <c:v>-0.15058719975094773</c:v>
                </c:pt>
                <c:pt idx="76">
                  <c:v>-0.14758614052328814</c:v>
                </c:pt>
                <c:pt idx="77">
                  <c:v>-0.13721934683968601</c:v>
                </c:pt>
                <c:pt idx="78">
                  <c:v>-0.13673289383968601</c:v>
                </c:pt>
                <c:pt idx="79">
                  <c:v>-0.13577931811010854</c:v>
                </c:pt>
                <c:pt idx="80">
                  <c:v>-0.1331627712444369</c:v>
                </c:pt>
                <c:pt idx="81">
                  <c:v>-0.13355733252443688</c:v>
                </c:pt>
                <c:pt idx="82">
                  <c:v>-0.13313676322869222</c:v>
                </c:pt>
                <c:pt idx="83">
                  <c:v>-0.13421992795346288</c:v>
                </c:pt>
                <c:pt idx="84">
                  <c:v>-0.13559392800901837</c:v>
                </c:pt>
                <c:pt idx="85">
                  <c:v>-0.13711890812250155</c:v>
                </c:pt>
                <c:pt idx="86">
                  <c:v>-0.13428213124977428</c:v>
                </c:pt>
                <c:pt idx="87">
                  <c:v>-0.13845283810905573</c:v>
                </c:pt>
                <c:pt idx="88">
                  <c:v>-0.13802211158334146</c:v>
                </c:pt>
                <c:pt idx="89">
                  <c:v>-0.13586138454319546</c:v>
                </c:pt>
                <c:pt idx="90">
                  <c:v>-0.13776793472501367</c:v>
                </c:pt>
                <c:pt idx="91">
                  <c:v>-0.14193917976555423</c:v>
                </c:pt>
                <c:pt idx="92">
                  <c:v>-0.1451798484981629</c:v>
                </c:pt>
                <c:pt idx="93">
                  <c:v>-0.13611496963439479</c:v>
                </c:pt>
                <c:pt idx="94">
                  <c:v>-0.13358687518618964</c:v>
                </c:pt>
                <c:pt idx="95">
                  <c:v>-0.13428793173147269</c:v>
                </c:pt>
                <c:pt idx="96">
                  <c:v>-0.13535004937762657</c:v>
                </c:pt>
                <c:pt idx="97">
                  <c:v>-0.13570540910489928</c:v>
                </c:pt>
                <c:pt idx="98">
                  <c:v>-0.13475050849855005</c:v>
                </c:pt>
                <c:pt idx="99">
                  <c:v>-0.13511447118367403</c:v>
                </c:pt>
                <c:pt idx="100">
                  <c:v>-0.13838482471700739</c:v>
                </c:pt>
                <c:pt idx="101">
                  <c:v>-0.13470821380272163</c:v>
                </c:pt>
                <c:pt idx="102">
                  <c:v>-0.11347063878497013</c:v>
                </c:pt>
                <c:pt idx="103">
                  <c:v>-0.11567272726468029</c:v>
                </c:pt>
                <c:pt idx="104">
                  <c:v>-0.11299274113651127</c:v>
                </c:pt>
                <c:pt idx="105">
                  <c:v>-0.11294872157064781</c:v>
                </c:pt>
                <c:pt idx="106">
                  <c:v>-0.12179414219137952</c:v>
                </c:pt>
                <c:pt idx="107">
                  <c:v>-0.13331351759137952</c:v>
                </c:pt>
                <c:pt idx="108">
                  <c:v>-0.13607545586761713</c:v>
                </c:pt>
                <c:pt idx="109">
                  <c:v>-0.14214025767616414</c:v>
                </c:pt>
                <c:pt idx="110">
                  <c:v>-0.13904147452616417</c:v>
                </c:pt>
                <c:pt idx="111">
                  <c:v>-0.1404946674580323</c:v>
                </c:pt>
                <c:pt idx="112">
                  <c:v>-0.14072468614423919</c:v>
                </c:pt>
                <c:pt idx="113">
                  <c:v>-0.13443954254017415</c:v>
                </c:pt>
                <c:pt idx="114">
                  <c:v>-0.1401217012061082</c:v>
                </c:pt>
                <c:pt idx="115">
                  <c:v>-0.13420744882198124</c:v>
                </c:pt>
                <c:pt idx="116">
                  <c:v>-0.12598074135335377</c:v>
                </c:pt>
                <c:pt idx="117">
                  <c:v>-0.12276407350966444</c:v>
                </c:pt>
                <c:pt idx="118">
                  <c:v>-0.12397189782922964</c:v>
                </c:pt>
                <c:pt idx="119">
                  <c:v>-0.12681467180542011</c:v>
                </c:pt>
                <c:pt idx="120">
                  <c:v>-0.11375541095418043</c:v>
                </c:pt>
                <c:pt idx="121">
                  <c:v>-0.11118422954138973</c:v>
                </c:pt>
                <c:pt idx="122">
                  <c:v>-8.2299356229457915E-2</c:v>
                </c:pt>
                <c:pt idx="123">
                  <c:v>-5.7711713637806396E-2</c:v>
                </c:pt>
                <c:pt idx="124">
                  <c:v>-6.9808315487430453E-2</c:v>
                </c:pt>
                <c:pt idx="125">
                  <c:v>-6.9416626957197886E-2</c:v>
                </c:pt>
                <c:pt idx="126">
                  <c:v>-7.0159239848626473E-2</c:v>
                </c:pt>
                <c:pt idx="127">
                  <c:v>-6.7720371844132085E-2</c:v>
                </c:pt>
                <c:pt idx="128">
                  <c:v>-8.0680674082713011E-2</c:v>
                </c:pt>
                <c:pt idx="129">
                  <c:v>-7.4023540813126232E-2</c:v>
                </c:pt>
                <c:pt idx="130">
                  <c:v>-6.8898019524990639E-2</c:v>
                </c:pt>
                <c:pt idx="131">
                  <c:v>-6.7314555658635505E-2</c:v>
                </c:pt>
                <c:pt idx="132">
                  <c:v>-6.4980771201817319E-2</c:v>
                </c:pt>
                <c:pt idx="133">
                  <c:v>-6.0801978542275335E-2</c:v>
                </c:pt>
                <c:pt idx="134">
                  <c:v>-5.8489433943829737E-2</c:v>
                </c:pt>
                <c:pt idx="135">
                  <c:v>-5.9593519655390441E-2</c:v>
                </c:pt>
                <c:pt idx="136">
                  <c:v>-7.0541550805390416E-2</c:v>
                </c:pt>
                <c:pt idx="137">
                  <c:v>-7.7521486814400312E-2</c:v>
                </c:pt>
                <c:pt idx="138">
                  <c:v>-7.4911307337814953E-2</c:v>
                </c:pt>
                <c:pt idx="139">
                  <c:v>-7.2654305566386357E-2</c:v>
                </c:pt>
                <c:pt idx="140">
                  <c:v>-6.2402751905410746E-2</c:v>
                </c:pt>
                <c:pt idx="141">
                  <c:v>-5.9714784682053088E-2</c:v>
                </c:pt>
                <c:pt idx="142">
                  <c:v>-4.0006774112746148E-2</c:v>
                </c:pt>
                <c:pt idx="143">
                  <c:v>-3.5889968194916681E-2</c:v>
                </c:pt>
                <c:pt idx="144">
                  <c:v>-3.8654167683805571E-2</c:v>
                </c:pt>
                <c:pt idx="145">
                  <c:v>-4.1225789508591897E-2</c:v>
                </c:pt>
                <c:pt idx="146">
                  <c:v>-3.9892748708591885E-2</c:v>
                </c:pt>
                <c:pt idx="147">
                  <c:v>-4.5576066734965531E-2</c:v>
                </c:pt>
                <c:pt idx="148">
                  <c:v>-4.0909132751094555E-2</c:v>
                </c:pt>
                <c:pt idx="149">
                  <c:v>-4.6484798325655947E-2</c:v>
                </c:pt>
                <c:pt idx="150">
                  <c:v>-3.6616723586239894E-2</c:v>
                </c:pt>
                <c:pt idx="151">
                  <c:v>-2.8464222170511238E-2</c:v>
                </c:pt>
                <c:pt idx="152">
                  <c:v>-3.5790691364610647E-2</c:v>
                </c:pt>
                <c:pt idx="153">
                  <c:v>-4.3048189142903349E-2</c:v>
                </c:pt>
                <c:pt idx="154">
                  <c:v>-4.5604893708357915E-2</c:v>
                </c:pt>
                <c:pt idx="155">
                  <c:v>-4.6394058156357908E-2</c:v>
                </c:pt>
                <c:pt idx="156">
                  <c:v>-5.5448452430810438E-2</c:v>
                </c:pt>
                <c:pt idx="157">
                  <c:v>-5.5940295755259439E-2</c:v>
                </c:pt>
                <c:pt idx="158">
                  <c:v>-5.3215641717610986E-2</c:v>
                </c:pt>
                <c:pt idx="159">
                  <c:v>-5.2812631489297726E-2</c:v>
                </c:pt>
                <c:pt idx="160">
                  <c:v>-4.8036080547405845E-2</c:v>
                </c:pt>
                <c:pt idx="161">
                  <c:v>-4.941394632949539E-2</c:v>
                </c:pt>
                <c:pt idx="162">
                  <c:v>-6.0748211661795476E-2</c:v>
                </c:pt>
                <c:pt idx="163">
                  <c:v>-7.3196643131210104E-2</c:v>
                </c:pt>
                <c:pt idx="164">
                  <c:v>-6.400308086389303E-2</c:v>
                </c:pt>
                <c:pt idx="165">
                  <c:v>-6.248610581063356E-2</c:v>
                </c:pt>
                <c:pt idx="166">
                  <c:v>-6.7708058302394555E-2</c:v>
                </c:pt>
                <c:pt idx="167">
                  <c:v>-6.4957219775316377E-2</c:v>
                </c:pt>
                <c:pt idx="168">
                  <c:v>-6.8373757689927483E-2</c:v>
                </c:pt>
                <c:pt idx="169">
                  <c:v>-6.7095308624866262E-2</c:v>
                </c:pt>
                <c:pt idx="170">
                  <c:v>-5.9520221456648079E-2</c:v>
                </c:pt>
                <c:pt idx="171">
                  <c:v>-5.9048600411442616E-2</c:v>
                </c:pt>
                <c:pt idx="172">
                  <c:v>-6.519950518692301E-2</c:v>
                </c:pt>
                <c:pt idx="173">
                  <c:v>-6.0010157451630686E-2</c:v>
                </c:pt>
                <c:pt idx="174">
                  <c:v>-5.829004781587397E-2</c:v>
                </c:pt>
                <c:pt idx="175">
                  <c:v>-5.9759946248180484E-2</c:v>
                </c:pt>
                <c:pt idx="176">
                  <c:v>-5.7691555014905568E-2</c:v>
                </c:pt>
                <c:pt idx="177">
                  <c:v>-6.0491169664914121E-2</c:v>
                </c:pt>
                <c:pt idx="178">
                  <c:v>-6.2392375122282379E-2</c:v>
                </c:pt>
                <c:pt idx="179">
                  <c:v>-6.3648289854698351E-2</c:v>
                </c:pt>
                <c:pt idx="180">
                  <c:v>-5.6638824874127205E-2</c:v>
                </c:pt>
                <c:pt idx="181">
                  <c:v>-5.5763051349831998E-2</c:v>
                </c:pt>
                <c:pt idx="182">
                  <c:v>-5.6673718159187453E-2</c:v>
                </c:pt>
                <c:pt idx="183">
                  <c:v>-7.4101391618855511E-2</c:v>
                </c:pt>
                <c:pt idx="184">
                  <c:v>-7.6285263550146185E-2</c:v>
                </c:pt>
                <c:pt idx="185">
                  <c:v>-8.1213659631758639E-2</c:v>
                </c:pt>
                <c:pt idx="186">
                  <c:v>-7.8963553443192516E-2</c:v>
                </c:pt>
                <c:pt idx="187">
                  <c:v>-8.1124546816112322E-2</c:v>
                </c:pt>
                <c:pt idx="188">
                  <c:v>-7.8727068389707833E-2</c:v>
                </c:pt>
                <c:pt idx="189">
                  <c:v>-8.7636497445428327E-2</c:v>
                </c:pt>
                <c:pt idx="190">
                  <c:v>-9.1083973463755741E-2</c:v>
                </c:pt>
                <c:pt idx="191">
                  <c:v>-9.3337716165959123E-2</c:v>
                </c:pt>
                <c:pt idx="192">
                  <c:v>-9.931583296560198E-2</c:v>
                </c:pt>
                <c:pt idx="193">
                  <c:v>-9.2981209604017206E-2</c:v>
                </c:pt>
                <c:pt idx="194">
                  <c:v>-8.8766543728122579E-2</c:v>
                </c:pt>
                <c:pt idx="195">
                  <c:v>-9.1487250810327367E-2</c:v>
                </c:pt>
                <c:pt idx="196">
                  <c:v>-8.5237463211463166E-2</c:v>
                </c:pt>
                <c:pt idx="197">
                  <c:v>-9.2932792178817891E-2</c:v>
                </c:pt>
                <c:pt idx="198">
                  <c:v>-9.7081545163715824E-2</c:v>
                </c:pt>
                <c:pt idx="199">
                  <c:v>-9.0762813612734028E-2</c:v>
                </c:pt>
                <c:pt idx="200">
                  <c:v>-8.5625428728907577E-2</c:v>
                </c:pt>
                <c:pt idx="201">
                  <c:v>-8.9966132989184086E-2</c:v>
                </c:pt>
                <c:pt idx="202">
                  <c:v>-8.3767754265894459E-2</c:v>
                </c:pt>
                <c:pt idx="203">
                  <c:v>-7.1004548125349162E-2</c:v>
                </c:pt>
                <c:pt idx="204">
                  <c:v>-6.0242870655088668E-2</c:v>
                </c:pt>
                <c:pt idx="205">
                  <c:v>-5.8642817890503421E-2</c:v>
                </c:pt>
                <c:pt idx="206">
                  <c:v>-6.6697723655821037E-2</c:v>
                </c:pt>
                <c:pt idx="207">
                  <c:v>-7.5219983187480702E-2</c:v>
                </c:pt>
                <c:pt idx="208">
                  <c:v>-7.9961178619029363E-2</c:v>
                </c:pt>
                <c:pt idx="209">
                  <c:v>-8.2808422341811849E-2</c:v>
                </c:pt>
                <c:pt idx="210">
                  <c:v>-8.8981201585748362E-2</c:v>
                </c:pt>
                <c:pt idx="211">
                  <c:v>-7.1035283711978287E-2</c:v>
                </c:pt>
                <c:pt idx="212">
                  <c:v>-0.11705233216580885</c:v>
                </c:pt>
                <c:pt idx="213">
                  <c:v>-0.11689963008873568</c:v>
                </c:pt>
                <c:pt idx="214">
                  <c:v>-0.14567520726142894</c:v>
                </c:pt>
                <c:pt idx="215">
                  <c:v>-0.15451228375173262</c:v>
                </c:pt>
                <c:pt idx="216">
                  <c:v>-0.14576277936180779</c:v>
                </c:pt>
                <c:pt idx="217">
                  <c:v>-0.13040041240430778</c:v>
                </c:pt>
                <c:pt idx="218">
                  <c:v>-0.13817806306981956</c:v>
                </c:pt>
                <c:pt idx="219">
                  <c:v>-0.13663659607026901</c:v>
                </c:pt>
                <c:pt idx="220">
                  <c:v>-0.13936854881485106</c:v>
                </c:pt>
                <c:pt idx="221">
                  <c:v>-0.12815691292993042</c:v>
                </c:pt>
                <c:pt idx="222">
                  <c:v>-0.12930813203658839</c:v>
                </c:pt>
                <c:pt idx="223">
                  <c:v>-0.12140750374297668</c:v>
                </c:pt>
                <c:pt idx="224">
                  <c:v>-0.1197012050212157</c:v>
                </c:pt>
                <c:pt idx="225">
                  <c:v>-0.12192076877536202</c:v>
                </c:pt>
                <c:pt idx="226">
                  <c:v>-0.11307089013251824</c:v>
                </c:pt>
                <c:pt idx="227">
                  <c:v>-0.10743444749136388</c:v>
                </c:pt>
                <c:pt idx="228">
                  <c:v>-0.11168996303468216</c:v>
                </c:pt>
                <c:pt idx="229">
                  <c:v>-0.11423075668051418</c:v>
                </c:pt>
                <c:pt idx="230">
                  <c:v>-0.11526407593051419</c:v>
                </c:pt>
                <c:pt idx="231">
                  <c:v>-0.11118630461278138</c:v>
                </c:pt>
                <c:pt idx="232">
                  <c:v>-0.10827856246774194</c:v>
                </c:pt>
                <c:pt idx="233">
                  <c:v>-0.11215762664638837</c:v>
                </c:pt>
                <c:pt idx="234">
                  <c:v>-0.11463960390142446</c:v>
                </c:pt>
                <c:pt idx="235">
                  <c:v>-0.11124053698090187</c:v>
                </c:pt>
                <c:pt idx="236">
                  <c:v>-0.10938197893487135</c:v>
                </c:pt>
                <c:pt idx="237">
                  <c:v>-0.10533820197797726</c:v>
                </c:pt>
                <c:pt idx="238">
                  <c:v>-0.1055759854601466</c:v>
                </c:pt>
                <c:pt idx="239">
                  <c:v>-0.10545627532271071</c:v>
                </c:pt>
                <c:pt idx="240">
                  <c:v>-0.10964715811716796</c:v>
                </c:pt>
                <c:pt idx="241">
                  <c:v>-0.11398107770851139</c:v>
                </c:pt>
                <c:pt idx="242">
                  <c:v>-0.11800943559259486</c:v>
                </c:pt>
                <c:pt idx="243">
                  <c:v>-0.11811945013003225</c:v>
                </c:pt>
                <c:pt idx="244">
                  <c:v>-0.11480917125880265</c:v>
                </c:pt>
                <c:pt idx="245">
                  <c:v>-0.11159204738630422</c:v>
                </c:pt>
                <c:pt idx="246">
                  <c:v>-0.105347493795436</c:v>
                </c:pt>
                <c:pt idx="247">
                  <c:v>-0.10309465715830993</c:v>
                </c:pt>
                <c:pt idx="248">
                  <c:v>-0.10801013696754695</c:v>
                </c:pt>
                <c:pt idx="249">
                  <c:v>-0.11701296577949058</c:v>
                </c:pt>
                <c:pt idx="250">
                  <c:v>-0.10936528210123432</c:v>
                </c:pt>
                <c:pt idx="251">
                  <c:v>-0.11528446917217326</c:v>
                </c:pt>
                <c:pt idx="252">
                  <c:v>-0.10616051756145325</c:v>
                </c:pt>
                <c:pt idx="253">
                  <c:v>-0.1217819262189665</c:v>
                </c:pt>
                <c:pt idx="254">
                  <c:v>-0.13013161689884714</c:v>
                </c:pt>
                <c:pt idx="255">
                  <c:v>-0.14062986120828169</c:v>
                </c:pt>
                <c:pt idx="256">
                  <c:v>-0.14231666884734751</c:v>
                </c:pt>
                <c:pt idx="257">
                  <c:v>-0.13866948546794164</c:v>
                </c:pt>
                <c:pt idx="258">
                  <c:v>-0.12415550178546228</c:v>
                </c:pt>
                <c:pt idx="259">
                  <c:v>-0.14238355188242585</c:v>
                </c:pt>
                <c:pt idx="260">
                  <c:v>-0.14521294711240665</c:v>
                </c:pt>
                <c:pt idx="261">
                  <c:v>-0.14100403291205374</c:v>
                </c:pt>
                <c:pt idx="262">
                  <c:v>-0.14255088642799668</c:v>
                </c:pt>
                <c:pt idx="263">
                  <c:v>-0.14151267874648152</c:v>
                </c:pt>
                <c:pt idx="264">
                  <c:v>-0.14021782372851541</c:v>
                </c:pt>
                <c:pt idx="265">
                  <c:v>-0.14185497435462208</c:v>
                </c:pt>
                <c:pt idx="266">
                  <c:v>-0.14268669170902623</c:v>
                </c:pt>
                <c:pt idx="267">
                  <c:v>-0.13754992593236309</c:v>
                </c:pt>
                <c:pt idx="268">
                  <c:v>-0.14144415643247515</c:v>
                </c:pt>
                <c:pt idx="269">
                  <c:v>-0.14017617259577786</c:v>
                </c:pt>
                <c:pt idx="270">
                  <c:v>-0.14472122125840942</c:v>
                </c:pt>
                <c:pt idx="271">
                  <c:v>-0.1485034050813708</c:v>
                </c:pt>
                <c:pt idx="272">
                  <c:v>-0.14522241458273441</c:v>
                </c:pt>
                <c:pt idx="273">
                  <c:v>-0.15661467231738435</c:v>
                </c:pt>
                <c:pt idx="274">
                  <c:v>-0.15679570031509268</c:v>
                </c:pt>
                <c:pt idx="275">
                  <c:v>-0.16126482762016736</c:v>
                </c:pt>
                <c:pt idx="276">
                  <c:v>-0.15885512434710164</c:v>
                </c:pt>
                <c:pt idx="277">
                  <c:v>-0.16032262104149883</c:v>
                </c:pt>
                <c:pt idx="278">
                  <c:v>-0.15887500564126128</c:v>
                </c:pt>
                <c:pt idx="279">
                  <c:v>-0.15672016404337286</c:v>
                </c:pt>
                <c:pt idx="280">
                  <c:v>-0.16393398726173522</c:v>
                </c:pt>
                <c:pt idx="281">
                  <c:v>-0.15786958791246491</c:v>
                </c:pt>
                <c:pt idx="282">
                  <c:v>-0.15611319604085752</c:v>
                </c:pt>
                <c:pt idx="283">
                  <c:v>-0.1597473488064283</c:v>
                </c:pt>
                <c:pt idx="284">
                  <c:v>-0.15516687486345992</c:v>
                </c:pt>
                <c:pt idx="285">
                  <c:v>-0.15087982508056</c:v>
                </c:pt>
                <c:pt idx="286">
                  <c:v>-0.14804286258972665</c:v>
                </c:pt>
                <c:pt idx="287">
                  <c:v>-0.14453853265025104</c:v>
                </c:pt>
                <c:pt idx="288">
                  <c:v>-0.14465134413309194</c:v>
                </c:pt>
                <c:pt idx="289">
                  <c:v>-0.14234778150346974</c:v>
                </c:pt>
                <c:pt idx="290">
                  <c:v>-0.14712733065384317</c:v>
                </c:pt>
                <c:pt idx="291">
                  <c:v>-0.14321799181330985</c:v>
                </c:pt>
                <c:pt idx="292">
                  <c:v>-0.18018641382485295</c:v>
                </c:pt>
                <c:pt idx="293">
                  <c:v>-0.16243265509269036</c:v>
                </c:pt>
                <c:pt idx="294">
                  <c:v>-0.15518720004570005</c:v>
                </c:pt>
                <c:pt idx="295">
                  <c:v>-0.15526753614147676</c:v>
                </c:pt>
                <c:pt idx="296">
                  <c:v>-0.14960083861724191</c:v>
                </c:pt>
                <c:pt idx="297">
                  <c:v>-0.14683905269200054</c:v>
                </c:pt>
                <c:pt idx="298">
                  <c:v>-0.14376036143983878</c:v>
                </c:pt>
                <c:pt idx="299">
                  <c:v>-0.14872182939007106</c:v>
                </c:pt>
                <c:pt idx="300">
                  <c:v>-0.13892235736816738</c:v>
                </c:pt>
                <c:pt idx="301">
                  <c:v>-0.13343774781063039</c:v>
                </c:pt>
                <c:pt idx="302">
                  <c:v>-0.13580061084183978</c:v>
                </c:pt>
                <c:pt idx="303">
                  <c:v>-0.13032400341410547</c:v>
                </c:pt>
                <c:pt idx="304">
                  <c:v>-0.13715835126479156</c:v>
                </c:pt>
                <c:pt idx="305">
                  <c:v>-0.131163930040893</c:v>
                </c:pt>
                <c:pt idx="306">
                  <c:v>-0.13257154771412136</c:v>
                </c:pt>
                <c:pt idx="307">
                  <c:v>-0.12952752738412135</c:v>
                </c:pt>
                <c:pt idx="308">
                  <c:v>-0.14225637586404699</c:v>
                </c:pt>
                <c:pt idx="309">
                  <c:v>-0.13963263019642744</c:v>
                </c:pt>
                <c:pt idx="310">
                  <c:v>-0.12619647861707606</c:v>
                </c:pt>
                <c:pt idx="311">
                  <c:v>-0.12627974955596868</c:v>
                </c:pt>
                <c:pt idx="312">
                  <c:v>-0.11636506231778686</c:v>
                </c:pt>
                <c:pt idx="313">
                  <c:v>-0.11069498917346614</c:v>
                </c:pt>
                <c:pt idx="314">
                  <c:v>-8.9419330632206848E-2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11-4905-8909-5AFA81FC4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121376"/>
        <c:axId val="529108480"/>
      </c:lineChart>
      <c:dateAx>
        <c:axId val="529121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08480"/>
        <c:crosses val="autoZero"/>
        <c:auto val="1"/>
        <c:lblOffset val="100"/>
        <c:baseTimeUnit val="days"/>
      </c:dateAx>
      <c:valAx>
        <c:axId val="52910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2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5C1443E-DFD2-44F2-AD88-E3DAE1E98D7E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7CB9D5-1903-4B3E-9E17-21C48756D79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26.21</v>
      </c>
      <c r="D2" s="4">
        <f>MIN(D3:D1912)</f>
        <v>3.6179999999999999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8</v>
      </c>
      <c r="M4" t="s">
        <v>7</v>
      </c>
      <c r="N4" t="s">
        <v>7</v>
      </c>
    </row>
    <row r="5" spans="1:20" x14ac:dyDescent="0.25">
      <c r="A5" s="5">
        <v>44588</v>
      </c>
      <c r="B5">
        <v>5.93</v>
      </c>
      <c r="C5">
        <v>5.94</v>
      </c>
      <c r="D5">
        <v>5.67</v>
      </c>
      <c r="E5">
        <v>5.67</v>
      </c>
      <c r="F5">
        <v>49207.19</v>
      </c>
      <c r="G5">
        <v>5.67</v>
      </c>
      <c r="L5" t="s">
        <v>8</v>
      </c>
      <c r="M5" t="s">
        <v>7</v>
      </c>
      <c r="N5" t="s">
        <v>7</v>
      </c>
      <c r="P5">
        <f t="shared" ref="P5" si="0">IF(C5=D5,0,((E5-D5)-(C5-E5))/(C5-D5))</f>
        <v>-1</v>
      </c>
      <c r="Q5">
        <f t="shared" ref="Q5" si="1">F5*P5</f>
        <v>-49207.19</v>
      </c>
      <c r="R5">
        <f t="shared" ref="R5" si="2">R6+Q5</f>
        <v>-14300786.813551836</v>
      </c>
      <c r="S5">
        <f t="shared" ref="S5" si="3">R5/100000</f>
        <v>-143.00786813551835</v>
      </c>
      <c r="T5">
        <f t="shared" ref="T5" si="4">S5/1000</f>
        <v>-0.14300786813551836</v>
      </c>
    </row>
    <row r="6" spans="1:20" x14ac:dyDescent="0.25">
      <c r="A6" s="5">
        <v>44587</v>
      </c>
      <c r="B6">
        <v>5.83</v>
      </c>
      <c r="C6">
        <v>6.29</v>
      </c>
      <c r="D6">
        <v>5.49</v>
      </c>
      <c r="E6">
        <v>5.93</v>
      </c>
      <c r="F6">
        <v>966606.57</v>
      </c>
      <c r="G6">
        <v>5.93</v>
      </c>
      <c r="L6" t="s">
        <v>7</v>
      </c>
      <c r="M6" t="s">
        <v>7</v>
      </c>
      <c r="N6" t="s">
        <v>7</v>
      </c>
      <c r="P6">
        <f t="shared" ref="P6" si="5">IF(C6=D6,0,((E6-D6)-(C6-E6))/(C6-D6))</f>
        <v>9.9999999999999006E-2</v>
      </c>
      <c r="Q6">
        <f t="shared" ref="Q6" si="6">F6*P6</f>
        <v>96660.656999999032</v>
      </c>
      <c r="R6">
        <f t="shared" ref="R6" si="7">R7+Q6</f>
        <v>-14251579.623551836</v>
      </c>
      <c r="S6">
        <f t="shared" ref="S6" si="8">R6/100000</f>
        <v>-142.51579623551837</v>
      </c>
      <c r="T6">
        <f t="shared" ref="T6" si="9">S6/1000</f>
        <v>-0.14251579623551835</v>
      </c>
    </row>
    <row r="7" spans="1:20" x14ac:dyDescent="0.25">
      <c r="A7" s="5">
        <v>44586</v>
      </c>
      <c r="B7">
        <v>6.19</v>
      </c>
      <c r="C7">
        <v>6.31</v>
      </c>
      <c r="D7">
        <v>5.74</v>
      </c>
      <c r="E7">
        <v>5.83</v>
      </c>
      <c r="F7">
        <v>654468.24</v>
      </c>
      <c r="G7">
        <v>5.83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-0.6842105263157896</v>
      </c>
      <c r="Q7">
        <f t="shared" ref="Q7" si="11">F7*P7</f>
        <v>-447794.05894736852</v>
      </c>
      <c r="R7">
        <f t="shared" ref="R7" si="12">R8+Q7</f>
        <v>-14348240.280551836</v>
      </c>
      <c r="S7">
        <f t="shared" ref="S7" si="13">R7/100000</f>
        <v>-143.48240280551835</v>
      </c>
      <c r="T7">
        <f t="shared" ref="T7" si="14">S7/1000</f>
        <v>-0.14348240280551836</v>
      </c>
    </row>
    <row r="8" spans="1:20" x14ac:dyDescent="0.25">
      <c r="A8" s="5">
        <v>44585</v>
      </c>
      <c r="B8">
        <v>7.93</v>
      </c>
      <c r="C8">
        <v>7.93</v>
      </c>
      <c r="D8">
        <v>5.5</v>
      </c>
      <c r="E8">
        <v>6.19</v>
      </c>
      <c r="F8">
        <v>2367046.8530000001</v>
      </c>
      <c r="G8">
        <v>6.19</v>
      </c>
      <c r="L8" t="s">
        <v>7</v>
      </c>
      <c r="M8" t="s">
        <v>7</v>
      </c>
      <c r="N8" t="s">
        <v>7</v>
      </c>
      <c r="P8">
        <f t="shared" ref="P8" si="15">IF(C8=D8,0,((E8-D8)-(C8-E8))/(C8-D8))</f>
        <v>-0.43209876543209835</v>
      </c>
      <c r="Q8">
        <f t="shared" ref="Q8" si="16">F8*P8</f>
        <v>-1022798.0229012336</v>
      </c>
      <c r="R8">
        <f t="shared" ref="R8" si="17">R9+Q8</f>
        <v>-13900446.221604466</v>
      </c>
      <c r="S8">
        <f t="shared" ref="S8" si="18">R8/100000</f>
        <v>-139.00446221604466</v>
      </c>
      <c r="T8">
        <f t="shared" ref="T8" si="19">S8/1000</f>
        <v>-0.13900446221604465</v>
      </c>
    </row>
    <row r="9" spans="1:20" x14ac:dyDescent="0.25">
      <c r="A9" s="5">
        <v>44584</v>
      </c>
      <c r="B9">
        <v>7.81</v>
      </c>
      <c r="C9">
        <v>8.1199999999999992</v>
      </c>
      <c r="D9">
        <v>7.39</v>
      </c>
      <c r="E9">
        <v>7.93</v>
      </c>
      <c r="F9">
        <v>329405.75</v>
      </c>
      <c r="G9">
        <v>7.93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0.47945205479452158</v>
      </c>
      <c r="Q9">
        <f t="shared" ref="Q9" si="21">F9*P9</f>
        <v>157934.26369863047</v>
      </c>
      <c r="R9">
        <f t="shared" ref="R9" si="22">R10+Q9</f>
        <v>-12877648.198703233</v>
      </c>
      <c r="S9">
        <f t="shared" ref="S9" si="23">R9/100000</f>
        <v>-128.77648198703233</v>
      </c>
      <c r="T9">
        <f t="shared" ref="T9" si="24">S9/1000</f>
        <v>-0.12877648198703232</v>
      </c>
    </row>
    <row r="10" spans="1:20" x14ac:dyDescent="0.25">
      <c r="A10" s="5">
        <v>44583</v>
      </c>
      <c r="B10">
        <v>8.8699999999999992</v>
      </c>
      <c r="C10">
        <v>9.0299999999999994</v>
      </c>
      <c r="D10">
        <v>7.3</v>
      </c>
      <c r="E10">
        <v>7.82</v>
      </c>
      <c r="F10">
        <v>707732.28599999996</v>
      </c>
      <c r="G10">
        <v>7.82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-0.39884393063583745</v>
      </c>
      <c r="Q10">
        <f t="shared" ref="Q10" si="26">F10*P10</f>
        <v>-282274.72678612667</v>
      </c>
      <c r="R10">
        <f t="shared" ref="R10" si="27">R11+Q10</f>
        <v>-13035582.462401863</v>
      </c>
      <c r="S10">
        <f t="shared" ref="S10" si="28">R10/100000</f>
        <v>-130.35582462401862</v>
      </c>
      <c r="T10">
        <f t="shared" ref="T10" si="29">S10/1000</f>
        <v>-0.13035582462401862</v>
      </c>
    </row>
    <row r="11" spans="1:20" x14ac:dyDescent="0.25">
      <c r="A11" s="5">
        <v>44582</v>
      </c>
      <c r="B11">
        <v>8.92</v>
      </c>
      <c r="C11">
        <v>9.9</v>
      </c>
      <c r="D11">
        <v>8.52</v>
      </c>
      <c r="E11">
        <v>8.8699999999999992</v>
      </c>
      <c r="F11">
        <v>1601625.87</v>
      </c>
      <c r="G11">
        <v>8.8699999999999992</v>
      </c>
      <c r="L11" t="s">
        <v>8</v>
      </c>
      <c r="M11" t="s">
        <v>8</v>
      </c>
      <c r="N11" t="s">
        <v>7</v>
      </c>
      <c r="P11">
        <f t="shared" ref="P11" si="30">IF(C11=D11,0,((E11-D11)-(C11-E11))/(C11-D11))</f>
        <v>-0.4927536231884066</v>
      </c>
      <c r="Q11">
        <f t="shared" ref="Q11" si="31">F11*P11</f>
        <v>-789206.95043478394</v>
      </c>
      <c r="R11">
        <f t="shared" ref="R11" si="32">R12+Q11</f>
        <v>-12753307.735615736</v>
      </c>
      <c r="S11">
        <f t="shared" ref="S11" si="33">R11/100000</f>
        <v>-127.53307735615736</v>
      </c>
      <c r="T11">
        <f t="shared" ref="T11" si="34">S11/1000</f>
        <v>-0.12753307735615738</v>
      </c>
    </row>
    <row r="12" spans="1:20" x14ac:dyDescent="0.25">
      <c r="A12" s="5">
        <v>44581</v>
      </c>
      <c r="B12">
        <v>8.9700000000000006</v>
      </c>
      <c r="C12">
        <v>9.14</v>
      </c>
      <c r="D12">
        <v>8.61</v>
      </c>
      <c r="E12">
        <v>8.93</v>
      </c>
      <c r="F12">
        <v>283511.42</v>
      </c>
      <c r="G12">
        <v>8.93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0.20754716981131924</v>
      </c>
      <c r="Q12">
        <f t="shared" ref="Q12" si="36">F12*P12</f>
        <v>58841.992830188246</v>
      </c>
      <c r="R12">
        <f t="shared" ref="R12" si="37">R13+Q12</f>
        <v>-11964100.785180952</v>
      </c>
      <c r="S12">
        <f t="shared" ref="S12" si="38">R12/100000</f>
        <v>-119.64100785180952</v>
      </c>
      <c r="T12">
        <f t="shared" ref="T12" si="39">S12/1000</f>
        <v>-0.11964100785180952</v>
      </c>
    </row>
    <row r="13" spans="1:20" x14ac:dyDescent="0.25">
      <c r="A13" s="5">
        <v>44580</v>
      </c>
      <c r="B13">
        <v>8.8800000000000008</v>
      </c>
      <c r="C13">
        <v>9.1300000000000008</v>
      </c>
      <c r="D13">
        <v>8.7100000000000009</v>
      </c>
      <c r="E13">
        <v>8.98</v>
      </c>
      <c r="F13">
        <v>215564.25</v>
      </c>
      <c r="G13">
        <v>8.98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0.28571428571428392</v>
      </c>
      <c r="Q13">
        <f t="shared" ref="Q13" si="41">F13*P13</f>
        <v>61589.785714285325</v>
      </c>
      <c r="R13">
        <f t="shared" ref="R13" si="42">R14+Q13</f>
        <v>-12022942.778011141</v>
      </c>
      <c r="S13">
        <f t="shared" ref="S13" si="43">R13/100000</f>
        <v>-120.22942778011141</v>
      </c>
      <c r="T13">
        <f t="shared" ref="T13" si="44">S13/1000</f>
        <v>-0.12022942778011141</v>
      </c>
    </row>
    <row r="14" spans="1:20" x14ac:dyDescent="0.25">
      <c r="A14" s="5">
        <v>44579</v>
      </c>
      <c r="B14">
        <v>8.39</v>
      </c>
      <c r="C14">
        <v>9.01</v>
      </c>
      <c r="D14">
        <v>8.0500000000000007</v>
      </c>
      <c r="E14">
        <v>8.89</v>
      </c>
      <c r="F14">
        <v>493315.15</v>
      </c>
      <c r="G14">
        <v>8.89</v>
      </c>
      <c r="L14" t="s">
        <v>8</v>
      </c>
      <c r="M14" t="s">
        <v>7</v>
      </c>
      <c r="N14" t="s">
        <v>7</v>
      </c>
      <c r="P14">
        <f t="shared" ref="P14" si="45">IF(C14=D14,0,((E14-D14)-(C14-E14))/(C14-D14))</f>
        <v>0.75000000000000133</v>
      </c>
      <c r="Q14">
        <f t="shared" ref="Q14" si="46">F14*P14</f>
        <v>369986.36250000069</v>
      </c>
      <c r="R14">
        <f t="shared" ref="R14" si="47">R15+Q14</f>
        <v>-12084532.563725427</v>
      </c>
      <c r="S14">
        <f t="shared" ref="S14" si="48">R14/100000</f>
        <v>-120.84532563725426</v>
      </c>
      <c r="T14">
        <f t="shared" ref="T14" si="49">S14/1000</f>
        <v>-0.12084532563725427</v>
      </c>
    </row>
    <row r="15" spans="1:20" x14ac:dyDescent="0.25">
      <c r="A15" s="5">
        <v>44578</v>
      </c>
      <c r="B15">
        <v>8.68</v>
      </c>
      <c r="C15">
        <v>8.69</v>
      </c>
      <c r="D15">
        <v>8.01</v>
      </c>
      <c r="E15">
        <v>8.3800000000000008</v>
      </c>
      <c r="F15">
        <v>171088.86</v>
      </c>
      <c r="G15">
        <v>8.3800000000000008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8.8235294117650437E-2</v>
      </c>
      <c r="Q15">
        <f t="shared" ref="Q15" si="51">F15*P15</f>
        <v>15096.075882353518</v>
      </c>
      <c r="R15">
        <f t="shared" ref="R15" si="52">R16+Q15</f>
        <v>-12454518.926225428</v>
      </c>
      <c r="S15">
        <f t="shared" ref="S15" si="53">R15/100000</f>
        <v>-124.54518926225427</v>
      </c>
      <c r="T15">
        <f t="shared" ref="T15" si="54">S15/1000</f>
        <v>-0.12454518926225427</v>
      </c>
    </row>
    <row r="16" spans="1:20" x14ac:dyDescent="0.25">
      <c r="A16" s="5">
        <v>44577</v>
      </c>
      <c r="B16">
        <v>8.7100000000000009</v>
      </c>
      <c r="C16">
        <v>8.76</v>
      </c>
      <c r="D16">
        <v>8.44</v>
      </c>
      <c r="E16">
        <v>8.67</v>
      </c>
      <c r="F16">
        <v>146489.76999999999</v>
      </c>
      <c r="G16">
        <v>8.67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0.43750000000000139</v>
      </c>
      <c r="Q16">
        <f t="shared" ref="Q16" si="56">F16*P16</f>
        <v>64089.274375000197</v>
      </c>
      <c r="R16">
        <f t="shared" ref="R16" si="57">R17+Q16</f>
        <v>-12469615.00210778</v>
      </c>
      <c r="S16">
        <f t="shared" ref="S16" si="58">R16/100000</f>
        <v>-124.6961500210778</v>
      </c>
      <c r="T16">
        <f t="shared" ref="T16" si="59">S16/1000</f>
        <v>-0.1246961500210778</v>
      </c>
    </row>
    <row r="17" spans="1:20" x14ac:dyDescent="0.25">
      <c r="A17" s="5">
        <v>44576</v>
      </c>
      <c r="B17">
        <v>8.9700000000000006</v>
      </c>
      <c r="C17">
        <v>9.07</v>
      </c>
      <c r="D17">
        <v>8.6</v>
      </c>
      <c r="E17">
        <v>8.7100000000000009</v>
      </c>
      <c r="F17">
        <v>241800.4</v>
      </c>
      <c r="G17">
        <v>8.7100000000000009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-0.53191489361701683</v>
      </c>
      <c r="Q17">
        <f t="shared" ref="Q17" si="61">F17*P17</f>
        <v>-128617.23404255211</v>
      </c>
      <c r="R17">
        <f t="shared" ref="R17" si="62">R18+Q17</f>
        <v>-12533704.276482781</v>
      </c>
      <c r="S17">
        <f t="shared" ref="S17" si="63">R17/100000</f>
        <v>-125.33704276482781</v>
      </c>
      <c r="T17">
        <f t="shared" ref="T17" si="64">S17/1000</f>
        <v>-0.12533704276482782</v>
      </c>
    </row>
    <row r="18" spans="1:20" x14ac:dyDescent="0.25">
      <c r="A18" s="5">
        <v>44575</v>
      </c>
      <c r="B18">
        <v>9.0500000000000007</v>
      </c>
      <c r="C18">
        <v>9.4499999999999993</v>
      </c>
      <c r="D18">
        <v>8.8000000000000007</v>
      </c>
      <c r="E18">
        <v>8.9700000000000006</v>
      </c>
      <c r="F18">
        <v>201440.94</v>
      </c>
      <c r="G18">
        <v>8.9700000000000006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-0.47692307692307601</v>
      </c>
      <c r="Q18">
        <f t="shared" ref="Q18" si="66">F18*P18</f>
        <v>-96071.832923076741</v>
      </c>
      <c r="R18">
        <f t="shared" ref="R18" si="67">R19+Q18</f>
        <v>-12405087.04244023</v>
      </c>
      <c r="S18">
        <f t="shared" ref="S18" si="68">R18/100000</f>
        <v>-124.05087042440231</v>
      </c>
      <c r="T18">
        <f t="shared" ref="T18" si="69">S18/1000</f>
        <v>-0.1240508704244023</v>
      </c>
    </row>
    <row r="19" spans="1:20" x14ac:dyDescent="0.25">
      <c r="A19" s="5">
        <v>44574</v>
      </c>
      <c r="B19">
        <v>9.51</v>
      </c>
      <c r="C19">
        <v>9.7799999999999994</v>
      </c>
      <c r="D19">
        <v>9.0399999999999991</v>
      </c>
      <c r="E19">
        <v>9.0500000000000007</v>
      </c>
      <c r="F19">
        <v>204237.43</v>
      </c>
      <c r="G19">
        <v>9.0500000000000007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-0.97297297297296881</v>
      </c>
      <c r="Q19">
        <f t="shared" ref="Q19" si="71">F19*P19</f>
        <v>-198717.4994594586</v>
      </c>
      <c r="R19">
        <f t="shared" ref="R19" si="72">R20+Q19</f>
        <v>-12309015.209517153</v>
      </c>
      <c r="S19">
        <f t="shared" ref="S19" si="73">R19/100000</f>
        <v>-123.09015209517153</v>
      </c>
      <c r="T19">
        <f t="shared" ref="T19" si="74">S19/1000</f>
        <v>-0.12309015209517153</v>
      </c>
    </row>
    <row r="20" spans="1:20" x14ac:dyDescent="0.25">
      <c r="A20" s="5">
        <v>44573</v>
      </c>
      <c r="B20">
        <v>9.42</v>
      </c>
      <c r="C20">
        <v>9.75</v>
      </c>
      <c r="D20">
        <v>9.35</v>
      </c>
      <c r="E20">
        <v>9.51</v>
      </c>
      <c r="F20">
        <v>220538.62</v>
      </c>
      <c r="G20">
        <v>9.51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-0.2</v>
      </c>
      <c r="Q20">
        <f t="shared" ref="Q20" si="76">F20*P20</f>
        <v>-44107.724000000002</v>
      </c>
      <c r="R20">
        <f t="shared" ref="R20" si="77">R21+Q20</f>
        <v>-12110297.710057694</v>
      </c>
      <c r="S20">
        <f t="shared" ref="S20" si="78">R20/100000</f>
        <v>-121.10297710057695</v>
      </c>
      <c r="T20">
        <f t="shared" ref="T20" si="79">S20/1000</f>
        <v>-0.12110297710057695</v>
      </c>
    </row>
    <row r="21" spans="1:20" x14ac:dyDescent="0.25">
      <c r="A21" s="5">
        <v>44572</v>
      </c>
      <c r="B21">
        <v>9.27</v>
      </c>
      <c r="C21">
        <v>9.5299999999999994</v>
      </c>
      <c r="D21">
        <v>9.26</v>
      </c>
      <c r="E21">
        <v>9.41</v>
      </c>
      <c r="F21">
        <v>213381.68</v>
      </c>
      <c r="G21">
        <v>9.41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0.11111111111111549</v>
      </c>
      <c r="Q21">
        <f t="shared" ref="Q21" si="81">F21*P21</f>
        <v>23709.07555555649</v>
      </c>
      <c r="R21">
        <f t="shared" ref="R21" si="82">R22+Q21</f>
        <v>-12066189.986057695</v>
      </c>
      <c r="S21">
        <f t="shared" ref="S21" si="83">R21/100000</f>
        <v>-120.66189986057695</v>
      </c>
      <c r="T21">
        <f t="shared" ref="T21" si="84">S21/1000</f>
        <v>-0.12066189986057695</v>
      </c>
    </row>
    <row r="22" spans="1:20" x14ac:dyDescent="0.25">
      <c r="A22" s="5">
        <v>44571</v>
      </c>
      <c r="B22">
        <v>9.18</v>
      </c>
      <c r="C22">
        <v>9.41</v>
      </c>
      <c r="D22">
        <v>9.0299999999999994</v>
      </c>
      <c r="E22">
        <v>9.27</v>
      </c>
      <c r="F22">
        <v>414309.25</v>
      </c>
      <c r="G22">
        <v>9.27</v>
      </c>
      <c r="L22" t="s">
        <v>8</v>
      </c>
      <c r="M22" t="s">
        <v>8</v>
      </c>
      <c r="N22" t="s">
        <v>7</v>
      </c>
      <c r="P22">
        <f t="shared" ref="P22" si="85">IF(C22=D22,0,((E22-D22)-(C22-E22))/(C22-D22))</f>
        <v>0.26315789473684065</v>
      </c>
      <c r="Q22">
        <f t="shared" ref="Q22" si="86">F22*P22</f>
        <v>109028.74999999939</v>
      </c>
      <c r="R22">
        <f t="shared" ref="R22" si="87">R23+Q22</f>
        <v>-12089899.061613252</v>
      </c>
      <c r="S22">
        <f t="shared" ref="S22" si="88">R22/100000</f>
        <v>-120.89899061613252</v>
      </c>
      <c r="T22">
        <f t="shared" ref="T22" si="89">S22/1000</f>
        <v>-0.12089899061613252</v>
      </c>
    </row>
    <row r="23" spans="1:20" x14ac:dyDescent="0.25">
      <c r="A23" s="5">
        <v>44570</v>
      </c>
      <c r="B23">
        <v>9.0299999999999994</v>
      </c>
      <c r="C23">
        <v>9.64</v>
      </c>
      <c r="D23">
        <v>8.86</v>
      </c>
      <c r="E23">
        <v>9.18</v>
      </c>
      <c r="F23">
        <v>327994.14</v>
      </c>
      <c r="G23">
        <v>9.18</v>
      </c>
      <c r="L23" t="s">
        <v>8</v>
      </c>
      <c r="M23" t="s">
        <v>8</v>
      </c>
      <c r="N23" t="s">
        <v>7</v>
      </c>
      <c r="P23">
        <f t="shared" ref="P23" si="90">IF(C23=D23,0,((E23-D23)-(C23-E23))/(C23-D23))</f>
        <v>-0.17948717948717996</v>
      </c>
      <c r="Q23">
        <f t="shared" ref="Q23" si="91">F23*P23</f>
        <v>-58870.743076923238</v>
      </c>
      <c r="R23">
        <f t="shared" ref="R23" si="92">R24+Q23</f>
        <v>-12198927.811613252</v>
      </c>
      <c r="S23">
        <f t="shared" ref="S23" si="93">R23/100000</f>
        <v>-121.98927811613252</v>
      </c>
      <c r="T23">
        <f t="shared" ref="T23" si="94">S23/1000</f>
        <v>-0.12198927811613253</v>
      </c>
    </row>
    <row r="24" spans="1:20" x14ac:dyDescent="0.25">
      <c r="A24" s="5">
        <v>44569</v>
      </c>
      <c r="B24">
        <v>8.76</v>
      </c>
      <c r="C24">
        <v>9.24</v>
      </c>
      <c r="D24">
        <v>8.4499999999999993</v>
      </c>
      <c r="E24">
        <v>9.0299999999999994</v>
      </c>
      <c r="F24">
        <v>281111.49</v>
      </c>
      <c r="G24">
        <v>9.0299999999999994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0.46835443037974528</v>
      </c>
      <c r="Q24">
        <f t="shared" ref="Q24" si="96">F24*P24</f>
        <v>131659.81177215144</v>
      </c>
      <c r="R24">
        <f t="shared" ref="R24" si="97">R25+Q24</f>
        <v>-12140057.06853633</v>
      </c>
      <c r="S24">
        <f t="shared" ref="S24" si="98">R24/100000</f>
        <v>-121.40057068536331</v>
      </c>
      <c r="T24">
        <f t="shared" ref="T24" si="99">S24/1000</f>
        <v>-0.12140057068536331</v>
      </c>
    </row>
    <row r="25" spans="1:20" x14ac:dyDescent="0.25">
      <c r="A25" s="5">
        <v>44568</v>
      </c>
      <c r="B25">
        <v>8.69</v>
      </c>
      <c r="C25">
        <v>8.7899999999999991</v>
      </c>
      <c r="D25">
        <v>7.94</v>
      </c>
      <c r="E25">
        <v>8.75</v>
      </c>
      <c r="F25">
        <v>545732.68999999994</v>
      </c>
      <c r="G25">
        <v>8.75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0.90588235294117836</v>
      </c>
      <c r="Q25">
        <f t="shared" ref="Q25" si="101">F25*P25</f>
        <v>494369.61329411861</v>
      </c>
      <c r="R25">
        <f t="shared" ref="R25" si="102">R26+Q25</f>
        <v>-12271716.880308481</v>
      </c>
      <c r="S25">
        <f t="shared" ref="S25" si="103">R25/100000</f>
        <v>-122.7171688030848</v>
      </c>
      <c r="T25">
        <f t="shared" ref="T25" si="104">S25/1000</f>
        <v>-0.12271716880308481</v>
      </c>
    </row>
    <row r="26" spans="1:20" x14ac:dyDescent="0.25">
      <c r="A26" s="5">
        <v>44567</v>
      </c>
      <c r="B26">
        <v>9.31</v>
      </c>
      <c r="C26">
        <v>9.34</v>
      </c>
      <c r="D26">
        <v>8.15</v>
      </c>
      <c r="E26">
        <v>8.69</v>
      </c>
      <c r="F26">
        <v>644899.21</v>
      </c>
      <c r="G26">
        <v>8.69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-9.2436974789917026E-2</v>
      </c>
      <c r="Q26">
        <f t="shared" ref="Q26" si="106">F26*P26</f>
        <v>-59612.532016807403</v>
      </c>
      <c r="R26">
        <f t="shared" ref="R26" si="107">R27+Q26</f>
        <v>-12766086.4936026</v>
      </c>
      <c r="S26">
        <f t="shared" ref="S26" si="108">R26/100000</f>
        <v>-127.660864936026</v>
      </c>
      <c r="T26">
        <f t="shared" ref="T26" si="109">S26/1000</f>
        <v>-0.12766086493602599</v>
      </c>
    </row>
    <row r="27" spans="1:20" x14ac:dyDescent="0.25">
      <c r="A27" s="5">
        <v>44566</v>
      </c>
      <c r="B27">
        <v>9.34</v>
      </c>
      <c r="C27">
        <v>9.5399999999999991</v>
      </c>
      <c r="D27">
        <v>8.73</v>
      </c>
      <c r="E27">
        <v>9.32</v>
      </c>
      <c r="F27">
        <v>773198.09</v>
      </c>
      <c r="G27">
        <v>9.32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0.4567901234567921</v>
      </c>
      <c r="Q27">
        <f t="shared" ref="Q27" si="111">F27*P27</f>
        <v>353189.25098765583</v>
      </c>
      <c r="R27">
        <f t="shared" ref="R27" si="112">R28+Q27</f>
        <v>-12706473.961585792</v>
      </c>
      <c r="S27">
        <f t="shared" ref="S27" si="113">R27/100000</f>
        <v>-127.06473961585792</v>
      </c>
      <c r="T27">
        <f t="shared" ref="T27" si="114">S27/1000</f>
        <v>-0.12706473961585793</v>
      </c>
    </row>
    <row r="28" spans="1:20" x14ac:dyDescent="0.25">
      <c r="A28" s="5">
        <v>44565</v>
      </c>
      <c r="B28">
        <v>9.19</v>
      </c>
      <c r="C28">
        <v>9.6</v>
      </c>
      <c r="D28">
        <v>9.0500000000000007</v>
      </c>
      <c r="E28">
        <v>9.33</v>
      </c>
      <c r="F28">
        <v>189868.09</v>
      </c>
      <c r="G28">
        <v>9.33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1.8181818181817831E-2</v>
      </c>
      <c r="Q28">
        <f t="shared" ref="Q28" si="116">F28*P28</f>
        <v>3452.147090909024</v>
      </c>
      <c r="R28">
        <f t="shared" ref="R28" si="117">R29+Q28</f>
        <v>-13059663.212573448</v>
      </c>
      <c r="S28">
        <f t="shared" ref="S28" si="118">R28/100000</f>
        <v>-130.59663212573449</v>
      </c>
      <c r="T28">
        <f t="shared" ref="T28" si="119">S28/1000</f>
        <v>-0.1305966321257345</v>
      </c>
    </row>
    <row r="29" spans="1:20" x14ac:dyDescent="0.25">
      <c r="A29" s="5">
        <v>44564</v>
      </c>
      <c r="B29">
        <v>9.07</v>
      </c>
      <c r="C29">
        <v>9.44</v>
      </c>
      <c r="D29">
        <v>8.85</v>
      </c>
      <c r="E29">
        <v>9.19</v>
      </c>
      <c r="F29">
        <v>224136.63</v>
      </c>
      <c r="G29">
        <v>9.19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0.15254237288135572</v>
      </c>
      <c r="Q29">
        <f t="shared" ref="Q29" si="121">F29*P29</f>
        <v>34190.333389830463</v>
      </c>
      <c r="R29">
        <f t="shared" ref="R29" si="122">R30+Q29</f>
        <v>-13063115.359664356</v>
      </c>
      <c r="S29">
        <f t="shared" ref="S29" si="123">R29/100000</f>
        <v>-130.63115359664357</v>
      </c>
      <c r="T29">
        <f t="shared" ref="T29" si="124">S29/1000</f>
        <v>-0.13063115359664357</v>
      </c>
    </row>
    <row r="30" spans="1:20" x14ac:dyDescent="0.25">
      <c r="A30" s="5">
        <v>44563</v>
      </c>
      <c r="B30">
        <v>9.1300000000000008</v>
      </c>
      <c r="C30">
        <v>9.1300000000000008</v>
      </c>
      <c r="D30">
        <v>8.76</v>
      </c>
      <c r="E30">
        <v>9.08</v>
      </c>
      <c r="F30">
        <v>179302.16</v>
      </c>
      <c r="G30">
        <v>9.08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0.72972972972972661</v>
      </c>
      <c r="Q30">
        <f t="shared" ref="Q30" si="126">F30*P30</f>
        <v>130842.11675675619</v>
      </c>
      <c r="R30">
        <f t="shared" ref="R30" si="127">R31+Q30</f>
        <v>-13097305.693054186</v>
      </c>
      <c r="S30">
        <f t="shared" ref="S30" si="128">R30/100000</f>
        <v>-130.97305693054187</v>
      </c>
      <c r="T30">
        <f t="shared" ref="T30" si="129">S30/1000</f>
        <v>-0.13097305693054187</v>
      </c>
    </row>
    <row r="31" spans="1:20" x14ac:dyDescent="0.25">
      <c r="A31" s="5">
        <v>44562</v>
      </c>
      <c r="B31">
        <v>8.77</v>
      </c>
      <c r="C31">
        <v>9.16</v>
      </c>
      <c r="D31">
        <v>8.74</v>
      </c>
      <c r="E31">
        <v>9.1300000000000008</v>
      </c>
      <c r="F31">
        <v>165028.29</v>
      </c>
      <c r="G31">
        <v>9.1300000000000008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0.8571428571428602</v>
      </c>
      <c r="Q31">
        <f t="shared" ref="Q31" si="131">F31*P31</f>
        <v>141452.8200000005</v>
      </c>
      <c r="R31">
        <f t="shared" ref="R31" si="132">R32+Q31</f>
        <v>-13228147.809810942</v>
      </c>
      <c r="S31">
        <f t="shared" ref="S31" si="133">R31/100000</f>
        <v>-132.28147809810943</v>
      </c>
      <c r="T31">
        <f t="shared" ref="T31" si="134">S31/1000</f>
        <v>-0.13228147809810945</v>
      </c>
    </row>
    <row r="32" spans="1:20" x14ac:dyDescent="0.25">
      <c r="A32" s="5">
        <v>44561</v>
      </c>
      <c r="B32">
        <v>9.0299999999999994</v>
      </c>
      <c r="C32">
        <v>9.07</v>
      </c>
      <c r="D32">
        <v>8.5500000000000007</v>
      </c>
      <c r="E32">
        <v>8.77</v>
      </c>
      <c r="F32">
        <v>146049.54</v>
      </c>
      <c r="G32">
        <v>8.77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-0.15384615384615752</v>
      </c>
      <c r="Q32">
        <f t="shared" ref="Q32" si="136">F32*P32</f>
        <v>-22469.160000000538</v>
      </c>
      <c r="R32">
        <f t="shared" ref="R32" si="137">R33+Q32</f>
        <v>-13369600.629810942</v>
      </c>
      <c r="S32">
        <f t="shared" ref="S32" si="138">R32/100000</f>
        <v>-133.69600629810941</v>
      </c>
      <c r="T32">
        <f t="shared" ref="T32" si="139">S32/1000</f>
        <v>-0.1336960062981094</v>
      </c>
    </row>
    <row r="33" spans="1:20" x14ac:dyDescent="0.25">
      <c r="A33" s="5">
        <v>44560</v>
      </c>
      <c r="B33">
        <v>8.86</v>
      </c>
      <c r="C33">
        <v>9.56</v>
      </c>
      <c r="D33">
        <v>8.65</v>
      </c>
      <c r="E33">
        <v>9.0399999999999991</v>
      </c>
      <c r="F33">
        <v>395623.41</v>
      </c>
      <c r="G33">
        <v>9.0399999999999991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-0.14285714285714565</v>
      </c>
      <c r="Q33">
        <f t="shared" ref="Q33" si="141">F33*P33</f>
        <v>-56517.630000001103</v>
      </c>
      <c r="R33">
        <f t="shared" ref="R33" si="142">R34+Q33</f>
        <v>-13347131.469810942</v>
      </c>
      <c r="S33">
        <f t="shared" ref="S33" si="143">R33/100000</f>
        <v>-133.47131469810941</v>
      </c>
      <c r="T33">
        <f t="shared" ref="T33" si="144">S33/1000</f>
        <v>-0.13347131469810941</v>
      </c>
    </row>
    <row r="34" spans="1:20" x14ac:dyDescent="0.25">
      <c r="A34" s="5">
        <v>44559</v>
      </c>
      <c r="B34">
        <v>9.0500000000000007</v>
      </c>
      <c r="C34">
        <v>9.2799999999999994</v>
      </c>
      <c r="D34">
        <v>8.5</v>
      </c>
      <c r="E34">
        <v>8.86</v>
      </c>
      <c r="F34">
        <v>300383.05</v>
      </c>
      <c r="G34">
        <v>8.86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-7.6923076923077621E-2</v>
      </c>
      <c r="Q34">
        <f t="shared" ref="Q34" si="146">F34*P34</f>
        <v>-23106.388461538671</v>
      </c>
      <c r="R34">
        <f t="shared" ref="R34" si="147">R35+Q34</f>
        <v>-13290613.839810941</v>
      </c>
      <c r="S34">
        <f t="shared" ref="S34" si="148">R34/100000</f>
        <v>-132.90613839810942</v>
      </c>
      <c r="T34">
        <f t="shared" ref="T34" si="149">S34/1000</f>
        <v>-0.13290613839810941</v>
      </c>
    </row>
    <row r="35" spans="1:20" x14ac:dyDescent="0.25">
      <c r="A35" s="5">
        <v>44558</v>
      </c>
      <c r="B35">
        <v>9.52</v>
      </c>
      <c r="C35">
        <v>9.5399999999999991</v>
      </c>
      <c r="D35">
        <v>8.85</v>
      </c>
      <c r="E35">
        <v>9.0500000000000007</v>
      </c>
      <c r="F35">
        <v>533760.02</v>
      </c>
      <c r="G35">
        <v>9.0500000000000007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-0.42028985507246025</v>
      </c>
      <c r="Q35">
        <f t="shared" ref="Q35" si="151">F35*P35</f>
        <v>-224333.9214492735</v>
      </c>
      <c r="R35">
        <f t="shared" ref="R35" si="152">R36+Q35</f>
        <v>-13267507.451349402</v>
      </c>
      <c r="S35">
        <f t="shared" ref="S35" si="153">R35/100000</f>
        <v>-132.67507451349402</v>
      </c>
      <c r="T35">
        <f t="shared" ref="T35" si="154">S35/1000</f>
        <v>-0.13267507451349403</v>
      </c>
    </row>
    <row r="36" spans="1:20" x14ac:dyDescent="0.25">
      <c r="A36" s="5">
        <v>44557</v>
      </c>
      <c r="B36">
        <v>9.48</v>
      </c>
      <c r="C36">
        <v>9.99</v>
      </c>
      <c r="D36">
        <v>9.3800000000000008</v>
      </c>
      <c r="E36">
        <v>9.51</v>
      </c>
      <c r="F36">
        <v>272295.06</v>
      </c>
      <c r="G36">
        <v>9.51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-0.57377049180328155</v>
      </c>
      <c r="Q36">
        <f t="shared" ref="Q36" si="156">F36*P36</f>
        <v>-156234.87049180406</v>
      </c>
      <c r="R36">
        <f t="shared" ref="R36" si="157">R37+Q36</f>
        <v>-13043173.529900128</v>
      </c>
      <c r="S36">
        <f t="shared" ref="S36" si="158">R36/100000</f>
        <v>-130.43173529900128</v>
      </c>
      <c r="T36">
        <f t="shared" ref="T36" si="159">S36/1000</f>
        <v>-0.13043173529900126</v>
      </c>
    </row>
    <row r="37" spans="1:20" x14ac:dyDescent="0.25">
      <c r="A37" s="5">
        <v>44556</v>
      </c>
      <c r="B37">
        <v>9.1999999999999993</v>
      </c>
      <c r="C37">
        <v>9.51</v>
      </c>
      <c r="D37">
        <v>8.99</v>
      </c>
      <c r="E37">
        <v>9.48</v>
      </c>
      <c r="F37">
        <v>138226.15</v>
      </c>
      <c r="G37">
        <v>9.48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0.88461538461538702</v>
      </c>
      <c r="Q37">
        <f t="shared" ref="Q37" si="161">F37*P37</f>
        <v>122276.97884615418</v>
      </c>
      <c r="R37">
        <f t="shared" ref="R37" si="162">R38+Q37</f>
        <v>-12886938.659408323</v>
      </c>
      <c r="S37">
        <f t="shared" ref="S37" si="163">R37/100000</f>
        <v>-128.86938659408324</v>
      </c>
      <c r="T37">
        <f t="shared" ref="T37" si="164">S37/1000</f>
        <v>-0.12886938659408323</v>
      </c>
    </row>
    <row r="38" spans="1:20" x14ac:dyDescent="0.25">
      <c r="A38" s="5">
        <v>44555</v>
      </c>
      <c r="B38">
        <v>9.14</v>
      </c>
      <c r="C38">
        <v>9.34</v>
      </c>
      <c r="D38">
        <v>9.07</v>
      </c>
      <c r="E38">
        <v>9.19</v>
      </c>
      <c r="F38">
        <v>109703.25</v>
      </c>
      <c r="G38">
        <v>9.19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-0.11111111111111549</v>
      </c>
      <c r="Q38">
        <f t="shared" ref="Q38" si="166">F38*P38</f>
        <v>-12189.25000000048</v>
      </c>
      <c r="R38">
        <f t="shared" ref="R38" si="167">R39+Q38</f>
        <v>-13009215.638254477</v>
      </c>
      <c r="S38">
        <f t="shared" ref="S38" si="168">R38/100000</f>
        <v>-130.09215638254477</v>
      </c>
      <c r="T38">
        <f t="shared" ref="T38" si="169">S38/1000</f>
        <v>-0.13009215638254476</v>
      </c>
    </row>
    <row r="39" spans="1:20" x14ac:dyDescent="0.25">
      <c r="A39" s="5">
        <v>44554</v>
      </c>
      <c r="B39">
        <v>9.39</v>
      </c>
      <c r="C39">
        <v>9.52</v>
      </c>
      <c r="D39">
        <v>9.01</v>
      </c>
      <c r="E39">
        <v>9.15</v>
      </c>
      <c r="F39">
        <v>318237.03000000003</v>
      </c>
      <c r="G39">
        <v>9.15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-0.45098039215686031</v>
      </c>
      <c r="Q39">
        <f t="shared" ref="Q39" si="171">F39*P39</f>
        <v>-143518.66058823452</v>
      </c>
      <c r="R39">
        <f t="shared" ref="R39" si="172">R40+Q39</f>
        <v>-12997026.388254477</v>
      </c>
      <c r="S39">
        <f t="shared" ref="S39" si="173">R39/100000</f>
        <v>-129.97026388254477</v>
      </c>
      <c r="T39">
        <f t="shared" ref="T39" si="174">S39/1000</f>
        <v>-0.12997026388254476</v>
      </c>
    </row>
    <row r="40" spans="1:20" x14ac:dyDescent="0.25">
      <c r="A40" s="5">
        <v>44553</v>
      </c>
      <c r="B40">
        <v>9.36</v>
      </c>
      <c r="C40">
        <v>9.6300000000000008</v>
      </c>
      <c r="D40">
        <v>8.91</v>
      </c>
      <c r="E40">
        <v>9.39</v>
      </c>
      <c r="F40">
        <v>527102.04</v>
      </c>
      <c r="G40">
        <v>9.39</v>
      </c>
      <c r="L40" t="s">
        <v>7</v>
      </c>
      <c r="M40" t="s">
        <v>8</v>
      </c>
      <c r="N40" t="s">
        <v>7</v>
      </c>
      <c r="P40">
        <f t="shared" ref="P40" si="175">IF(C40=D40,0,((E40-D40)-(C40-E40))/(C40-D40))</f>
        <v>0.33333333333333331</v>
      </c>
      <c r="Q40">
        <f t="shared" ref="Q40" si="176">F40*P40</f>
        <v>175700.68</v>
      </c>
      <c r="R40">
        <f t="shared" ref="R40" si="177">R41+Q40</f>
        <v>-12853507.727666242</v>
      </c>
      <c r="S40">
        <f t="shared" ref="S40" si="178">R40/100000</f>
        <v>-128.53507727666243</v>
      </c>
      <c r="T40">
        <f t="shared" ref="T40" si="179">S40/1000</f>
        <v>-0.12853507727666244</v>
      </c>
    </row>
    <row r="41" spans="1:20" x14ac:dyDescent="0.25">
      <c r="A41" s="5">
        <v>44552</v>
      </c>
      <c r="B41">
        <v>9.94</v>
      </c>
      <c r="C41">
        <v>10.029999999999999</v>
      </c>
      <c r="D41">
        <v>9.36</v>
      </c>
      <c r="E41">
        <v>9.36</v>
      </c>
      <c r="F41">
        <v>363859.36</v>
      </c>
      <c r="G41">
        <v>9.36</v>
      </c>
      <c r="L41" t="s">
        <v>7</v>
      </c>
      <c r="M41" t="s">
        <v>8</v>
      </c>
      <c r="N41" t="s">
        <v>7</v>
      </c>
      <c r="P41">
        <f t="shared" ref="P41" si="180">IF(C41=D41,0,((E41-D41)-(C41-E41))/(C41-D41))</f>
        <v>-1</v>
      </c>
      <c r="Q41">
        <f t="shared" ref="Q41" si="181">F41*P41</f>
        <v>-363859.36</v>
      </c>
      <c r="R41">
        <f t="shared" ref="R41" si="182">R42+Q41</f>
        <v>-13029208.407666242</v>
      </c>
      <c r="S41">
        <f t="shared" ref="S41" si="183">R41/100000</f>
        <v>-130.29208407666241</v>
      </c>
      <c r="T41">
        <f t="shared" ref="T41" si="184">S41/1000</f>
        <v>-0.1302920840766624</v>
      </c>
    </row>
    <row r="42" spans="1:20" x14ac:dyDescent="0.25">
      <c r="A42" s="5">
        <v>44551</v>
      </c>
      <c r="B42">
        <v>10.039999999999999</v>
      </c>
      <c r="C42">
        <v>10.16</v>
      </c>
      <c r="D42">
        <v>9.64</v>
      </c>
      <c r="E42">
        <v>9.9499999999999993</v>
      </c>
      <c r="F42">
        <v>369989.95</v>
      </c>
      <c r="G42">
        <v>9.9499999999999993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0.19230769230768838</v>
      </c>
      <c r="Q42">
        <f t="shared" ref="Q42" si="186">F42*P42</f>
        <v>71151.913461537013</v>
      </c>
      <c r="R42">
        <f t="shared" ref="R42" si="187">R43+Q42</f>
        <v>-12665349.047666242</v>
      </c>
      <c r="S42">
        <f t="shared" ref="S42" si="188">R42/100000</f>
        <v>-126.65349047666243</v>
      </c>
      <c r="T42">
        <f t="shared" ref="T42" si="189">S42/1000</f>
        <v>-0.12665349047666244</v>
      </c>
    </row>
    <row r="43" spans="1:20" x14ac:dyDescent="0.25">
      <c r="A43" s="5">
        <v>44550</v>
      </c>
      <c r="B43">
        <v>9.7799999999999994</v>
      </c>
      <c r="C43">
        <v>10.29</v>
      </c>
      <c r="D43">
        <v>9.4499999999999993</v>
      </c>
      <c r="E43">
        <v>10.029999999999999</v>
      </c>
      <c r="F43">
        <v>598578.74</v>
      </c>
      <c r="G43">
        <v>10.029999999999999</v>
      </c>
      <c r="L43" t="s">
        <v>8</v>
      </c>
      <c r="M43" t="s">
        <v>8</v>
      </c>
      <c r="N43" t="s">
        <v>7</v>
      </c>
      <c r="P43">
        <f t="shared" ref="P43" si="190">IF(C43=D43,0,((E43-D43)-(C43-E43))/(C43-D43))</f>
        <v>0.38095238095238138</v>
      </c>
      <c r="Q43">
        <f t="shared" ref="Q43" si="191">F43*P43</f>
        <v>228029.99619047644</v>
      </c>
      <c r="R43">
        <f t="shared" ref="R43" si="192">R44+Q43</f>
        <v>-12736500.961127779</v>
      </c>
      <c r="S43">
        <f t="shared" ref="S43" si="193">R43/100000</f>
        <v>-127.36500961127778</v>
      </c>
      <c r="T43">
        <f t="shared" ref="T43" si="194">S43/1000</f>
        <v>-0.12736500961127778</v>
      </c>
    </row>
    <row r="44" spans="1:20" x14ac:dyDescent="0.25">
      <c r="A44" s="5">
        <v>44549</v>
      </c>
      <c r="B44">
        <v>9.44</v>
      </c>
      <c r="C44">
        <v>9.9</v>
      </c>
      <c r="D44">
        <v>9.1199999999999992</v>
      </c>
      <c r="E44">
        <v>9.7799999999999994</v>
      </c>
      <c r="F44">
        <v>214486.23</v>
      </c>
      <c r="G44">
        <v>9.7799999999999994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0.69230769230769018</v>
      </c>
      <c r="Q44">
        <f t="shared" ref="Q44" si="196">F44*P44</f>
        <v>148490.46692307648</v>
      </c>
      <c r="R44">
        <f t="shared" ref="R44" si="197">R45+Q44</f>
        <v>-12964530.957318256</v>
      </c>
      <c r="S44">
        <f t="shared" ref="S44" si="198">R44/100000</f>
        <v>-129.64530957318254</v>
      </c>
      <c r="T44">
        <f t="shared" ref="T44" si="199">S44/1000</f>
        <v>-0.12964530957318254</v>
      </c>
    </row>
    <row r="45" spans="1:20" x14ac:dyDescent="0.25">
      <c r="A45" s="5">
        <v>44548</v>
      </c>
      <c r="B45">
        <v>9.27</v>
      </c>
      <c r="C45">
        <v>9.56</v>
      </c>
      <c r="D45">
        <v>8.9700000000000006</v>
      </c>
      <c r="E45">
        <v>9.43</v>
      </c>
      <c r="F45">
        <v>267491.59999999998</v>
      </c>
      <c r="G45">
        <v>9.43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0.55932203389830237</v>
      </c>
      <c r="Q45">
        <f t="shared" ref="Q45" si="201">F45*P45</f>
        <v>149613.94576271114</v>
      </c>
      <c r="R45">
        <f t="shared" ref="R45" si="202">R46+Q45</f>
        <v>-13113021.424241332</v>
      </c>
      <c r="S45">
        <f t="shared" ref="S45" si="203">R45/100000</f>
        <v>-131.13021424241333</v>
      </c>
      <c r="T45">
        <f t="shared" ref="T45" si="204">S45/1000</f>
        <v>-0.13113021424241333</v>
      </c>
    </row>
    <row r="46" spans="1:20" x14ac:dyDescent="0.25">
      <c r="A46" s="5">
        <v>44547</v>
      </c>
      <c r="B46">
        <v>9.0500000000000007</v>
      </c>
      <c r="C46">
        <v>9.3000000000000007</v>
      </c>
      <c r="D46">
        <v>8.23</v>
      </c>
      <c r="E46">
        <v>9.2799999999999994</v>
      </c>
      <c r="F46">
        <v>406382.47</v>
      </c>
      <c r="G46">
        <v>9.2799999999999994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0.96261682242990398</v>
      </c>
      <c r="Q46">
        <f t="shared" ref="Q46" si="206">F46*P46</f>
        <v>391190.60196261574</v>
      </c>
      <c r="R46">
        <f t="shared" ref="R46" si="207">R47+Q46</f>
        <v>-13262635.370004043</v>
      </c>
      <c r="S46">
        <f t="shared" ref="S46" si="208">R46/100000</f>
        <v>-132.62635370004043</v>
      </c>
      <c r="T46">
        <f t="shared" ref="T46" si="209">S46/1000</f>
        <v>-0.13262635370004042</v>
      </c>
    </row>
    <row r="47" spans="1:20" x14ac:dyDescent="0.25">
      <c r="A47" s="5">
        <v>44546</v>
      </c>
      <c r="B47">
        <v>8.94</v>
      </c>
      <c r="C47">
        <v>9.19</v>
      </c>
      <c r="D47">
        <v>8.64</v>
      </c>
      <c r="E47">
        <v>9.0500000000000007</v>
      </c>
      <c r="F47">
        <v>221093.3</v>
      </c>
      <c r="G47">
        <v>9.0500000000000007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0.49090909090909429</v>
      </c>
      <c r="Q47">
        <f t="shared" ref="Q47" si="211">F47*P47</f>
        <v>108536.71090909165</v>
      </c>
      <c r="R47">
        <f t="shared" ref="R47" si="212">R48+Q47</f>
        <v>-13653825.97196666</v>
      </c>
      <c r="S47">
        <f t="shared" ref="S47" si="213">R47/100000</f>
        <v>-136.5382597196666</v>
      </c>
      <c r="T47">
        <f t="shared" ref="T47" si="214">S47/1000</f>
        <v>-0.1365382597196666</v>
      </c>
    </row>
    <row r="48" spans="1:20" x14ac:dyDescent="0.25">
      <c r="A48" s="5">
        <v>44545</v>
      </c>
      <c r="B48">
        <v>8.76</v>
      </c>
      <c r="C48">
        <v>8.98</v>
      </c>
      <c r="D48">
        <v>8.15</v>
      </c>
      <c r="E48">
        <v>8.93</v>
      </c>
      <c r="F48">
        <v>215862.35</v>
      </c>
      <c r="G48">
        <v>8.93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0.87951807228915491</v>
      </c>
      <c r="Q48">
        <f t="shared" ref="Q48" si="216">F48*P48</f>
        <v>189854.83795180687</v>
      </c>
      <c r="R48">
        <f t="shared" ref="R48" si="217">R49+Q48</f>
        <v>-13762362.682875751</v>
      </c>
      <c r="S48">
        <f t="shared" ref="S48" si="218">R48/100000</f>
        <v>-137.62362682875749</v>
      </c>
      <c r="T48">
        <f t="shared" ref="T48" si="219">S48/1000</f>
        <v>-0.13762362682875751</v>
      </c>
    </row>
    <row r="49" spans="1:20" x14ac:dyDescent="0.25">
      <c r="A49" s="5">
        <v>44544</v>
      </c>
      <c r="B49">
        <v>8.64</v>
      </c>
      <c r="C49">
        <v>8.92</v>
      </c>
      <c r="D49">
        <v>8.3000000000000007</v>
      </c>
      <c r="E49">
        <v>8.76</v>
      </c>
      <c r="F49">
        <v>283423.48</v>
      </c>
      <c r="G49">
        <v>8.76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0.48387096774193439</v>
      </c>
      <c r="Q49">
        <f t="shared" ref="Q49" si="221">F49*P49</f>
        <v>137140.39354838678</v>
      </c>
      <c r="R49">
        <f t="shared" ref="R49" si="222">R50+Q49</f>
        <v>-13952217.520827558</v>
      </c>
      <c r="S49">
        <f t="shared" ref="S49" si="223">R49/100000</f>
        <v>-139.52217520827557</v>
      </c>
      <c r="T49">
        <f t="shared" ref="T49" si="224">S49/1000</f>
        <v>-0.13952217520827556</v>
      </c>
    </row>
    <row r="50" spans="1:20" x14ac:dyDescent="0.25">
      <c r="A50" s="5">
        <v>44543</v>
      </c>
      <c r="B50">
        <v>9.35</v>
      </c>
      <c r="C50">
        <v>9.4499999999999993</v>
      </c>
      <c r="D50">
        <v>8.36</v>
      </c>
      <c r="E50">
        <v>8.65</v>
      </c>
      <c r="F50">
        <v>244602.17</v>
      </c>
      <c r="G50">
        <v>8.65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-0.46788990825687898</v>
      </c>
      <c r="Q50">
        <f t="shared" ref="Q50" si="226">F50*P50</f>
        <v>-114446.88688073352</v>
      </c>
      <c r="R50">
        <f t="shared" ref="R50" si="227">R51+Q50</f>
        <v>-14089357.914375944</v>
      </c>
      <c r="S50">
        <f t="shared" ref="S50" si="228">R50/100000</f>
        <v>-140.89357914375944</v>
      </c>
      <c r="T50">
        <f t="shared" ref="T50" si="229">S50/1000</f>
        <v>-0.14089357914375944</v>
      </c>
    </row>
    <row r="51" spans="1:20" x14ac:dyDescent="0.25">
      <c r="A51" s="5">
        <v>44542</v>
      </c>
      <c r="B51">
        <v>9.65</v>
      </c>
      <c r="C51">
        <v>9.68</v>
      </c>
      <c r="D51">
        <v>9.32</v>
      </c>
      <c r="E51">
        <v>9.36</v>
      </c>
      <c r="F51">
        <v>161153.51</v>
      </c>
      <c r="G51">
        <v>9.36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-0.77777777777778212</v>
      </c>
      <c r="Q51">
        <f t="shared" ref="Q51" si="231">F51*P51</f>
        <v>-125341.6188888896</v>
      </c>
      <c r="R51">
        <f t="shared" ref="R51" si="232">R52+Q51</f>
        <v>-13974911.027495211</v>
      </c>
      <c r="S51">
        <f t="shared" ref="S51" si="233">R51/100000</f>
        <v>-139.7491102749521</v>
      </c>
      <c r="T51">
        <f t="shared" ref="T51" si="234">S51/1000</f>
        <v>-0.1397491102749521</v>
      </c>
    </row>
    <row r="52" spans="1:20" x14ac:dyDescent="0.25">
      <c r="A52" s="5">
        <v>44541</v>
      </c>
      <c r="B52">
        <v>9.11</v>
      </c>
      <c r="C52">
        <v>9.15</v>
      </c>
      <c r="D52">
        <v>8.8800000000000008</v>
      </c>
      <c r="E52">
        <v>9.1199999999999992</v>
      </c>
      <c r="F52">
        <v>21643.62</v>
      </c>
      <c r="G52">
        <v>9.1199999999999992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0.77777777777776902</v>
      </c>
      <c r="Q52">
        <f t="shared" ref="Q52" si="236">F52*P52</f>
        <v>16833.926666666477</v>
      </c>
      <c r="R52">
        <f t="shared" ref="R52" si="237">R53+Q52</f>
        <v>-13849569.408606321</v>
      </c>
      <c r="S52">
        <f t="shared" ref="S52" si="238">R52/100000</f>
        <v>-138.4956940860632</v>
      </c>
      <c r="T52">
        <f t="shared" ref="T52" si="239">S52/1000</f>
        <v>-0.13849569408606319</v>
      </c>
    </row>
    <row r="53" spans="1:20" x14ac:dyDescent="0.25">
      <c r="A53" s="5">
        <v>44540</v>
      </c>
      <c r="B53">
        <v>9.85</v>
      </c>
      <c r="C53">
        <v>10.119999999999999</v>
      </c>
      <c r="D53">
        <v>9.07</v>
      </c>
      <c r="E53">
        <v>9.1</v>
      </c>
      <c r="F53">
        <v>379239.92</v>
      </c>
      <c r="G53">
        <v>9.1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-0.94285714285714406</v>
      </c>
      <c r="Q53">
        <f t="shared" ref="Q53" si="241">F53*P53</f>
        <v>-357569.06742857187</v>
      </c>
      <c r="R53">
        <f t="shared" ref="R53" si="242">R54+Q53</f>
        <v>-13866403.335272986</v>
      </c>
      <c r="S53">
        <f t="shared" ref="S53" si="243">R53/100000</f>
        <v>-138.66403335272986</v>
      </c>
      <c r="T53">
        <f t="shared" ref="T53" si="244">S53/1000</f>
        <v>-0.13866403335272987</v>
      </c>
    </row>
    <row r="54" spans="1:20" x14ac:dyDescent="0.25">
      <c r="A54" s="5">
        <v>44539</v>
      </c>
      <c r="B54">
        <v>11.08</v>
      </c>
      <c r="C54">
        <v>11.3</v>
      </c>
      <c r="D54">
        <v>9.8000000000000007</v>
      </c>
      <c r="E54">
        <v>9.84</v>
      </c>
      <c r="F54">
        <v>295926.19</v>
      </c>
      <c r="G54">
        <v>9.84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-0.94666666666666777</v>
      </c>
      <c r="Q54">
        <f t="shared" ref="Q54" si="246">F54*P54</f>
        <v>-280143.45986666699</v>
      </c>
      <c r="R54">
        <f t="shared" ref="R54" si="247">R55+Q54</f>
        <v>-13508834.267844414</v>
      </c>
      <c r="S54">
        <f t="shared" ref="S54" si="248">R54/100000</f>
        <v>-135.08834267844415</v>
      </c>
      <c r="T54">
        <f t="shared" ref="T54" si="249">S54/1000</f>
        <v>-0.13508834267844416</v>
      </c>
    </row>
    <row r="55" spans="1:20" x14ac:dyDescent="0.25">
      <c r="A55" s="5">
        <v>44538</v>
      </c>
      <c r="B55">
        <v>11.09</v>
      </c>
      <c r="C55">
        <v>11.2</v>
      </c>
      <c r="D55">
        <v>10.38</v>
      </c>
      <c r="E55">
        <v>11.08</v>
      </c>
      <c r="F55">
        <v>487486.9</v>
      </c>
      <c r="G55">
        <v>11.08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0.70731707317073311</v>
      </c>
      <c r="Q55">
        <f t="shared" ref="Q55" si="251">F55*P55</f>
        <v>344807.80731707386</v>
      </c>
      <c r="R55">
        <f t="shared" ref="R55" si="252">R56+Q55</f>
        <v>-13228690.807977747</v>
      </c>
      <c r="S55">
        <f t="shared" ref="S55" si="253">R55/100000</f>
        <v>-132.28690807977748</v>
      </c>
      <c r="T55">
        <f t="shared" ref="T55" si="254">S55/1000</f>
        <v>-0.13228690807977747</v>
      </c>
    </row>
    <row r="56" spans="1:20" x14ac:dyDescent="0.25">
      <c r="A56" s="5">
        <v>44537</v>
      </c>
      <c r="B56">
        <v>11.32</v>
      </c>
      <c r="C56">
        <v>11.68</v>
      </c>
      <c r="D56">
        <v>10.97</v>
      </c>
      <c r="E56">
        <v>11.09</v>
      </c>
      <c r="F56">
        <v>180572.67</v>
      </c>
      <c r="G56">
        <v>11.09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-0.66197183098591728</v>
      </c>
      <c r="Q56">
        <f t="shared" ref="Q56" si="256">F56*P56</f>
        <v>-119534.02098591582</v>
      </c>
      <c r="R56">
        <f t="shared" ref="R56" si="257">R57+Q56</f>
        <v>-13573498.615294822</v>
      </c>
      <c r="S56">
        <f t="shared" ref="S56" si="258">R56/100000</f>
        <v>-135.73498615294821</v>
      </c>
      <c r="T56">
        <f t="shared" ref="T56" si="259">S56/1000</f>
        <v>-0.13573498615294821</v>
      </c>
    </row>
    <row r="57" spans="1:20" x14ac:dyDescent="0.25">
      <c r="A57" s="5">
        <v>44536</v>
      </c>
      <c r="B57">
        <v>11.07</v>
      </c>
      <c r="C57">
        <v>11.44</v>
      </c>
      <c r="D57">
        <v>10.26</v>
      </c>
      <c r="E57">
        <v>11.34</v>
      </c>
      <c r="F57">
        <v>342078.69</v>
      </c>
      <c r="G57">
        <v>11.34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0.83050847457627175</v>
      </c>
      <c r="Q57">
        <f t="shared" ref="Q57" si="261">F57*P57</f>
        <v>284099.25101694936</v>
      </c>
      <c r="R57">
        <f t="shared" ref="R57" si="262">R58+Q57</f>
        <v>-13453964.594308905</v>
      </c>
      <c r="S57">
        <f t="shared" ref="S57" si="263">R57/100000</f>
        <v>-134.53964594308906</v>
      </c>
      <c r="T57">
        <f t="shared" ref="T57" si="264">S57/1000</f>
        <v>-0.13453964594308906</v>
      </c>
    </row>
    <row r="58" spans="1:20" x14ac:dyDescent="0.25">
      <c r="A58" s="5">
        <v>44535</v>
      </c>
      <c r="B58">
        <v>11.64</v>
      </c>
      <c r="C58">
        <v>11.89</v>
      </c>
      <c r="D58">
        <v>10.71</v>
      </c>
      <c r="E58">
        <v>11.06</v>
      </c>
      <c r="F58">
        <v>455388.52</v>
      </c>
      <c r="G58">
        <v>11.06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-0.40677966101694962</v>
      </c>
      <c r="Q58">
        <f t="shared" ref="Q58" si="266">F58*P58</f>
        <v>-185242.78779661038</v>
      </c>
      <c r="R58">
        <f t="shared" ref="R58" si="267">R59+Q58</f>
        <v>-13738063.845325856</v>
      </c>
      <c r="S58">
        <f t="shared" ref="S58" si="268">R58/100000</f>
        <v>-137.38063845325854</v>
      </c>
      <c r="T58">
        <f t="shared" ref="T58" si="269">S58/1000</f>
        <v>-0.13738063845325854</v>
      </c>
    </row>
    <row r="59" spans="1:20" x14ac:dyDescent="0.25">
      <c r="A59" s="5">
        <v>44534</v>
      </c>
      <c r="B59">
        <v>12.55</v>
      </c>
      <c r="C59">
        <v>12.61</v>
      </c>
      <c r="D59">
        <v>10.43</v>
      </c>
      <c r="E59">
        <v>11.66</v>
      </c>
      <c r="F59">
        <v>723028.09900000005</v>
      </c>
      <c r="G59">
        <v>11.66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0.1284403669724776</v>
      </c>
      <c r="Q59">
        <f t="shared" ref="Q59" si="271">F59*P59</f>
        <v>92865.994366972867</v>
      </c>
      <c r="R59">
        <f t="shared" ref="R59" si="272">R60+Q59</f>
        <v>-13552821.057529245</v>
      </c>
      <c r="S59">
        <f t="shared" ref="S59" si="273">R59/100000</f>
        <v>-135.52821057529243</v>
      </c>
      <c r="T59">
        <f t="shared" ref="T59" si="274">S59/1000</f>
        <v>-0.13552821057529243</v>
      </c>
    </row>
    <row r="60" spans="1:20" x14ac:dyDescent="0.25">
      <c r="A60" s="5">
        <v>44533</v>
      </c>
      <c r="B60">
        <v>13.17</v>
      </c>
      <c r="C60">
        <v>13.17</v>
      </c>
      <c r="D60">
        <v>12.25</v>
      </c>
      <c r="E60">
        <v>12.56</v>
      </c>
      <c r="F60">
        <v>254630.68</v>
      </c>
      <c r="G60">
        <v>12.56</v>
      </c>
      <c r="L60" t="s">
        <v>7</v>
      </c>
      <c r="M60" t="s">
        <v>8</v>
      </c>
      <c r="N60" t="s">
        <v>7</v>
      </c>
      <c r="P60">
        <f t="shared" ref="P60" si="275">IF(C60=D60,0,((E60-D60)-(C60-E60))/(C60-D60))</f>
        <v>-0.32608695652173797</v>
      </c>
      <c r="Q60">
        <f t="shared" ref="Q60" si="276">F60*P60</f>
        <v>-83031.743478260571</v>
      </c>
      <c r="R60">
        <f t="shared" ref="R60" si="277">R61+Q60</f>
        <v>-13645687.051896218</v>
      </c>
      <c r="S60">
        <f t="shared" ref="S60" si="278">R60/100000</f>
        <v>-136.45687051896218</v>
      </c>
      <c r="T60">
        <f t="shared" ref="T60" si="279">S60/1000</f>
        <v>-0.13645687051896219</v>
      </c>
    </row>
    <row r="61" spans="1:20" x14ac:dyDescent="0.25">
      <c r="A61" s="5">
        <v>44532</v>
      </c>
      <c r="B61">
        <v>13.06</v>
      </c>
      <c r="C61">
        <v>13.39</v>
      </c>
      <c r="D61">
        <v>12.37</v>
      </c>
      <c r="E61">
        <v>13.18</v>
      </c>
      <c r="F61">
        <v>581019.23</v>
      </c>
      <c r="G61">
        <v>13.18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0.58823529411764597</v>
      </c>
      <c r="Q61">
        <f t="shared" ref="Q61" si="281">F61*P61</f>
        <v>341776.01764705818</v>
      </c>
      <c r="R61">
        <f t="shared" ref="R61" si="282">R62+Q61</f>
        <v>-13562655.308417957</v>
      </c>
      <c r="S61">
        <f t="shared" ref="S61" si="283">R61/100000</f>
        <v>-135.62655308417956</v>
      </c>
      <c r="T61">
        <f t="shared" ref="T61" si="284">S61/1000</f>
        <v>-0.13562655308417956</v>
      </c>
    </row>
    <row r="62" spans="1:20" x14ac:dyDescent="0.25">
      <c r="A62" s="5">
        <v>44531</v>
      </c>
      <c r="B62">
        <v>12.61</v>
      </c>
      <c r="C62">
        <v>13.2</v>
      </c>
      <c r="D62">
        <v>12.46</v>
      </c>
      <c r="E62">
        <v>13.06</v>
      </c>
      <c r="F62">
        <v>771228.83</v>
      </c>
      <c r="G62">
        <v>13.06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0.62162162162162404</v>
      </c>
      <c r="Q62">
        <f t="shared" ref="Q62" si="286">F62*P62</f>
        <v>479412.51594594779</v>
      </c>
      <c r="R62">
        <f t="shared" ref="R62" si="287">R63+Q62</f>
        <v>-13904431.326065015</v>
      </c>
      <c r="S62">
        <f t="shared" ref="S62" si="288">R62/100000</f>
        <v>-139.04431326065014</v>
      </c>
      <c r="T62">
        <f t="shared" ref="T62" si="289">S62/1000</f>
        <v>-0.13904431326065014</v>
      </c>
    </row>
    <row r="63" spans="1:20" x14ac:dyDescent="0.25">
      <c r="A63" s="5">
        <v>44530</v>
      </c>
      <c r="B63">
        <v>13</v>
      </c>
      <c r="C63">
        <v>13.45</v>
      </c>
      <c r="D63">
        <v>12.3</v>
      </c>
      <c r="E63">
        <v>12.6</v>
      </c>
      <c r="F63">
        <v>818706.49</v>
      </c>
      <c r="G63">
        <v>12.6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-0.47826086956521863</v>
      </c>
      <c r="Q63">
        <f t="shared" ref="Q63" si="291">F63*P63</f>
        <v>-391555.27782608796</v>
      </c>
      <c r="R63">
        <f t="shared" ref="R63" si="292">R64+Q63</f>
        <v>-14383843.842010964</v>
      </c>
      <c r="S63">
        <f t="shared" ref="S63" si="293">R63/100000</f>
        <v>-143.83843842010964</v>
      </c>
      <c r="T63">
        <f t="shared" ref="T63" si="294">S63/1000</f>
        <v>-0.14383843842010963</v>
      </c>
    </row>
    <row r="64" spans="1:20" x14ac:dyDescent="0.25">
      <c r="A64" s="5">
        <v>44529</v>
      </c>
      <c r="B64">
        <v>12.73</v>
      </c>
      <c r="C64">
        <v>13</v>
      </c>
      <c r="D64">
        <v>12.43</v>
      </c>
      <c r="E64">
        <v>13</v>
      </c>
      <c r="F64">
        <v>339026</v>
      </c>
      <c r="G64">
        <v>13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1</v>
      </c>
      <c r="Q64">
        <f t="shared" ref="Q64" si="296">F64*P64</f>
        <v>339026</v>
      </c>
      <c r="R64">
        <f t="shared" ref="R64" si="297">R65+Q64</f>
        <v>-13992288.564184876</v>
      </c>
      <c r="S64">
        <f t="shared" ref="S64" si="298">R64/100000</f>
        <v>-139.92288564184875</v>
      </c>
      <c r="T64">
        <f t="shared" ref="T64" si="299">S64/1000</f>
        <v>-0.13992288564184874</v>
      </c>
    </row>
    <row r="65" spans="1:20" x14ac:dyDescent="0.25">
      <c r="A65" s="5">
        <v>44528</v>
      </c>
      <c r="B65">
        <v>12.71</v>
      </c>
      <c r="C65">
        <v>12.8</v>
      </c>
      <c r="D65">
        <v>11.32</v>
      </c>
      <c r="E65">
        <v>12.73</v>
      </c>
      <c r="F65">
        <v>459481.45</v>
      </c>
      <c r="G65">
        <v>12.73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0.90540540540540504</v>
      </c>
      <c r="Q65">
        <f t="shared" ref="Q65" si="301">F65*P65</f>
        <v>416016.98851351335</v>
      </c>
      <c r="R65">
        <f t="shared" ref="R65" si="302">R66+Q65</f>
        <v>-14331314.564184876</v>
      </c>
      <c r="S65">
        <f t="shared" ref="S65" si="303">R65/100000</f>
        <v>-143.31314564184876</v>
      </c>
      <c r="T65">
        <f t="shared" ref="T65" si="304">S65/1000</f>
        <v>-0.14331314564184877</v>
      </c>
    </row>
    <row r="66" spans="1:20" x14ac:dyDescent="0.25">
      <c r="A66" s="5">
        <v>44527</v>
      </c>
      <c r="B66">
        <v>12.42</v>
      </c>
      <c r="C66">
        <v>12.71</v>
      </c>
      <c r="D66">
        <v>11.83</v>
      </c>
      <c r="E66">
        <v>12.71</v>
      </c>
      <c r="F66">
        <v>1125062.77</v>
      </c>
      <c r="G66">
        <v>12.71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1</v>
      </c>
      <c r="Q66">
        <f t="shared" ref="Q66" si="306">F66*P66</f>
        <v>1125062.77</v>
      </c>
      <c r="R66">
        <f t="shared" ref="R66" si="307">R67+Q66</f>
        <v>-14747331.552698389</v>
      </c>
      <c r="S66">
        <f t="shared" ref="S66" si="308">R66/100000</f>
        <v>-147.4733155269839</v>
      </c>
      <c r="T66">
        <f t="shared" ref="T66" si="309">S66/1000</f>
        <v>-0.14747331552698389</v>
      </c>
    </row>
    <row r="67" spans="1:20" x14ac:dyDescent="0.25">
      <c r="A67" s="5">
        <v>44526</v>
      </c>
      <c r="B67">
        <v>14.87</v>
      </c>
      <c r="C67">
        <v>14.9</v>
      </c>
      <c r="D67">
        <v>12.34</v>
      </c>
      <c r="E67">
        <v>12.42</v>
      </c>
      <c r="F67">
        <v>503295.58</v>
      </c>
      <c r="G67">
        <v>12.42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-0.9375</v>
      </c>
      <c r="Q67">
        <f t="shared" ref="Q67" si="311">F67*P67</f>
        <v>-471839.60625000001</v>
      </c>
      <c r="R67">
        <f t="shared" ref="R67" si="312">R68+Q67</f>
        <v>-15872394.322698388</v>
      </c>
      <c r="S67">
        <f t="shared" ref="S67" si="313">R67/100000</f>
        <v>-158.72394322698389</v>
      </c>
      <c r="T67">
        <f t="shared" ref="T67" si="314">S67/1000</f>
        <v>-0.15872394322698388</v>
      </c>
    </row>
    <row r="68" spans="1:20" x14ac:dyDescent="0.25">
      <c r="A68" s="5">
        <v>44525</v>
      </c>
      <c r="B68">
        <v>14.41</v>
      </c>
      <c r="C68">
        <v>15</v>
      </c>
      <c r="D68">
        <v>14.06</v>
      </c>
      <c r="E68">
        <v>14.86</v>
      </c>
      <c r="F68">
        <v>441040.9</v>
      </c>
      <c r="G68">
        <v>14.86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0.70212765957446677</v>
      </c>
      <c r="Q68">
        <f t="shared" ref="Q68" si="316">F68*P68</f>
        <v>309667.01489361643</v>
      </c>
      <c r="R68">
        <f t="shared" ref="R68" si="317">R69+Q68</f>
        <v>-15400554.716448389</v>
      </c>
      <c r="S68">
        <f t="shared" ref="S68" si="318">R68/100000</f>
        <v>-154.00554716448389</v>
      </c>
      <c r="T68">
        <f t="shared" ref="T68" si="319">S68/1000</f>
        <v>-0.15400554716448389</v>
      </c>
    </row>
    <row r="69" spans="1:20" x14ac:dyDescent="0.25">
      <c r="A69" s="5">
        <v>44524</v>
      </c>
      <c r="B69">
        <v>15.12</v>
      </c>
      <c r="C69">
        <v>15.29</v>
      </c>
      <c r="D69">
        <v>14.73</v>
      </c>
      <c r="E69">
        <v>14.77</v>
      </c>
      <c r="F69">
        <v>146760.65</v>
      </c>
      <c r="G69">
        <v>14.77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-0.85714285714285987</v>
      </c>
      <c r="Q69">
        <f t="shared" ref="Q69" si="321">F69*P69</f>
        <v>-125794.84285714326</v>
      </c>
      <c r="R69">
        <f t="shared" ref="R69" si="322">R70+Q69</f>
        <v>-15710221.731342005</v>
      </c>
      <c r="S69">
        <f t="shared" ref="S69" si="323">R69/100000</f>
        <v>-157.10221731342006</v>
      </c>
      <c r="T69">
        <f t="shared" ref="T69" si="324">S69/1000</f>
        <v>-0.15710221731342006</v>
      </c>
    </row>
    <row r="70" spans="1:20" x14ac:dyDescent="0.25">
      <c r="A70" s="5">
        <v>44523</v>
      </c>
      <c r="B70">
        <v>14.85</v>
      </c>
      <c r="C70">
        <v>15.48</v>
      </c>
      <c r="D70">
        <v>14.76</v>
      </c>
      <c r="E70">
        <v>15.11</v>
      </c>
      <c r="F70">
        <v>313052.07</v>
      </c>
      <c r="G70">
        <v>15.11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-2.7777777777779629E-2</v>
      </c>
      <c r="Q70">
        <f t="shared" ref="Q70" si="326">F70*P70</f>
        <v>-8695.8908333339132</v>
      </c>
      <c r="R70">
        <f t="shared" ref="R70" si="327">R71+Q70</f>
        <v>-15584426.888484862</v>
      </c>
      <c r="S70">
        <f t="shared" ref="S70" si="328">R70/100000</f>
        <v>-155.84426888484862</v>
      </c>
      <c r="T70">
        <f t="shared" ref="T70" si="329">S70/1000</f>
        <v>-0.15584426888484862</v>
      </c>
    </row>
    <row r="71" spans="1:20" x14ac:dyDescent="0.25">
      <c r="A71" s="5">
        <v>44522</v>
      </c>
      <c r="B71">
        <v>15.26</v>
      </c>
      <c r="C71">
        <v>15.61</v>
      </c>
      <c r="D71">
        <v>14.5</v>
      </c>
      <c r="E71">
        <v>14.85</v>
      </c>
      <c r="F71">
        <v>318264.23</v>
      </c>
      <c r="G71">
        <v>14.85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-0.3693693693693697</v>
      </c>
      <c r="Q71">
        <f t="shared" ref="Q71" si="331">F71*P71</f>
        <v>-117557.05792792802</v>
      </c>
      <c r="R71">
        <f t="shared" ref="R71" si="332">R72+Q71</f>
        <v>-15575730.997651529</v>
      </c>
      <c r="S71">
        <f t="shared" ref="S71" si="333">R71/100000</f>
        <v>-155.75730997651527</v>
      </c>
      <c r="T71">
        <f t="shared" ref="T71" si="334">S71/1000</f>
        <v>-0.15575730997651527</v>
      </c>
    </row>
    <row r="72" spans="1:20" x14ac:dyDescent="0.25">
      <c r="A72" s="5">
        <v>44521</v>
      </c>
      <c r="B72">
        <v>15.24</v>
      </c>
      <c r="C72">
        <v>15.7</v>
      </c>
      <c r="D72">
        <v>14.75</v>
      </c>
      <c r="E72">
        <v>15.27</v>
      </c>
      <c r="F72">
        <v>340818.66</v>
      </c>
      <c r="G72">
        <v>15.27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9.4736842105263078E-2</v>
      </c>
      <c r="Q72">
        <f t="shared" ref="Q72" si="336">F72*P72</f>
        <v>32288.083578947339</v>
      </c>
      <c r="R72">
        <f t="shared" ref="R72" si="337">R73+Q72</f>
        <v>-15458173.9397236</v>
      </c>
      <c r="S72">
        <f t="shared" ref="S72" si="338">R72/100000</f>
        <v>-154.58173939723599</v>
      </c>
      <c r="T72">
        <f t="shared" ref="T72" si="339">S72/1000</f>
        <v>-0.15458173939723599</v>
      </c>
    </row>
    <row r="73" spans="1:20" x14ac:dyDescent="0.25">
      <c r="A73" s="5">
        <v>44520</v>
      </c>
      <c r="B73">
        <v>15.04</v>
      </c>
      <c r="C73">
        <v>15.44</v>
      </c>
      <c r="D73">
        <v>14.46</v>
      </c>
      <c r="E73">
        <v>15.23</v>
      </c>
      <c r="F73">
        <v>258079.54</v>
      </c>
      <c r="G73">
        <v>15.23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0.57142857142857273</v>
      </c>
      <c r="Q73">
        <f t="shared" ref="Q73" si="341">F73*P73</f>
        <v>147474.02285714319</v>
      </c>
      <c r="R73">
        <f t="shared" ref="R73" si="342">R74+Q73</f>
        <v>-15490462.023302548</v>
      </c>
      <c r="S73">
        <f t="shared" ref="S73" si="343">R73/100000</f>
        <v>-154.90462023302547</v>
      </c>
      <c r="T73">
        <f t="shared" ref="T73" si="344">S73/1000</f>
        <v>-0.15490462023302548</v>
      </c>
    </row>
    <row r="74" spans="1:20" x14ac:dyDescent="0.25">
      <c r="A74" s="5">
        <v>44519</v>
      </c>
      <c r="B74">
        <v>14</v>
      </c>
      <c r="C74">
        <v>15.08</v>
      </c>
      <c r="D74">
        <v>13.61</v>
      </c>
      <c r="E74">
        <v>15.03</v>
      </c>
      <c r="F74">
        <v>371981.15</v>
      </c>
      <c r="G74">
        <v>15.03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0.93197278911564529</v>
      </c>
      <c r="Q74">
        <f t="shared" ref="Q74" si="346">F74*P74</f>
        <v>346676.30986394524</v>
      </c>
      <c r="R74">
        <f t="shared" ref="R74" si="347">R75+Q74</f>
        <v>-15637936.04615969</v>
      </c>
      <c r="S74">
        <f t="shared" ref="S74" si="348">R74/100000</f>
        <v>-156.37936046159689</v>
      </c>
      <c r="T74">
        <f t="shared" ref="T74" si="349">S74/1000</f>
        <v>-0.15637936046159689</v>
      </c>
    </row>
    <row r="75" spans="1:20" x14ac:dyDescent="0.25">
      <c r="A75" s="5">
        <v>44518</v>
      </c>
      <c r="B75">
        <v>15.46</v>
      </c>
      <c r="C75">
        <v>15.63</v>
      </c>
      <c r="D75">
        <v>13.76</v>
      </c>
      <c r="E75">
        <v>14</v>
      </c>
      <c r="F75">
        <v>247038.18</v>
      </c>
      <c r="G75">
        <v>14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-0.74331550802139024</v>
      </c>
      <c r="Q75">
        <f t="shared" ref="Q75" si="351">F75*P75</f>
        <v>-183627.31026737965</v>
      </c>
      <c r="R75">
        <f t="shared" ref="R75" si="352">R76+Q75</f>
        <v>-15984612.356023636</v>
      </c>
      <c r="S75">
        <f t="shared" ref="S75" si="353">R75/100000</f>
        <v>-159.84612356023635</v>
      </c>
      <c r="T75">
        <f t="shared" ref="T75" si="354">S75/1000</f>
        <v>-0.15984612356023636</v>
      </c>
    </row>
    <row r="76" spans="1:20" x14ac:dyDescent="0.25">
      <c r="A76" s="5">
        <v>44517</v>
      </c>
      <c r="B76">
        <v>15.31</v>
      </c>
      <c r="C76">
        <v>15.61</v>
      </c>
      <c r="D76">
        <v>14.62</v>
      </c>
      <c r="E76">
        <v>15.47</v>
      </c>
      <c r="F76">
        <v>325951.95</v>
      </c>
      <c r="G76">
        <v>15.47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0.71717171717171968</v>
      </c>
      <c r="Q76">
        <f t="shared" ref="Q76" si="356">F76*P76</f>
        <v>233763.51969697053</v>
      </c>
      <c r="R76">
        <f t="shared" ref="R76" si="357">R77+Q76</f>
        <v>-15800985.045756256</v>
      </c>
      <c r="S76">
        <f t="shared" ref="S76" si="358">R76/100000</f>
        <v>-158.00985045756255</v>
      </c>
      <c r="T76">
        <f t="shared" ref="T76" si="359">S76/1000</f>
        <v>-0.15800985045756255</v>
      </c>
    </row>
    <row r="77" spans="1:20" x14ac:dyDescent="0.25">
      <c r="A77" s="5">
        <v>44516</v>
      </c>
      <c r="B77">
        <v>16.399999999999999</v>
      </c>
      <c r="C77">
        <v>16.420000000000002</v>
      </c>
      <c r="D77">
        <v>14.73</v>
      </c>
      <c r="E77">
        <v>15.31</v>
      </c>
      <c r="F77">
        <v>408305.61</v>
      </c>
      <c r="G77">
        <v>15.31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-0.31360946745562174</v>
      </c>
      <c r="Q77">
        <f t="shared" ref="Q77" si="361">F77*P77</f>
        <v>-128048.50491124278</v>
      </c>
      <c r="R77">
        <f t="shared" ref="R77" si="362">R78+Q77</f>
        <v>-16034748.565453228</v>
      </c>
      <c r="S77">
        <f t="shared" ref="S77" si="363">R77/100000</f>
        <v>-160.34748565453228</v>
      </c>
      <c r="T77">
        <f t="shared" ref="T77" si="364">S77/1000</f>
        <v>-0.16034748565453227</v>
      </c>
    </row>
    <row r="78" spans="1:20" x14ac:dyDescent="0.25">
      <c r="A78" s="5">
        <v>44515</v>
      </c>
      <c r="B78">
        <v>17.29</v>
      </c>
      <c r="C78">
        <v>17.63</v>
      </c>
      <c r="D78">
        <v>16.39</v>
      </c>
      <c r="E78">
        <v>16.41</v>
      </c>
      <c r="F78">
        <v>775595.63</v>
      </c>
      <c r="G78">
        <v>16.41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-0.96774193548387166</v>
      </c>
      <c r="Q78">
        <f t="shared" ref="Q78" si="366">F78*P78</f>
        <v>-750576.41612903285</v>
      </c>
      <c r="R78">
        <f t="shared" ref="R78" si="367">R79+Q78</f>
        <v>-15906700.060541986</v>
      </c>
      <c r="S78">
        <f t="shared" ref="S78" si="368">R78/100000</f>
        <v>-159.06700060541985</v>
      </c>
      <c r="T78">
        <f t="shared" ref="T78" si="369">S78/1000</f>
        <v>-0.15906700060541984</v>
      </c>
    </row>
    <row r="79" spans="1:20" x14ac:dyDescent="0.25">
      <c r="A79" s="5">
        <v>44514</v>
      </c>
      <c r="B79">
        <v>17.350000000000001</v>
      </c>
      <c r="C79">
        <v>17.88</v>
      </c>
      <c r="D79">
        <v>17</v>
      </c>
      <c r="E79">
        <v>17.29</v>
      </c>
      <c r="F79">
        <v>285717.43</v>
      </c>
      <c r="G79">
        <v>17.29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-0.34090909090909211</v>
      </c>
      <c r="Q79">
        <f t="shared" ref="Q79" si="371">F79*P79</f>
        <v>-97403.669318182161</v>
      </c>
      <c r="R79">
        <f t="shared" ref="R79" si="372">R80+Q79</f>
        <v>-15156123.644412953</v>
      </c>
      <c r="S79">
        <f t="shared" ref="S79" si="373">R79/100000</f>
        <v>-151.56123644412952</v>
      </c>
      <c r="T79">
        <f t="shared" ref="T79" si="374">S79/1000</f>
        <v>-0.15156123644412953</v>
      </c>
    </row>
    <row r="80" spans="1:20" x14ac:dyDescent="0.25">
      <c r="A80" s="5">
        <v>44513</v>
      </c>
      <c r="B80">
        <v>17.5</v>
      </c>
      <c r="C80">
        <v>18.66</v>
      </c>
      <c r="D80">
        <v>17.25</v>
      </c>
      <c r="E80">
        <v>17.36</v>
      </c>
      <c r="F80">
        <v>355587.69</v>
      </c>
      <c r="G80">
        <v>17.36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-0.84397163120567453</v>
      </c>
      <c r="Q80">
        <f t="shared" ref="Q80" si="376">F80*P80</f>
        <v>-300105.92276595772</v>
      </c>
      <c r="R80">
        <f t="shared" ref="R80" si="377">R81+Q80</f>
        <v>-15058719.975094771</v>
      </c>
      <c r="S80">
        <f t="shared" ref="S80" si="378">R80/100000</f>
        <v>-150.58719975094772</v>
      </c>
      <c r="T80">
        <f t="shared" ref="T80" si="379">S80/1000</f>
        <v>-0.15058719975094773</v>
      </c>
    </row>
    <row r="81" spans="1:20" x14ac:dyDescent="0.25">
      <c r="A81" s="5">
        <v>44512</v>
      </c>
      <c r="B81">
        <v>16.739999999999998</v>
      </c>
      <c r="C81">
        <v>23.13</v>
      </c>
      <c r="D81">
        <v>15.69</v>
      </c>
      <c r="E81">
        <v>17.5</v>
      </c>
      <c r="F81">
        <v>2019082.33</v>
      </c>
      <c r="G81">
        <v>17.5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-0.51344086021505364</v>
      </c>
      <c r="Q81">
        <f t="shared" ref="Q81" si="381">F81*P81</f>
        <v>-1036679.3683602149</v>
      </c>
      <c r="R81">
        <f t="shared" ref="R81" si="382">R82+Q81</f>
        <v>-14758614.052328814</v>
      </c>
      <c r="S81">
        <f t="shared" ref="S81" si="383">R81/100000</f>
        <v>-147.58614052328815</v>
      </c>
      <c r="T81">
        <f t="shared" ref="T81" si="384">S81/1000</f>
        <v>-0.14758614052328814</v>
      </c>
    </row>
    <row r="82" spans="1:20" x14ac:dyDescent="0.25">
      <c r="A82" s="5">
        <v>44511</v>
      </c>
      <c r="B82">
        <v>16.71</v>
      </c>
      <c r="C82">
        <v>17.260000000000002</v>
      </c>
      <c r="D82">
        <v>16.559999999999999</v>
      </c>
      <c r="E82">
        <v>16.77</v>
      </c>
      <c r="F82">
        <v>121613.25</v>
      </c>
      <c r="G82">
        <v>16.77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-0.4</v>
      </c>
      <c r="Q82">
        <f t="shared" ref="Q82" si="386">F82*P82</f>
        <v>-48645.3</v>
      </c>
      <c r="R82">
        <f t="shared" ref="R82" si="387">R83+Q82</f>
        <v>-13721934.6839686</v>
      </c>
      <c r="S82">
        <f t="shared" ref="S82" si="388">R82/100000</f>
        <v>-137.21934683968601</v>
      </c>
      <c r="T82">
        <f t="shared" ref="T82" si="389">S82/1000</f>
        <v>-0.13721934683968601</v>
      </c>
    </row>
    <row r="83" spans="1:20" x14ac:dyDescent="0.25">
      <c r="A83" s="5">
        <v>44510</v>
      </c>
      <c r="B83">
        <v>17.7</v>
      </c>
      <c r="C83">
        <v>17.72</v>
      </c>
      <c r="D83">
        <v>16.3</v>
      </c>
      <c r="E83">
        <v>16.73</v>
      </c>
      <c r="F83">
        <v>241799.56</v>
      </c>
      <c r="G83">
        <v>16.73</v>
      </c>
      <c r="L83" t="s">
        <v>7</v>
      </c>
      <c r="M83" t="s">
        <v>8</v>
      </c>
      <c r="N83" t="s">
        <v>8</v>
      </c>
      <c r="P83">
        <f t="shared" ref="P83" si="390">IF(C83=D83,0,((E83-D83)-(C83-E83))/(C83-D83))</f>
        <v>-0.39436619718309818</v>
      </c>
      <c r="Q83">
        <f t="shared" ref="Q83" si="391">F83*P83</f>
        <v>-95357.572957746379</v>
      </c>
      <c r="R83">
        <f t="shared" ref="R83" si="392">R84+Q83</f>
        <v>-13673289.383968599</v>
      </c>
      <c r="S83">
        <f t="shared" ref="S83" si="393">R83/100000</f>
        <v>-136.732893839686</v>
      </c>
      <c r="T83">
        <f t="shared" ref="T83" si="394">S83/1000</f>
        <v>-0.13673289383968601</v>
      </c>
    </row>
    <row r="84" spans="1:20" x14ac:dyDescent="0.25">
      <c r="A84" s="5">
        <v>44509</v>
      </c>
      <c r="B84">
        <v>17.98</v>
      </c>
      <c r="C84">
        <v>19</v>
      </c>
      <c r="D84">
        <v>17.66</v>
      </c>
      <c r="E84">
        <v>17.690000000000001</v>
      </c>
      <c r="F84">
        <v>273919.75</v>
      </c>
      <c r="G84">
        <v>17.690000000000001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-0.95522388059701324</v>
      </c>
      <c r="Q84">
        <f t="shared" ref="Q84" si="396">F84*P84</f>
        <v>-261654.68656716371</v>
      </c>
      <c r="R84">
        <f t="shared" ref="R84" si="397">R85+Q84</f>
        <v>-13577931.811010852</v>
      </c>
      <c r="S84">
        <f t="shared" ref="S84" si="398">R84/100000</f>
        <v>-135.77931811010853</v>
      </c>
      <c r="T84">
        <f t="shared" ref="T84" si="399">S84/1000</f>
        <v>-0.13577931811010854</v>
      </c>
    </row>
    <row r="85" spans="1:20" x14ac:dyDescent="0.25">
      <c r="A85" s="5">
        <v>44508</v>
      </c>
      <c r="B85">
        <v>17.420000000000002</v>
      </c>
      <c r="C85">
        <v>18.510000000000002</v>
      </c>
      <c r="D85">
        <v>17.309999999999999</v>
      </c>
      <c r="E85">
        <v>17.97</v>
      </c>
      <c r="F85">
        <v>394561.28000000003</v>
      </c>
      <c r="G85">
        <v>17.97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9.9999999999997632E-2</v>
      </c>
      <c r="Q85">
        <f t="shared" ref="Q85" si="401">F85*P85</f>
        <v>39456.127999999066</v>
      </c>
      <c r="R85">
        <f t="shared" ref="R85" si="402">R86+Q85</f>
        <v>-13316277.124443689</v>
      </c>
      <c r="S85">
        <f t="shared" ref="S85" si="403">R85/100000</f>
        <v>-133.1627712444369</v>
      </c>
      <c r="T85">
        <f t="shared" ref="T85" si="404">S85/1000</f>
        <v>-0.1331627712444369</v>
      </c>
    </row>
    <row r="86" spans="1:20" x14ac:dyDescent="0.25">
      <c r="A86" s="5">
        <v>44507</v>
      </c>
      <c r="B86">
        <v>17.3</v>
      </c>
      <c r="C86">
        <v>17.71</v>
      </c>
      <c r="D86">
        <v>17.239999999999998</v>
      </c>
      <c r="E86">
        <v>17.420000000000002</v>
      </c>
      <c r="F86">
        <v>179697.79</v>
      </c>
      <c r="G86">
        <v>17.420000000000002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-0.2340425531914794</v>
      </c>
      <c r="Q86">
        <f t="shared" ref="Q86" si="406">F86*P86</f>
        <v>-42056.929574466296</v>
      </c>
      <c r="R86">
        <f t="shared" ref="R86" si="407">R87+Q86</f>
        <v>-13355733.252443688</v>
      </c>
      <c r="S86">
        <f t="shared" ref="S86" si="408">R86/100000</f>
        <v>-133.55733252443687</v>
      </c>
      <c r="T86">
        <f t="shared" ref="T86" si="409">S86/1000</f>
        <v>-0.13355733252443688</v>
      </c>
    </row>
    <row r="87" spans="1:20" x14ac:dyDescent="0.25">
      <c r="A87" s="5">
        <v>44506</v>
      </c>
      <c r="B87">
        <v>17.309999999999999</v>
      </c>
      <c r="C87">
        <v>17.57</v>
      </c>
      <c r="D87">
        <v>16.48</v>
      </c>
      <c r="E87">
        <v>17.309999999999999</v>
      </c>
      <c r="F87">
        <v>207131.5</v>
      </c>
      <c r="G87">
        <v>17.309999999999999</v>
      </c>
      <c r="L87" t="s">
        <v>8</v>
      </c>
      <c r="M87" t="s">
        <v>8</v>
      </c>
      <c r="N87" t="s">
        <v>8</v>
      </c>
      <c r="P87">
        <f t="shared" ref="P87" si="410">IF(C87=D87,0,((E87-D87)-(C87-E87))/(C87-D87))</f>
        <v>0.52293577981651085</v>
      </c>
      <c r="Q87">
        <f t="shared" ref="Q87" si="411">F87*P87</f>
        <v>108316.47247706362</v>
      </c>
      <c r="R87">
        <f t="shared" ref="R87" si="412">R88+Q87</f>
        <v>-13313676.322869223</v>
      </c>
      <c r="S87">
        <f t="shared" ref="S87" si="413">R87/100000</f>
        <v>-133.13676322869222</v>
      </c>
      <c r="T87">
        <f t="shared" ref="T87" si="414">S87/1000</f>
        <v>-0.13313676322869222</v>
      </c>
    </row>
    <row r="88" spans="1:20" x14ac:dyDescent="0.25">
      <c r="A88" s="5">
        <v>44505</v>
      </c>
      <c r="B88">
        <v>16.989999999999998</v>
      </c>
      <c r="C88">
        <v>17.510000000000002</v>
      </c>
      <c r="D88">
        <v>16.7</v>
      </c>
      <c r="E88">
        <v>17.329999999999998</v>
      </c>
      <c r="F88">
        <v>247320.01</v>
      </c>
      <c r="G88">
        <v>17.329999999999998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0.5555555555555487</v>
      </c>
      <c r="Q88">
        <f t="shared" ref="Q88" si="416">F88*P88</f>
        <v>137400.00555555386</v>
      </c>
      <c r="R88">
        <f t="shared" ref="R88" si="417">R89+Q88</f>
        <v>-13421992.795346286</v>
      </c>
      <c r="S88">
        <f t="shared" ref="S88" si="418">R88/100000</f>
        <v>-134.21992795346287</v>
      </c>
      <c r="T88">
        <f t="shared" ref="T88" si="419">S88/1000</f>
        <v>-0.13421992795346288</v>
      </c>
    </row>
    <row r="89" spans="1:20" x14ac:dyDescent="0.25">
      <c r="A89" s="5">
        <v>44504</v>
      </c>
      <c r="B89">
        <v>16.989999999999998</v>
      </c>
      <c r="C89">
        <v>17.2</v>
      </c>
      <c r="D89">
        <v>16.309999999999999</v>
      </c>
      <c r="E89">
        <v>16.989999999999998</v>
      </c>
      <c r="F89">
        <v>288772.83</v>
      </c>
      <c r="G89">
        <v>16.989999999999998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0.52808988764044784</v>
      </c>
      <c r="Q89">
        <f t="shared" ref="Q89" si="421">F89*P89</f>
        <v>152498.01134831415</v>
      </c>
      <c r="R89">
        <f t="shared" ref="R89" si="422">R90+Q89</f>
        <v>-13559392.80090184</v>
      </c>
      <c r="S89">
        <f t="shared" ref="S89" si="423">R89/100000</f>
        <v>-135.59392800901838</v>
      </c>
      <c r="T89">
        <f t="shared" ref="T89" si="424">S89/1000</f>
        <v>-0.13559392800901837</v>
      </c>
    </row>
    <row r="90" spans="1:20" x14ac:dyDescent="0.25">
      <c r="A90" s="5">
        <v>44503</v>
      </c>
      <c r="B90">
        <v>17.350000000000001</v>
      </c>
      <c r="C90">
        <v>18.66</v>
      </c>
      <c r="D90">
        <v>16.239999999999998</v>
      </c>
      <c r="E90">
        <v>17.010000000000002</v>
      </c>
      <c r="F90">
        <v>780113.64</v>
      </c>
      <c r="G90">
        <v>17.010000000000002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-0.36363636363636148</v>
      </c>
      <c r="Q90">
        <f t="shared" ref="Q90" si="426">F90*P90</f>
        <v>-283677.68727272557</v>
      </c>
      <c r="R90">
        <f t="shared" ref="R90" si="427">R91+Q90</f>
        <v>-13711890.812250154</v>
      </c>
      <c r="S90">
        <f t="shared" ref="S90" si="428">R90/100000</f>
        <v>-137.11890812250155</v>
      </c>
      <c r="T90">
        <f t="shared" ref="T90" si="429">S90/1000</f>
        <v>-0.13711890812250155</v>
      </c>
    </row>
    <row r="91" spans="1:20" x14ac:dyDescent="0.25">
      <c r="A91" s="5">
        <v>44502</v>
      </c>
      <c r="B91">
        <v>16.34</v>
      </c>
      <c r="C91">
        <v>17.61</v>
      </c>
      <c r="D91">
        <v>15.94</v>
      </c>
      <c r="E91">
        <v>17.350000000000001</v>
      </c>
      <c r="F91">
        <v>605659.17000000004</v>
      </c>
      <c r="G91">
        <v>17.350000000000001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0.68862275449102028</v>
      </c>
      <c r="Q91">
        <f t="shared" ref="Q91" si="431">F91*P91</f>
        <v>417070.68592814513</v>
      </c>
      <c r="R91">
        <f t="shared" ref="R91" si="432">R92+Q91</f>
        <v>-13428213.124977428</v>
      </c>
      <c r="S91">
        <f t="shared" ref="S91" si="433">R91/100000</f>
        <v>-134.2821312497743</v>
      </c>
      <c r="T91">
        <f t="shared" ref="T91" si="434">S91/1000</f>
        <v>-0.13428213124977428</v>
      </c>
    </row>
    <row r="92" spans="1:20" x14ac:dyDescent="0.25">
      <c r="A92" s="5">
        <v>44501</v>
      </c>
      <c r="B92">
        <v>16.399999999999999</v>
      </c>
      <c r="C92">
        <v>17.079999999999998</v>
      </c>
      <c r="D92">
        <v>15.68</v>
      </c>
      <c r="E92">
        <v>16.32</v>
      </c>
      <c r="F92">
        <v>502514.28</v>
      </c>
      <c r="G92">
        <v>16.32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-8.571428571428398E-2</v>
      </c>
      <c r="Q92">
        <f t="shared" ref="Q92" si="436">F92*P92</f>
        <v>-43072.652571427701</v>
      </c>
      <c r="R92">
        <f t="shared" ref="R92" si="437">R93+Q92</f>
        <v>-13845283.810905574</v>
      </c>
      <c r="S92">
        <f t="shared" ref="S92" si="438">R92/100000</f>
        <v>-138.45283810905573</v>
      </c>
      <c r="T92">
        <f t="shared" ref="T92" si="439">S92/1000</f>
        <v>-0.13845283810905573</v>
      </c>
    </row>
    <row r="93" spans="1:20" x14ac:dyDescent="0.25">
      <c r="A93" s="5">
        <v>44500</v>
      </c>
      <c r="B93">
        <v>16.96</v>
      </c>
      <c r="C93">
        <v>17.57</v>
      </c>
      <c r="D93">
        <v>16.2</v>
      </c>
      <c r="E93">
        <v>16.420000000000002</v>
      </c>
      <c r="F93">
        <v>318300.65000000002</v>
      </c>
      <c r="G93">
        <v>16.420000000000002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-0.6788321167883179</v>
      </c>
      <c r="Q93">
        <f t="shared" ref="Q93" si="441">F93*P93</f>
        <v>-216072.70401459752</v>
      </c>
      <c r="R93">
        <f t="shared" ref="R93" si="442">R94+Q93</f>
        <v>-13802211.158334145</v>
      </c>
      <c r="S93">
        <f t="shared" ref="S93" si="443">R93/100000</f>
        <v>-138.02211158334146</v>
      </c>
      <c r="T93">
        <f t="shared" ref="T93" si="444">S93/1000</f>
        <v>-0.13802211158334146</v>
      </c>
    </row>
    <row r="94" spans="1:20" x14ac:dyDescent="0.25">
      <c r="A94" s="5">
        <v>44499</v>
      </c>
      <c r="B94">
        <v>16.77</v>
      </c>
      <c r="C94">
        <v>17</v>
      </c>
      <c r="D94">
        <v>16.34</v>
      </c>
      <c r="E94">
        <v>16.940000000000001</v>
      </c>
      <c r="F94">
        <v>233022.8</v>
      </c>
      <c r="G94">
        <v>16.940000000000001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0.81818181818182212</v>
      </c>
      <c r="Q94">
        <f t="shared" ref="Q94" si="446">F94*P94</f>
        <v>190655.01818181909</v>
      </c>
      <c r="R94">
        <f t="shared" ref="R94" si="447">R95+Q94</f>
        <v>-13586138.454319548</v>
      </c>
      <c r="S94">
        <f t="shared" ref="S94" si="448">R94/100000</f>
        <v>-135.86138454319547</v>
      </c>
      <c r="T94">
        <f t="shared" ref="T94" si="449">S94/1000</f>
        <v>-0.13586138454319546</v>
      </c>
    </row>
    <row r="95" spans="1:20" x14ac:dyDescent="0.25">
      <c r="A95" s="5">
        <v>44498</v>
      </c>
      <c r="B95">
        <v>16.489999999999998</v>
      </c>
      <c r="C95">
        <v>16.809999999999999</v>
      </c>
      <c r="D95">
        <v>15.7</v>
      </c>
      <c r="E95">
        <v>16.75</v>
      </c>
      <c r="F95">
        <v>467685.05</v>
      </c>
      <c r="G95">
        <v>16.75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0.89189189189189411</v>
      </c>
      <c r="Q95">
        <f t="shared" ref="Q95" si="451">F95*P95</f>
        <v>417124.50405405508</v>
      </c>
      <c r="R95">
        <f t="shared" ref="R95" si="452">R96+Q95</f>
        <v>-13776793.472501367</v>
      </c>
      <c r="S95">
        <f t="shared" ref="S95" si="453">R95/100000</f>
        <v>-137.76793472501367</v>
      </c>
      <c r="T95">
        <f t="shared" ref="T95" si="454">S95/1000</f>
        <v>-0.13776793472501367</v>
      </c>
    </row>
    <row r="96" spans="1:20" x14ac:dyDescent="0.25">
      <c r="A96" s="5">
        <v>44497</v>
      </c>
      <c r="B96">
        <v>15.72</v>
      </c>
      <c r="C96">
        <v>16.53</v>
      </c>
      <c r="D96">
        <v>15.61</v>
      </c>
      <c r="E96">
        <v>16.5</v>
      </c>
      <c r="F96">
        <v>346676.19</v>
      </c>
      <c r="G96">
        <v>16.5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0.93478260869564977</v>
      </c>
      <c r="Q96">
        <f t="shared" ref="Q96" si="456">F96*P96</f>
        <v>324066.87326086871</v>
      </c>
      <c r="R96">
        <f t="shared" ref="R96" si="457">R97+Q96</f>
        <v>-14193917.976555422</v>
      </c>
      <c r="S96">
        <f t="shared" ref="S96" si="458">R96/100000</f>
        <v>-141.93917976555423</v>
      </c>
      <c r="T96">
        <f t="shared" ref="T96" si="459">S96/1000</f>
        <v>-0.14193917976555423</v>
      </c>
    </row>
    <row r="97" spans="1:20" x14ac:dyDescent="0.25">
      <c r="A97" s="5">
        <v>44496</v>
      </c>
      <c r="B97">
        <v>17.03</v>
      </c>
      <c r="C97">
        <v>18.059999999999999</v>
      </c>
      <c r="D97">
        <v>15.3</v>
      </c>
      <c r="E97">
        <v>15.71</v>
      </c>
      <c r="F97">
        <v>1289642.56</v>
      </c>
      <c r="G97">
        <v>15.71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-0.70289855072463736</v>
      </c>
      <c r="Q97">
        <f t="shared" ref="Q97" si="461">F97*P97</f>
        <v>-906487.88637681119</v>
      </c>
      <c r="R97">
        <f t="shared" ref="R97" si="462">R98+Q97</f>
        <v>-14517984.849816291</v>
      </c>
      <c r="S97">
        <f t="shared" ref="S97" si="463">R97/100000</f>
        <v>-145.1798484981629</v>
      </c>
      <c r="T97">
        <f t="shared" ref="T97" si="464">S97/1000</f>
        <v>-0.1451798484981629</v>
      </c>
    </row>
    <row r="98" spans="1:20" x14ac:dyDescent="0.25">
      <c r="A98" s="5">
        <v>44495</v>
      </c>
      <c r="B98">
        <v>16.43</v>
      </c>
      <c r="C98">
        <v>18.3</v>
      </c>
      <c r="D98">
        <v>16.350000000000001</v>
      </c>
      <c r="E98">
        <v>17.02</v>
      </c>
      <c r="F98">
        <v>808161.34</v>
      </c>
      <c r="G98">
        <v>17.02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-0.31282051282051448</v>
      </c>
      <c r="Q98">
        <f t="shared" ref="Q98" si="466">F98*P98</f>
        <v>-252809.44482051415</v>
      </c>
      <c r="R98">
        <f t="shared" ref="R98" si="467">R99+Q98</f>
        <v>-13611496.963439479</v>
      </c>
      <c r="S98">
        <f t="shared" ref="S98" si="468">R98/100000</f>
        <v>-136.11496963439478</v>
      </c>
      <c r="T98">
        <f t="shared" ref="T98" si="469">S98/1000</f>
        <v>-0.13611496963439479</v>
      </c>
    </row>
    <row r="99" spans="1:20" x14ac:dyDescent="0.25">
      <c r="A99" s="5">
        <v>44494</v>
      </c>
      <c r="B99">
        <v>16.149999999999999</v>
      </c>
      <c r="C99">
        <v>16.63</v>
      </c>
      <c r="D99">
        <v>16.100000000000001</v>
      </c>
      <c r="E99">
        <v>16.420000000000002</v>
      </c>
      <c r="F99">
        <v>337781.79</v>
      </c>
      <c r="G99">
        <v>16.420000000000002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0.20754716981132734</v>
      </c>
      <c r="Q99">
        <f t="shared" ref="Q99" si="471">F99*P99</f>
        <v>70105.654528304105</v>
      </c>
      <c r="R99">
        <f t="shared" ref="R99" si="472">R100+Q99</f>
        <v>-13358687.518618966</v>
      </c>
      <c r="S99">
        <f t="shared" ref="S99" si="473">R99/100000</f>
        <v>-133.58687518618964</v>
      </c>
      <c r="T99">
        <f t="shared" ref="T99" si="474">S99/1000</f>
        <v>-0.13358687518618964</v>
      </c>
    </row>
    <row r="100" spans="1:20" x14ac:dyDescent="0.25">
      <c r="A100" s="5">
        <v>44493</v>
      </c>
      <c r="B100">
        <v>16.239999999999998</v>
      </c>
      <c r="C100">
        <v>16.36</v>
      </c>
      <c r="D100">
        <v>15.45</v>
      </c>
      <c r="E100">
        <v>16.149999999999999</v>
      </c>
      <c r="F100">
        <v>197250.42</v>
      </c>
      <c r="G100">
        <v>16.149999999999999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0.53846153846153666</v>
      </c>
      <c r="Q100">
        <f t="shared" ref="Q100" si="476">F100*P100</f>
        <v>106211.76461538427</v>
      </c>
      <c r="R100">
        <f t="shared" ref="R100" si="477">R101+Q100</f>
        <v>-13428793.17314727</v>
      </c>
      <c r="S100">
        <f t="shared" ref="S100" si="478">R100/100000</f>
        <v>-134.2879317314727</v>
      </c>
      <c r="T100">
        <f t="shared" ref="T100" si="479">S100/1000</f>
        <v>-0.13428793173147269</v>
      </c>
    </row>
    <row r="101" spans="1:20" x14ac:dyDescent="0.25">
      <c r="A101" s="5">
        <v>44492</v>
      </c>
      <c r="B101">
        <v>15.95</v>
      </c>
      <c r="C101">
        <v>16.600000000000001</v>
      </c>
      <c r="D101">
        <v>15.83</v>
      </c>
      <c r="E101">
        <v>16.25</v>
      </c>
      <c r="F101">
        <v>390895.7</v>
      </c>
      <c r="G101">
        <v>16.25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9.0909090909088816E-2</v>
      </c>
      <c r="Q101">
        <f t="shared" ref="Q101" si="481">F101*P101</f>
        <v>35535.97272727191</v>
      </c>
      <c r="R101">
        <f t="shared" ref="R101" si="482">R102+Q101</f>
        <v>-13535004.937762655</v>
      </c>
      <c r="S101">
        <f t="shared" ref="S101" si="483">R101/100000</f>
        <v>-135.35004937762656</v>
      </c>
      <c r="T101">
        <f t="shared" ref="T101" si="484">S101/1000</f>
        <v>-0.13535004937762657</v>
      </c>
    </row>
    <row r="102" spans="1:20" x14ac:dyDescent="0.25">
      <c r="A102" s="5">
        <v>44491</v>
      </c>
      <c r="B102">
        <v>16.18</v>
      </c>
      <c r="C102">
        <v>16.690000000000001</v>
      </c>
      <c r="D102">
        <v>15.43</v>
      </c>
      <c r="E102">
        <v>15.95</v>
      </c>
      <c r="F102">
        <v>546897.62</v>
      </c>
      <c r="G102">
        <v>15.95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-0.17460317460317631</v>
      </c>
      <c r="Q102">
        <f t="shared" ref="Q102" si="486">F102*P102</f>
        <v>-95490.060634921567</v>
      </c>
      <c r="R102">
        <f t="shared" ref="R102" si="487">R103+Q102</f>
        <v>-13570540.910489928</v>
      </c>
      <c r="S102">
        <f t="shared" ref="S102" si="488">R102/100000</f>
        <v>-135.70540910489927</v>
      </c>
      <c r="T102">
        <f t="shared" ref="T102" si="489">S102/1000</f>
        <v>-0.13570540910489928</v>
      </c>
    </row>
    <row r="103" spans="1:20" x14ac:dyDescent="0.25">
      <c r="A103" s="5">
        <v>44490</v>
      </c>
      <c r="B103">
        <v>16.16</v>
      </c>
      <c r="C103">
        <v>16.739999999999998</v>
      </c>
      <c r="D103">
        <v>15.53</v>
      </c>
      <c r="E103">
        <v>16.18</v>
      </c>
      <c r="F103">
        <v>489327.61</v>
      </c>
      <c r="G103">
        <v>16.18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7.4380165289257602E-2</v>
      </c>
      <c r="Q103">
        <f t="shared" ref="Q103" si="491">F103*P103</f>
        <v>36396.268512397379</v>
      </c>
      <c r="R103">
        <f t="shared" ref="R103" si="492">R104+Q103</f>
        <v>-13475050.849855006</v>
      </c>
      <c r="S103">
        <f t="shared" ref="S103" si="493">R103/100000</f>
        <v>-134.75050849855006</v>
      </c>
      <c r="T103">
        <f t="shared" ref="T103" si="494">S103/1000</f>
        <v>-0.13475050849855005</v>
      </c>
    </row>
    <row r="104" spans="1:20" x14ac:dyDescent="0.25">
      <c r="A104" s="5">
        <v>44489</v>
      </c>
      <c r="B104">
        <v>16.11</v>
      </c>
      <c r="C104">
        <v>16.34</v>
      </c>
      <c r="D104">
        <v>15.26</v>
      </c>
      <c r="E104">
        <v>16.16</v>
      </c>
      <c r="F104">
        <v>490553.03</v>
      </c>
      <c r="G104">
        <v>16.16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0.66666666666666718</v>
      </c>
      <c r="Q104">
        <f t="shared" ref="Q104" si="496">F104*P104</f>
        <v>327035.35333333362</v>
      </c>
      <c r="R104">
        <f t="shared" ref="R104" si="497">R105+Q104</f>
        <v>-13511447.118367404</v>
      </c>
      <c r="S104">
        <f t="shared" ref="S104" si="498">R104/100000</f>
        <v>-135.11447118367403</v>
      </c>
      <c r="T104">
        <f t="shared" ref="T104" si="499">S104/1000</f>
        <v>-0.13511447118367403</v>
      </c>
    </row>
    <row r="105" spans="1:20" x14ac:dyDescent="0.25">
      <c r="A105" s="5">
        <v>44488</v>
      </c>
      <c r="B105">
        <v>16.75</v>
      </c>
      <c r="C105">
        <v>16.809999999999999</v>
      </c>
      <c r="D105">
        <v>15.83</v>
      </c>
      <c r="E105">
        <v>16.11</v>
      </c>
      <c r="F105">
        <v>857875.88</v>
      </c>
      <c r="G105">
        <v>16.11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-0.4285714285714291</v>
      </c>
      <c r="Q105">
        <f t="shared" ref="Q105" si="501">F105*P105</f>
        <v>-367661.0914285719</v>
      </c>
      <c r="R105">
        <f t="shared" ref="R105" si="502">R106+Q105</f>
        <v>-13838482.471700737</v>
      </c>
      <c r="S105">
        <f t="shared" ref="S105" si="503">R105/100000</f>
        <v>-138.38482471700738</v>
      </c>
      <c r="T105">
        <f t="shared" ref="T105" si="504">S105/1000</f>
        <v>-0.13838482471700739</v>
      </c>
    </row>
    <row r="106" spans="1:20" x14ac:dyDescent="0.25">
      <c r="A106" s="5">
        <v>44487</v>
      </c>
      <c r="B106">
        <v>17.82</v>
      </c>
      <c r="C106">
        <v>19.98</v>
      </c>
      <c r="D106">
        <v>16.600000000000001</v>
      </c>
      <c r="E106">
        <v>16.739999999999998</v>
      </c>
      <c r="F106">
        <v>2315580.7599999998</v>
      </c>
      <c r="G106">
        <v>16.739999999999998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-0.91715976331361115</v>
      </c>
      <c r="Q106">
        <f t="shared" ref="Q106" si="506">F106*P106</f>
        <v>-2123757.5017751516</v>
      </c>
      <c r="R106">
        <f t="shared" ref="R106" si="507">R107+Q106</f>
        <v>-13470821.380272165</v>
      </c>
      <c r="S106">
        <f t="shared" ref="S106" si="508">R106/100000</f>
        <v>-134.70821380272164</v>
      </c>
      <c r="T106">
        <f t="shared" ref="T106" si="509">S106/1000</f>
        <v>-0.13470821380272163</v>
      </c>
    </row>
    <row r="107" spans="1:20" x14ac:dyDescent="0.25">
      <c r="A107" s="5">
        <v>44486</v>
      </c>
      <c r="B107">
        <v>17.16</v>
      </c>
      <c r="C107">
        <v>18.02</v>
      </c>
      <c r="D107">
        <v>16.64</v>
      </c>
      <c r="E107">
        <v>17.8</v>
      </c>
      <c r="F107">
        <v>323285.33</v>
      </c>
      <c r="G107">
        <v>17.8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0.68115942028985654</v>
      </c>
      <c r="Q107">
        <f t="shared" ref="Q107" si="511">F107*P107</f>
        <v>220208.84797101497</v>
      </c>
      <c r="R107">
        <f t="shared" ref="R107" si="512">R108+Q107</f>
        <v>-11347063.878497014</v>
      </c>
      <c r="S107">
        <f t="shared" ref="S107" si="513">R107/100000</f>
        <v>-113.47063878497013</v>
      </c>
      <c r="T107">
        <f t="shared" ref="T107" si="514">S107/1000</f>
        <v>-0.11347063878497013</v>
      </c>
    </row>
    <row r="108" spans="1:20" x14ac:dyDescent="0.25">
      <c r="A108" s="5">
        <v>44485</v>
      </c>
      <c r="B108">
        <v>18.52</v>
      </c>
      <c r="C108">
        <v>18.54</v>
      </c>
      <c r="D108">
        <v>17.12</v>
      </c>
      <c r="E108">
        <v>17.16</v>
      </c>
      <c r="F108">
        <v>283998.53000000003</v>
      </c>
      <c r="G108">
        <v>17.16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-0.94366197183098699</v>
      </c>
      <c r="Q108">
        <f t="shared" ref="Q108" si="516">F108*P108</f>
        <v>-267998.61281690176</v>
      </c>
      <c r="R108">
        <f t="shared" ref="R108" si="517">R109+Q108</f>
        <v>-11567272.726468029</v>
      </c>
      <c r="S108">
        <f t="shared" ref="S108" si="518">R108/100000</f>
        <v>-115.67272726468029</v>
      </c>
      <c r="T108">
        <f t="shared" ref="T108" si="519">S108/1000</f>
        <v>-0.11567272726468029</v>
      </c>
    </row>
    <row r="109" spans="1:20" x14ac:dyDescent="0.25">
      <c r="A109" s="5">
        <v>44484</v>
      </c>
      <c r="B109">
        <v>18.149999999999999</v>
      </c>
      <c r="C109">
        <v>19.77</v>
      </c>
      <c r="D109">
        <v>17.28</v>
      </c>
      <c r="E109">
        <v>18.52</v>
      </c>
      <c r="F109">
        <v>1096087.19</v>
      </c>
      <c r="G109">
        <v>18.52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-4.0160642570287427E-3</v>
      </c>
      <c r="Q109">
        <f t="shared" ref="Q109" si="521">F109*P109</f>
        <v>-4401.9565863460721</v>
      </c>
      <c r="R109">
        <f t="shared" ref="R109" si="522">R110+Q109</f>
        <v>-11299274.113651127</v>
      </c>
      <c r="S109">
        <f t="shared" ref="S109" si="523">R109/100000</f>
        <v>-112.99274113651127</v>
      </c>
      <c r="T109">
        <f t="shared" ref="T109" si="524">S109/1000</f>
        <v>-0.11299274113651127</v>
      </c>
    </row>
    <row r="110" spans="1:20" x14ac:dyDescent="0.25">
      <c r="A110" s="5">
        <v>44483</v>
      </c>
      <c r="B110">
        <v>17.87</v>
      </c>
      <c r="C110">
        <v>18.25</v>
      </c>
      <c r="D110">
        <v>16.61</v>
      </c>
      <c r="E110">
        <v>18.14</v>
      </c>
      <c r="F110">
        <v>1021583.79</v>
      </c>
      <c r="G110">
        <v>18.14</v>
      </c>
      <c r="L110" t="s">
        <v>7</v>
      </c>
      <c r="M110" t="s">
        <v>8</v>
      </c>
      <c r="N110" t="s">
        <v>8</v>
      </c>
      <c r="P110">
        <f t="shared" ref="P110" si="525">IF(C110=D110,0,((E110-D110)-(C110-E110))/(C110-D110))</f>
        <v>0.86585365853658613</v>
      </c>
      <c r="Q110">
        <f t="shared" ref="Q110" si="526">F110*P110</f>
        <v>884542.0620731716</v>
      </c>
      <c r="R110">
        <f t="shared" ref="R110" si="527">R111+Q110</f>
        <v>-11294872.157064781</v>
      </c>
      <c r="S110">
        <f t="shared" ref="S110" si="528">R110/100000</f>
        <v>-112.94872157064781</v>
      </c>
      <c r="T110">
        <f t="shared" ref="T110" si="529">S110/1000</f>
        <v>-0.11294872157064781</v>
      </c>
    </row>
    <row r="111" spans="1:20" x14ac:dyDescent="0.25">
      <c r="A111" s="5">
        <v>44482</v>
      </c>
      <c r="B111">
        <v>15.4</v>
      </c>
      <c r="C111">
        <v>19.23</v>
      </c>
      <c r="D111">
        <v>14.93</v>
      </c>
      <c r="E111">
        <v>17.86</v>
      </c>
      <c r="F111">
        <v>3175212.45</v>
      </c>
      <c r="G111">
        <v>17.86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0.36279069767441824</v>
      </c>
      <c r="Q111">
        <f t="shared" ref="Q111" si="531">F111*P111</f>
        <v>1151937.5399999989</v>
      </c>
      <c r="R111">
        <f t="shared" ref="R111" si="532">R112+Q111</f>
        <v>-12179414.219137952</v>
      </c>
      <c r="S111">
        <f t="shared" ref="S111" si="533">R111/100000</f>
        <v>-121.79414219137952</v>
      </c>
      <c r="T111">
        <f t="shared" ref="T111" si="534">S111/1000</f>
        <v>-0.12179414219137952</v>
      </c>
    </row>
    <row r="112" spans="1:20" x14ac:dyDescent="0.25">
      <c r="A112" s="5">
        <v>44481</v>
      </c>
      <c r="B112">
        <v>15.56</v>
      </c>
      <c r="C112">
        <v>16.2</v>
      </c>
      <c r="D112">
        <v>14.18</v>
      </c>
      <c r="E112">
        <v>15.4</v>
      </c>
      <c r="F112">
        <v>1328360.79</v>
      </c>
      <c r="G112">
        <v>15.4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0.2079207920792088</v>
      </c>
      <c r="Q112">
        <f t="shared" ref="Q112" si="536">F112*P112</f>
        <v>276193.82762376353</v>
      </c>
      <c r="R112">
        <f t="shared" ref="R112" si="537">R113+Q112</f>
        <v>-13331351.759137951</v>
      </c>
      <c r="S112">
        <f t="shared" ref="S112" si="538">R112/100000</f>
        <v>-133.31351759137951</v>
      </c>
      <c r="T112">
        <f t="shared" ref="T112" si="539">S112/1000</f>
        <v>-0.13331351759137952</v>
      </c>
    </row>
    <row r="113" spans="1:20" x14ac:dyDescent="0.25">
      <c r="A113" s="5">
        <v>44480</v>
      </c>
      <c r="B113">
        <v>13.41</v>
      </c>
      <c r="C113">
        <v>16.760000000000002</v>
      </c>
      <c r="D113">
        <v>13.25</v>
      </c>
      <c r="E113">
        <v>15.56</v>
      </c>
      <c r="F113">
        <v>1917788.68</v>
      </c>
      <c r="G113">
        <v>15.56</v>
      </c>
      <c r="L113" t="s">
        <v>8</v>
      </c>
      <c r="M113" t="s">
        <v>8</v>
      </c>
      <c r="N113" t="s">
        <v>7</v>
      </c>
      <c r="P113">
        <f t="shared" ref="P113" si="540">IF(C113=D113,0,((E113-D113)-(C113-E113))/(C113-D113))</f>
        <v>0.31623931623931595</v>
      </c>
      <c r="Q113">
        <f t="shared" ref="Q113" si="541">F113*P113</f>
        <v>606480.18085470027</v>
      </c>
      <c r="R113">
        <f t="shared" ref="R113" si="542">R114+Q113</f>
        <v>-13607545.586761715</v>
      </c>
      <c r="S113">
        <f t="shared" ref="S113" si="543">R113/100000</f>
        <v>-136.07545586761714</v>
      </c>
      <c r="T113">
        <f t="shared" ref="T113" si="544">S113/1000</f>
        <v>-0.13607545586761713</v>
      </c>
    </row>
    <row r="114" spans="1:20" x14ac:dyDescent="0.25">
      <c r="A114" s="5">
        <v>44479</v>
      </c>
      <c r="B114">
        <v>14.14</v>
      </c>
      <c r="C114">
        <v>14.35</v>
      </c>
      <c r="D114">
        <v>13.23</v>
      </c>
      <c r="E114">
        <v>13.41</v>
      </c>
      <c r="F114">
        <v>456662.78</v>
      </c>
      <c r="G114">
        <v>13.41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-0.67857142857142883</v>
      </c>
      <c r="Q114">
        <f t="shared" ref="Q114" si="546">F114*P114</f>
        <v>-309878.31500000012</v>
      </c>
      <c r="R114">
        <f t="shared" ref="R114" si="547">R115+Q114</f>
        <v>-14214025.767616415</v>
      </c>
      <c r="S114">
        <f t="shared" ref="S114" si="548">R114/100000</f>
        <v>-142.14025767616414</v>
      </c>
      <c r="T114">
        <f t="shared" ref="T114" si="549">S114/1000</f>
        <v>-0.14214025767616414</v>
      </c>
    </row>
    <row r="115" spans="1:20" x14ac:dyDescent="0.25">
      <c r="A115" s="5">
        <v>44478</v>
      </c>
      <c r="B115">
        <v>13.74</v>
      </c>
      <c r="C115">
        <v>14.45</v>
      </c>
      <c r="D115">
        <v>13.54</v>
      </c>
      <c r="E115">
        <v>14.14</v>
      </c>
      <c r="F115">
        <v>456001.92</v>
      </c>
      <c r="G115">
        <v>14.14</v>
      </c>
      <c r="L115" t="s">
        <v>8</v>
      </c>
      <c r="M115" t="s">
        <v>7</v>
      </c>
      <c r="N115" t="s">
        <v>7</v>
      </c>
      <c r="P115">
        <f t="shared" ref="P115" si="550">IF(C115=D115,0,((E115-D115)-(C115-E115))/(C115-D115))</f>
        <v>0.3186813186813216</v>
      </c>
      <c r="Q115">
        <f t="shared" ref="Q115" si="551">F115*P115</f>
        <v>145319.29318681452</v>
      </c>
      <c r="R115">
        <f t="shared" ref="R115" si="552">R116+Q115</f>
        <v>-13904147.452616416</v>
      </c>
      <c r="S115">
        <f t="shared" ref="S115" si="553">R115/100000</f>
        <v>-139.04147452616417</v>
      </c>
      <c r="T115">
        <f t="shared" ref="T115" si="554">S115/1000</f>
        <v>-0.13904147452616417</v>
      </c>
    </row>
    <row r="116" spans="1:20" x14ac:dyDescent="0.25">
      <c r="A116" s="5">
        <v>44477</v>
      </c>
      <c r="B116">
        <v>13.44</v>
      </c>
      <c r="C116">
        <v>14.3</v>
      </c>
      <c r="D116">
        <v>13.14</v>
      </c>
      <c r="E116">
        <v>13.74</v>
      </c>
      <c r="F116">
        <v>667054.18999999994</v>
      </c>
      <c r="G116">
        <v>13.74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3.4482758620688919E-2</v>
      </c>
      <c r="Q116">
        <f t="shared" ref="Q116" si="556">F116*P116</f>
        <v>23001.868620689162</v>
      </c>
      <c r="R116">
        <f t="shared" ref="R116" si="557">R117+Q116</f>
        <v>-14049466.74580323</v>
      </c>
      <c r="S116">
        <f t="shared" ref="S116" si="558">R116/100000</f>
        <v>-140.4946674580323</v>
      </c>
      <c r="T116">
        <f t="shared" ref="T116" si="559">S116/1000</f>
        <v>-0.1404946674580323</v>
      </c>
    </row>
    <row r="117" spans="1:20" x14ac:dyDescent="0.25">
      <c r="A117" s="5">
        <v>44476</v>
      </c>
      <c r="B117">
        <v>13.82</v>
      </c>
      <c r="C117">
        <v>14.5</v>
      </c>
      <c r="D117">
        <v>13.27</v>
      </c>
      <c r="E117">
        <v>13.44</v>
      </c>
      <c r="F117">
        <v>868620.97</v>
      </c>
      <c r="G117">
        <v>13.44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-0.72357723577235789</v>
      </c>
      <c r="Q117">
        <f t="shared" ref="Q117" si="561">F117*P117</f>
        <v>-628514.36040650413</v>
      </c>
      <c r="R117">
        <f t="shared" ref="R117" si="562">R118+Q117</f>
        <v>-14072468.614423919</v>
      </c>
      <c r="S117">
        <f t="shared" ref="S117" si="563">R117/100000</f>
        <v>-140.7246861442392</v>
      </c>
      <c r="T117">
        <f t="shared" ref="T117" si="564">S117/1000</f>
        <v>-0.14072468614423919</v>
      </c>
    </row>
    <row r="118" spans="1:20" x14ac:dyDescent="0.25">
      <c r="A118" s="5">
        <v>44475</v>
      </c>
      <c r="B118">
        <v>13.86</v>
      </c>
      <c r="C118">
        <v>14.33</v>
      </c>
      <c r="D118">
        <v>12.51</v>
      </c>
      <c r="E118">
        <v>13.8</v>
      </c>
      <c r="F118">
        <v>1360727.47</v>
      </c>
      <c r="G118">
        <v>13.8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0.41758241758241837</v>
      </c>
      <c r="Q118">
        <f t="shared" ref="Q118" si="566">F118*P118</f>
        <v>568215.8665934077</v>
      </c>
      <c r="R118">
        <f t="shared" ref="R118" si="567">R119+Q118</f>
        <v>-13443954.254017415</v>
      </c>
      <c r="S118">
        <f t="shared" ref="S118" si="568">R118/100000</f>
        <v>-134.43954254017416</v>
      </c>
      <c r="T118">
        <f t="shared" ref="T118" si="569">S118/1000</f>
        <v>-0.13443954254017415</v>
      </c>
    </row>
    <row r="119" spans="1:20" x14ac:dyDescent="0.25">
      <c r="A119" s="5">
        <v>44474</v>
      </c>
      <c r="B119">
        <v>14.52</v>
      </c>
      <c r="C119">
        <v>14.85</v>
      </c>
      <c r="D119">
        <v>13.59</v>
      </c>
      <c r="E119">
        <v>13.84</v>
      </c>
      <c r="F119">
        <v>980520.79</v>
      </c>
      <c r="G119">
        <v>13.84</v>
      </c>
      <c r="L119" t="s">
        <v>7</v>
      </c>
      <c r="M119" t="s">
        <v>7</v>
      </c>
      <c r="N119" t="s">
        <v>8</v>
      </c>
      <c r="P119">
        <f t="shared" ref="P119" si="570">IF(C119=D119,0,((E119-D119)-(C119-E119))/(C119-D119))</f>
        <v>-0.60317460317460314</v>
      </c>
      <c r="Q119">
        <f t="shared" ref="Q119" si="571">F119*P119</f>
        <v>-591425.23841269838</v>
      </c>
      <c r="R119">
        <f t="shared" ref="R119" si="572">R120+Q119</f>
        <v>-14012170.120610822</v>
      </c>
      <c r="S119">
        <f t="shared" ref="S119" si="573">R119/100000</f>
        <v>-140.12170120610821</v>
      </c>
      <c r="T119">
        <f t="shared" ref="T119" si="574">S119/1000</f>
        <v>-0.1401217012061082</v>
      </c>
    </row>
    <row r="120" spans="1:20" x14ac:dyDescent="0.25">
      <c r="A120" s="5">
        <v>44473</v>
      </c>
      <c r="B120">
        <v>14.99</v>
      </c>
      <c r="C120">
        <v>15.86</v>
      </c>
      <c r="D120">
        <v>14.33</v>
      </c>
      <c r="E120">
        <v>14.54</v>
      </c>
      <c r="F120">
        <v>1133951.57</v>
      </c>
      <c r="G120">
        <v>14.54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-0.72549019607843246</v>
      </c>
      <c r="Q120">
        <f t="shared" ref="Q120" si="576">F120*P120</f>
        <v>-822670.74686274643</v>
      </c>
      <c r="R120">
        <f t="shared" ref="R120" si="577">R121+Q120</f>
        <v>-13420744.882198123</v>
      </c>
      <c r="S120">
        <f t="shared" ref="S120" si="578">R120/100000</f>
        <v>-134.20744882198125</v>
      </c>
      <c r="T120">
        <f t="shared" ref="T120" si="579">S120/1000</f>
        <v>-0.13420744882198124</v>
      </c>
    </row>
    <row r="121" spans="1:20" x14ac:dyDescent="0.25">
      <c r="A121" s="5">
        <v>44472</v>
      </c>
      <c r="B121">
        <v>15.53</v>
      </c>
      <c r="C121">
        <v>15.8</v>
      </c>
      <c r="D121">
        <v>14.77</v>
      </c>
      <c r="E121">
        <v>15.04</v>
      </c>
      <c r="F121">
        <v>676156.71</v>
      </c>
      <c r="G121">
        <v>15.04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-0.47572815533980722</v>
      </c>
      <c r="Q121">
        <f t="shared" ref="Q121" si="581">F121*P121</f>
        <v>-321666.78436893295</v>
      </c>
      <c r="R121">
        <f t="shared" ref="R121" si="582">R122+Q121</f>
        <v>-12598074.135335376</v>
      </c>
      <c r="S121">
        <f t="shared" ref="S121" si="583">R121/100000</f>
        <v>-125.98074135335376</v>
      </c>
      <c r="T121">
        <f t="shared" ref="T121" si="584">S121/1000</f>
        <v>-0.12598074135335377</v>
      </c>
    </row>
    <row r="122" spans="1:20" x14ac:dyDescent="0.25">
      <c r="A122" s="5">
        <v>44471</v>
      </c>
      <c r="B122">
        <v>14.91</v>
      </c>
      <c r="C122">
        <v>16.350000000000001</v>
      </c>
      <c r="D122">
        <v>14.51</v>
      </c>
      <c r="E122">
        <v>15.54</v>
      </c>
      <c r="F122">
        <v>1010180.34</v>
      </c>
      <c r="G122">
        <v>15.54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0.11956521739130266</v>
      </c>
      <c r="Q122">
        <f t="shared" ref="Q122" si="586">F122*P122</f>
        <v>120782.43195652003</v>
      </c>
      <c r="R122">
        <f t="shared" ref="R122" si="587">R123+Q122</f>
        <v>-12276407.350966444</v>
      </c>
      <c r="S122">
        <f t="shared" ref="S122" si="588">R122/100000</f>
        <v>-122.76407350966444</v>
      </c>
      <c r="T122">
        <f t="shared" ref="T122" si="589">S122/1000</f>
        <v>-0.12276407350966444</v>
      </c>
    </row>
    <row r="123" spans="1:20" x14ac:dyDescent="0.25">
      <c r="A123" s="5">
        <v>44470</v>
      </c>
      <c r="B123">
        <v>14.24</v>
      </c>
      <c r="C123">
        <v>15.39</v>
      </c>
      <c r="D123">
        <v>14.13</v>
      </c>
      <c r="E123">
        <v>14.91</v>
      </c>
      <c r="F123">
        <v>1193965.07</v>
      </c>
      <c r="G123">
        <v>14.91</v>
      </c>
      <c r="L123" t="s">
        <v>8</v>
      </c>
      <c r="M123" t="s">
        <v>7</v>
      </c>
      <c r="N123" t="s">
        <v>8</v>
      </c>
      <c r="P123">
        <f t="shared" ref="P123" si="590">IF(C123=D123,0,((E123-D123)-(C123-E123))/(C123-D123))</f>
        <v>0.23809523809523728</v>
      </c>
      <c r="Q123">
        <f t="shared" ref="Q123" si="591">F123*P123</f>
        <v>284277.39761904668</v>
      </c>
      <c r="R123">
        <f t="shared" ref="R123" si="592">R124+Q123</f>
        <v>-12397189.782922965</v>
      </c>
      <c r="S123">
        <f t="shared" ref="S123" si="593">R123/100000</f>
        <v>-123.97189782922965</v>
      </c>
      <c r="T123">
        <f t="shared" ref="T123" si="594">S123/1000</f>
        <v>-0.12397189782922964</v>
      </c>
    </row>
    <row r="124" spans="1:20" x14ac:dyDescent="0.25">
      <c r="A124" s="5">
        <v>44469</v>
      </c>
      <c r="B124">
        <v>15</v>
      </c>
      <c r="C124">
        <v>16.34</v>
      </c>
      <c r="D124">
        <v>13.92</v>
      </c>
      <c r="E124">
        <v>14.23</v>
      </c>
      <c r="F124">
        <v>1755745.07</v>
      </c>
      <c r="G124">
        <v>14.23</v>
      </c>
      <c r="L124" t="s">
        <v>7</v>
      </c>
      <c r="M124" t="s">
        <v>7</v>
      </c>
      <c r="N124" t="s">
        <v>8</v>
      </c>
      <c r="P124">
        <f t="shared" ref="P124" si="595">IF(C124=D124,0,((E124-D124)-(C124-E124))/(C124-D124))</f>
        <v>-0.74380165289256162</v>
      </c>
      <c r="Q124">
        <f t="shared" ref="Q124" si="596">F124*P124</f>
        <v>-1305926.0851239664</v>
      </c>
      <c r="R124">
        <f t="shared" ref="R124" si="597">R125+Q124</f>
        <v>-12681467.180542011</v>
      </c>
      <c r="S124">
        <f t="shared" ref="S124" si="598">R124/100000</f>
        <v>-126.8146718054201</v>
      </c>
      <c r="T124">
        <f t="shared" ref="T124" si="599">S124/1000</f>
        <v>-0.12681467180542011</v>
      </c>
    </row>
    <row r="125" spans="1:20" x14ac:dyDescent="0.25">
      <c r="A125" s="5">
        <v>44468</v>
      </c>
      <c r="B125">
        <v>13.65</v>
      </c>
      <c r="C125">
        <v>16.89</v>
      </c>
      <c r="D125">
        <v>13.45</v>
      </c>
      <c r="E125">
        <v>15.02</v>
      </c>
      <c r="F125">
        <v>2948288.02</v>
      </c>
      <c r="G125">
        <v>15.02</v>
      </c>
      <c r="L125" t="s">
        <v>8</v>
      </c>
      <c r="M125" t="s">
        <v>8</v>
      </c>
      <c r="N125" t="s">
        <v>8</v>
      </c>
      <c r="P125">
        <f t="shared" ref="P125" si="600">IF(C125=D125,0,((E125-D125)-(C125-E125))/(C125-D125))</f>
        <v>-8.7209302325581564E-2</v>
      </c>
      <c r="Q125">
        <f t="shared" ref="Q125" si="601">F125*P125</f>
        <v>-257118.14127907026</v>
      </c>
      <c r="R125">
        <f t="shared" ref="R125" si="602">R126+Q125</f>
        <v>-11375541.095418043</v>
      </c>
      <c r="S125">
        <f t="shared" ref="S125" si="603">R125/100000</f>
        <v>-113.75541095418043</v>
      </c>
      <c r="T125">
        <f t="shared" ref="T125" si="604">S125/1000</f>
        <v>-0.11375541095418043</v>
      </c>
    </row>
    <row r="126" spans="1:20" x14ac:dyDescent="0.25">
      <c r="A126" s="5">
        <v>44467</v>
      </c>
      <c r="B126">
        <v>15.15</v>
      </c>
      <c r="C126">
        <v>17</v>
      </c>
      <c r="D126">
        <v>13.48</v>
      </c>
      <c r="E126">
        <v>13.65</v>
      </c>
      <c r="F126">
        <v>3197319.31</v>
      </c>
      <c r="G126">
        <v>13.65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-0.90340909090909094</v>
      </c>
      <c r="Q126">
        <f t="shared" ref="Q126" si="606">F126*P126</f>
        <v>-2888487.3311931822</v>
      </c>
      <c r="R126">
        <f t="shared" ref="R126" si="607">R127+Q126</f>
        <v>-11118422.954138974</v>
      </c>
      <c r="S126">
        <f t="shared" ref="S126" si="608">R126/100000</f>
        <v>-111.18422954138974</v>
      </c>
      <c r="T126">
        <f t="shared" ref="T126" si="609">S126/1000</f>
        <v>-0.11118422954138973</v>
      </c>
    </row>
    <row r="127" spans="1:20" x14ac:dyDescent="0.25">
      <c r="A127" s="5">
        <v>44466</v>
      </c>
      <c r="B127">
        <v>14.09</v>
      </c>
      <c r="C127">
        <v>19.11</v>
      </c>
      <c r="D127">
        <v>13.6</v>
      </c>
      <c r="E127">
        <v>15.13</v>
      </c>
      <c r="F127">
        <v>5529710.6399999997</v>
      </c>
      <c r="G127">
        <v>15.13</v>
      </c>
      <c r="L127" t="s">
        <v>8</v>
      </c>
      <c r="M127" t="s">
        <v>8</v>
      </c>
      <c r="N127" t="s">
        <v>8</v>
      </c>
      <c r="P127">
        <f t="shared" ref="P127" si="610">IF(C127=D127,0,((E127-D127)-(C127-E127))/(C127-D127))</f>
        <v>-0.44464609800362931</v>
      </c>
      <c r="Q127">
        <f t="shared" ref="Q127" si="611">F127*P127</f>
        <v>-2458764.2591651515</v>
      </c>
      <c r="R127">
        <f t="shared" ref="R127" si="612">R128+Q127</f>
        <v>-8229935.6229457911</v>
      </c>
      <c r="S127">
        <f t="shared" ref="S127" si="613">R127/100000</f>
        <v>-82.299356229457914</v>
      </c>
      <c r="T127">
        <f t="shared" ref="T127" si="614">S127/1000</f>
        <v>-8.2299356229457915E-2</v>
      </c>
    </row>
    <row r="128" spans="1:20" x14ac:dyDescent="0.25">
      <c r="A128" s="5">
        <v>44465</v>
      </c>
      <c r="B128">
        <v>11.91</v>
      </c>
      <c r="C128">
        <v>15.98</v>
      </c>
      <c r="D128">
        <v>10.66</v>
      </c>
      <c r="E128">
        <v>14.1</v>
      </c>
      <c r="F128">
        <v>4125251.4</v>
      </c>
      <c r="G128">
        <v>14.1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0.29323308270676668</v>
      </c>
      <c r="Q128">
        <f t="shared" ref="Q128" si="616">F128*P128</f>
        <v>1209660.1849624049</v>
      </c>
      <c r="R128">
        <f t="shared" ref="R128" si="617">R129+Q128</f>
        <v>-5771171.3637806401</v>
      </c>
      <c r="S128">
        <f t="shared" ref="S128" si="618">R128/100000</f>
        <v>-57.711713637806398</v>
      </c>
      <c r="T128">
        <f t="shared" ref="T128" si="619">S128/1000</f>
        <v>-5.7711713637806396E-2</v>
      </c>
    </row>
    <row r="129" spans="1:20" x14ac:dyDescent="0.25">
      <c r="A129" s="5">
        <v>44464</v>
      </c>
      <c r="B129">
        <v>12.23</v>
      </c>
      <c r="C129">
        <v>12.38</v>
      </c>
      <c r="D129">
        <v>11.52</v>
      </c>
      <c r="E129">
        <v>11.91</v>
      </c>
      <c r="F129">
        <v>421065.17</v>
      </c>
      <c r="G129">
        <v>11.91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-9.3023255813953445E-2</v>
      </c>
      <c r="Q129">
        <f t="shared" ref="Q129" si="621">F129*P129</f>
        <v>-39168.853023255797</v>
      </c>
      <c r="R129">
        <f t="shared" ref="R129" si="622">R130+Q129</f>
        <v>-6980831.548743045</v>
      </c>
      <c r="S129">
        <f t="shared" ref="S129" si="623">R129/100000</f>
        <v>-69.808315487430448</v>
      </c>
      <c r="T129">
        <f t="shared" ref="T129" si="624">S129/1000</f>
        <v>-6.9808315487430453E-2</v>
      </c>
    </row>
    <row r="130" spans="1:20" x14ac:dyDescent="0.25">
      <c r="A130" s="5">
        <v>44463</v>
      </c>
      <c r="B130">
        <v>13.08</v>
      </c>
      <c r="C130">
        <v>13.2</v>
      </c>
      <c r="D130">
        <v>11.1</v>
      </c>
      <c r="E130">
        <v>12.23</v>
      </c>
      <c r="F130">
        <v>974679.42</v>
      </c>
      <c r="G130">
        <v>12.23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7.6190476190477113E-2</v>
      </c>
      <c r="Q130">
        <f t="shared" ref="Q130" si="626">F130*P130</f>
        <v>74261.289142858048</v>
      </c>
      <c r="R130">
        <f t="shared" ref="R130" si="627">R131+Q130</f>
        <v>-6941662.6957197888</v>
      </c>
      <c r="S130">
        <f t="shared" ref="S130" si="628">R130/100000</f>
        <v>-69.416626957197892</v>
      </c>
      <c r="T130">
        <f t="shared" ref="T130" si="629">S130/1000</f>
        <v>-6.9416626957197886E-2</v>
      </c>
    </row>
    <row r="131" spans="1:20" x14ac:dyDescent="0.25">
      <c r="A131" s="5">
        <v>44462</v>
      </c>
      <c r="B131">
        <v>13.92</v>
      </c>
      <c r="C131">
        <v>14.2</v>
      </c>
      <c r="D131">
        <v>12.42</v>
      </c>
      <c r="E131">
        <v>13.08</v>
      </c>
      <c r="F131">
        <v>943735.88</v>
      </c>
      <c r="G131">
        <v>13.08</v>
      </c>
      <c r="L131" t="s">
        <v>7</v>
      </c>
      <c r="M131" t="s">
        <v>7</v>
      </c>
      <c r="N131" t="s">
        <v>7</v>
      </c>
      <c r="P131">
        <f t="shared" ref="P131" si="630">IF(C131=D131,0,((E131-D131)-(C131-E131))/(C131-D131))</f>
        <v>-0.25842696629213441</v>
      </c>
      <c r="Q131">
        <f t="shared" ref="Q131" si="631">F131*P131</f>
        <v>-243886.80044943781</v>
      </c>
      <c r="R131">
        <f t="shared" ref="R131" si="632">R132+Q131</f>
        <v>-7015923.984862647</v>
      </c>
      <c r="S131">
        <f t="shared" ref="S131" si="633">R131/100000</f>
        <v>-70.15923984862647</v>
      </c>
      <c r="T131">
        <f t="shared" ref="T131" si="634">S131/1000</f>
        <v>-7.0159239848626473E-2</v>
      </c>
    </row>
    <row r="132" spans="1:20" x14ac:dyDescent="0.25">
      <c r="A132" s="5">
        <v>44461</v>
      </c>
      <c r="B132">
        <v>11.13</v>
      </c>
      <c r="C132">
        <v>15.39</v>
      </c>
      <c r="D132">
        <v>10.88</v>
      </c>
      <c r="E132">
        <v>13.92</v>
      </c>
      <c r="F132">
        <v>3722991.28</v>
      </c>
      <c r="G132">
        <v>13.92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0.34811529933481122</v>
      </c>
      <c r="Q132">
        <f t="shared" ref="Q132" si="636">F132*P132</f>
        <v>1296030.223858092</v>
      </c>
      <c r="R132">
        <f t="shared" ref="R132" si="637">R133+Q132</f>
        <v>-6772037.1844132096</v>
      </c>
      <c r="S132">
        <f t="shared" ref="S132" si="638">R132/100000</f>
        <v>-67.720371844132089</v>
      </c>
      <c r="T132">
        <f t="shared" ref="T132" si="639">S132/1000</f>
        <v>-6.7720371844132085E-2</v>
      </c>
    </row>
    <row r="133" spans="1:20" x14ac:dyDescent="0.25">
      <c r="A133" s="5">
        <v>44460</v>
      </c>
      <c r="B133">
        <v>12.21</v>
      </c>
      <c r="C133">
        <v>13.29</v>
      </c>
      <c r="D133">
        <v>10.87</v>
      </c>
      <c r="E133">
        <v>11.1</v>
      </c>
      <c r="F133">
        <v>821952.16899999999</v>
      </c>
      <c r="G133">
        <v>11.1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-0.80991735537190046</v>
      </c>
      <c r="Q133">
        <f t="shared" ref="Q133" si="641">F133*P133</f>
        <v>-665713.32695867738</v>
      </c>
      <c r="R133">
        <f t="shared" ref="R133" si="642">R134+Q133</f>
        <v>-8068067.4082713015</v>
      </c>
      <c r="S133">
        <f t="shared" ref="S133" si="643">R133/100000</f>
        <v>-80.680674082713011</v>
      </c>
      <c r="T133">
        <f t="shared" ref="T133" si="644">S133/1000</f>
        <v>-8.0680674082713011E-2</v>
      </c>
    </row>
    <row r="134" spans="1:20" x14ac:dyDescent="0.25">
      <c r="A134" s="5">
        <v>44459</v>
      </c>
      <c r="B134">
        <v>14.29</v>
      </c>
      <c r="C134">
        <v>16</v>
      </c>
      <c r="D134">
        <v>13.64</v>
      </c>
      <c r="E134">
        <v>13.96</v>
      </c>
      <c r="F134">
        <v>703269.2</v>
      </c>
      <c r="G134">
        <v>13.96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-0.72881355932203362</v>
      </c>
      <c r="Q134">
        <f t="shared" ref="Q134" si="646">F134*P134</f>
        <v>-512552.12881355907</v>
      </c>
      <c r="R134">
        <f t="shared" ref="R134" si="647">R135+Q134</f>
        <v>-7402354.0813126238</v>
      </c>
      <c r="S134">
        <f t="shared" ref="S134" si="648">R134/100000</f>
        <v>-74.023540813126232</v>
      </c>
      <c r="T134">
        <f t="shared" ref="T134" si="649">S134/1000</f>
        <v>-7.4023540813126232E-2</v>
      </c>
    </row>
    <row r="135" spans="1:20" x14ac:dyDescent="0.25">
      <c r="A135" s="5">
        <v>44458</v>
      </c>
      <c r="B135">
        <v>14.99</v>
      </c>
      <c r="C135">
        <v>15.06</v>
      </c>
      <c r="D135">
        <v>13.99</v>
      </c>
      <c r="E135">
        <v>14.29</v>
      </c>
      <c r="F135">
        <v>360490.71</v>
      </c>
      <c r="G135">
        <v>14.29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-0.43925233644860029</v>
      </c>
      <c r="Q135">
        <f t="shared" ref="Q135" si="651">F135*P135</f>
        <v>-158346.38663551482</v>
      </c>
      <c r="R135">
        <f t="shared" ref="R135" si="652">R136+Q135</f>
        <v>-6889801.9524990646</v>
      </c>
      <c r="S135">
        <f t="shared" ref="S135" si="653">R135/100000</f>
        <v>-68.898019524990644</v>
      </c>
      <c r="T135">
        <f t="shared" ref="T135" si="654">S135/1000</f>
        <v>-6.8898019524990639E-2</v>
      </c>
    </row>
    <row r="136" spans="1:20" x14ac:dyDescent="0.25">
      <c r="A136" s="5">
        <v>44457</v>
      </c>
      <c r="B136">
        <v>15.32</v>
      </c>
      <c r="C136">
        <v>15.7</v>
      </c>
      <c r="D136">
        <v>14.82</v>
      </c>
      <c r="E136">
        <v>14.99</v>
      </c>
      <c r="F136">
        <v>380320.43</v>
      </c>
      <c r="G136">
        <v>14.99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-0.61363636363636331</v>
      </c>
      <c r="Q136">
        <f t="shared" ref="Q136" si="656">F136*P136</f>
        <v>-233378.44568181806</v>
      </c>
      <c r="R136">
        <f t="shared" ref="R136" si="657">R137+Q136</f>
        <v>-6731455.5658635497</v>
      </c>
      <c r="S136">
        <f t="shared" ref="S136" si="658">R136/100000</f>
        <v>-67.314555658635499</v>
      </c>
      <c r="T136">
        <f t="shared" ref="T136" si="659">S136/1000</f>
        <v>-6.7314555658635505E-2</v>
      </c>
    </row>
    <row r="137" spans="1:20" x14ac:dyDescent="0.25">
      <c r="A137" s="5">
        <v>44456</v>
      </c>
      <c r="B137">
        <v>17.16</v>
      </c>
      <c r="C137">
        <v>17.3</v>
      </c>
      <c r="D137">
        <v>14.68</v>
      </c>
      <c r="E137">
        <v>15.32</v>
      </c>
      <c r="F137">
        <v>817047.52</v>
      </c>
      <c r="G137">
        <v>15.32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-0.51145038167938905</v>
      </c>
      <c r="Q137">
        <f t="shared" ref="Q137" si="661">F137*P137</f>
        <v>-417879.26595419826</v>
      </c>
      <c r="R137">
        <f t="shared" ref="R137" si="662">R138+Q137</f>
        <v>-6498077.1201817319</v>
      </c>
      <c r="S137">
        <f t="shared" ref="S137" si="663">R137/100000</f>
        <v>-64.980771201817319</v>
      </c>
      <c r="T137">
        <f t="shared" ref="T137" si="664">S137/1000</f>
        <v>-6.4980771201817319E-2</v>
      </c>
    </row>
    <row r="138" spans="1:20" x14ac:dyDescent="0.25">
      <c r="A138" s="5">
        <v>44455</v>
      </c>
      <c r="B138">
        <v>17.829999999999998</v>
      </c>
      <c r="C138">
        <v>18.5</v>
      </c>
      <c r="D138">
        <v>16.57</v>
      </c>
      <c r="E138">
        <v>17.16</v>
      </c>
      <c r="F138">
        <v>595094.81000000006</v>
      </c>
      <c r="G138">
        <v>17.16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-0.3886010362694301</v>
      </c>
      <c r="Q138">
        <f t="shared" ref="Q138" si="666">F138*P138</f>
        <v>-231254.45984455963</v>
      </c>
      <c r="R138">
        <f t="shared" ref="R138" si="667">R139+Q138</f>
        <v>-6080197.8542275336</v>
      </c>
      <c r="S138">
        <f t="shared" ref="S138" si="668">R138/100000</f>
        <v>-60.801978542275336</v>
      </c>
      <c r="T138">
        <f t="shared" ref="T138" si="669">S138/1000</f>
        <v>-6.0801978542275335E-2</v>
      </c>
    </row>
    <row r="139" spans="1:20" x14ac:dyDescent="0.25">
      <c r="A139" s="5">
        <v>44454</v>
      </c>
      <c r="B139">
        <v>18.34</v>
      </c>
      <c r="C139">
        <v>18.5</v>
      </c>
      <c r="D139">
        <v>16.77</v>
      </c>
      <c r="E139">
        <v>17.8</v>
      </c>
      <c r="F139">
        <v>578808.56999999995</v>
      </c>
      <c r="G139">
        <v>17.8</v>
      </c>
      <c r="L139" t="s">
        <v>7</v>
      </c>
      <c r="M139" t="s">
        <v>8</v>
      </c>
      <c r="N139" t="s">
        <v>7</v>
      </c>
      <c r="P139">
        <f t="shared" ref="P139" si="670">IF(C139=D139,0,((E139-D139)-(C139-E139))/(C139-D139))</f>
        <v>0.19075144508670622</v>
      </c>
      <c r="Q139">
        <f t="shared" ref="Q139" si="671">F139*P139</f>
        <v>110408.57115606994</v>
      </c>
      <c r="R139">
        <f t="shared" ref="R139" si="672">R140+Q139</f>
        <v>-5848943.3943829741</v>
      </c>
      <c r="S139">
        <f t="shared" ref="S139" si="673">R139/100000</f>
        <v>-58.489433943829738</v>
      </c>
      <c r="T139">
        <f t="shared" ref="T139" si="674">S139/1000</f>
        <v>-5.8489433943829737E-2</v>
      </c>
    </row>
    <row r="140" spans="1:20" x14ac:dyDescent="0.25">
      <c r="A140" s="5">
        <v>44453</v>
      </c>
      <c r="B140">
        <v>16.04</v>
      </c>
      <c r="C140">
        <v>18.510000000000002</v>
      </c>
      <c r="D140">
        <v>15.63</v>
      </c>
      <c r="E140">
        <v>18.329999999999998</v>
      </c>
      <c r="F140">
        <v>1251203.56</v>
      </c>
      <c r="G140">
        <v>18.329999999999998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0.87499999999999778</v>
      </c>
      <c r="Q140">
        <f t="shared" ref="Q140" si="676">F140*P140</f>
        <v>1094803.1149999972</v>
      </c>
      <c r="R140">
        <f t="shared" ref="R140" si="677">R141+Q140</f>
        <v>-5959351.9655390438</v>
      </c>
      <c r="S140">
        <f t="shared" ref="S140" si="678">R140/100000</f>
        <v>-59.593519655390438</v>
      </c>
      <c r="T140">
        <f t="shared" ref="T140" si="679">S140/1000</f>
        <v>-5.9593519655390441E-2</v>
      </c>
    </row>
    <row r="141" spans="1:20" x14ac:dyDescent="0.25">
      <c r="A141" s="5">
        <v>44452</v>
      </c>
      <c r="B141">
        <v>14.98</v>
      </c>
      <c r="C141">
        <v>16.5</v>
      </c>
      <c r="D141">
        <v>13.47</v>
      </c>
      <c r="E141">
        <v>16.04</v>
      </c>
      <c r="F141">
        <v>1002332.0429999999</v>
      </c>
      <c r="G141">
        <v>16.04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0.69636963696369569</v>
      </c>
      <c r="Q141">
        <f t="shared" ref="Q141" si="681">F141*P141</f>
        <v>697993.60090098938</v>
      </c>
      <c r="R141">
        <f t="shared" ref="R141" si="682">R142+Q141</f>
        <v>-7054155.0805390412</v>
      </c>
      <c r="S141">
        <f t="shared" ref="S141" si="683">R141/100000</f>
        <v>-70.541550805390415</v>
      </c>
      <c r="T141">
        <f t="shared" ref="T141" si="684">S141/1000</f>
        <v>-7.0541550805390416E-2</v>
      </c>
    </row>
    <row r="142" spans="1:20" x14ac:dyDescent="0.25">
      <c r="A142" s="5">
        <v>44451</v>
      </c>
      <c r="B142">
        <v>15.74</v>
      </c>
      <c r="C142">
        <v>16.23</v>
      </c>
      <c r="D142">
        <v>14.59</v>
      </c>
      <c r="E142">
        <v>14.98</v>
      </c>
      <c r="F142">
        <v>497755.15600000002</v>
      </c>
      <c r="G142">
        <v>14.98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-0.52439024390243849</v>
      </c>
      <c r="Q142">
        <f t="shared" ref="Q142" si="686">F142*P142</f>
        <v>-261017.94765853632</v>
      </c>
      <c r="R142">
        <f t="shared" ref="R142" si="687">R143+Q142</f>
        <v>-7752148.6814400302</v>
      </c>
      <c r="S142">
        <f t="shared" ref="S142" si="688">R142/100000</f>
        <v>-77.521486814400305</v>
      </c>
      <c r="T142">
        <f t="shared" ref="T142" si="689">S142/1000</f>
        <v>-7.7521486814400312E-2</v>
      </c>
    </row>
    <row r="143" spans="1:20" x14ac:dyDescent="0.25">
      <c r="A143" s="5">
        <v>44450</v>
      </c>
      <c r="B143">
        <v>15.49</v>
      </c>
      <c r="C143">
        <v>16.510000000000002</v>
      </c>
      <c r="D143">
        <v>15.46</v>
      </c>
      <c r="E143">
        <v>15.75</v>
      </c>
      <c r="F143">
        <v>504223.8</v>
      </c>
      <c r="G143">
        <v>15.75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-0.44761904761904964</v>
      </c>
      <c r="Q143">
        <f t="shared" ref="Q143" si="691">F143*P143</f>
        <v>-225700.17714285816</v>
      </c>
      <c r="R143">
        <f t="shared" ref="R143" si="692">R144+Q143</f>
        <v>-7491130.7337814942</v>
      </c>
      <c r="S143">
        <f t="shared" ref="S143" si="693">R143/100000</f>
        <v>-74.911307337814947</v>
      </c>
      <c r="T143">
        <f t="shared" ref="T143" si="694">S143/1000</f>
        <v>-7.4911307337814953E-2</v>
      </c>
    </row>
    <row r="144" spans="1:20" x14ac:dyDescent="0.25">
      <c r="A144" s="5">
        <v>44449</v>
      </c>
      <c r="B144">
        <v>18.239999999999998</v>
      </c>
      <c r="C144">
        <v>18.510000000000002</v>
      </c>
      <c r="D144">
        <v>15.23</v>
      </c>
      <c r="E144">
        <v>15.49</v>
      </c>
      <c r="F144">
        <v>1218300.58</v>
      </c>
      <c r="G144">
        <v>15.49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-0.84146341463414653</v>
      </c>
      <c r="Q144">
        <f t="shared" ref="Q144" si="696">F144*P144</f>
        <v>-1025155.3660975613</v>
      </c>
      <c r="R144">
        <f t="shared" ref="R144" si="697">R145+Q144</f>
        <v>-7265430.5566386357</v>
      </c>
      <c r="S144">
        <f t="shared" ref="S144" si="698">R144/100000</f>
        <v>-72.654305566386356</v>
      </c>
      <c r="T144">
        <f t="shared" ref="T144" si="699">S144/1000</f>
        <v>-7.2654305566386357E-2</v>
      </c>
    </row>
    <row r="145" spans="1:20" x14ac:dyDescent="0.25">
      <c r="A145" s="5">
        <v>44448</v>
      </c>
      <c r="B145">
        <v>19.57</v>
      </c>
      <c r="C145">
        <v>19.79</v>
      </c>
      <c r="D145">
        <v>17.05</v>
      </c>
      <c r="E145">
        <v>18.23</v>
      </c>
      <c r="F145">
        <v>1938165.84</v>
      </c>
      <c r="G145">
        <v>18.23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-0.13868613138686103</v>
      </c>
      <c r="Q145">
        <f t="shared" ref="Q145" si="701">F145*P145</f>
        <v>-268796.72233576589</v>
      </c>
      <c r="R145">
        <f t="shared" ref="R145" si="702">R146+Q145</f>
        <v>-6240275.1905410746</v>
      </c>
      <c r="S145">
        <f t="shared" ref="S145" si="703">R145/100000</f>
        <v>-62.402751905410746</v>
      </c>
      <c r="T145">
        <f t="shared" ref="T145" si="704">S145/1000</f>
        <v>-6.2402751905410746E-2</v>
      </c>
    </row>
    <row r="146" spans="1:20" x14ac:dyDescent="0.25">
      <c r="A146" s="5">
        <v>44447</v>
      </c>
      <c r="B146">
        <v>20.010000000000002</v>
      </c>
      <c r="C146">
        <v>23.08</v>
      </c>
      <c r="D146">
        <v>19.04</v>
      </c>
      <c r="E146">
        <v>19.559999999999999</v>
      </c>
      <c r="F146">
        <v>2654012.09</v>
      </c>
      <c r="G146">
        <v>19.559999999999999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-0.74257425742574268</v>
      </c>
      <c r="Q146">
        <f t="shared" ref="Q146" si="706">F146*P146</f>
        <v>-1970801.0569306933</v>
      </c>
      <c r="R146">
        <f t="shared" ref="R146" si="707">R147+Q146</f>
        <v>-5971478.4682053085</v>
      </c>
      <c r="S146">
        <f t="shared" ref="S146" si="708">R146/100000</f>
        <v>-59.714784682053086</v>
      </c>
      <c r="T146">
        <f t="shared" ref="T146" si="709">S146/1000</f>
        <v>-5.9714784682053088E-2</v>
      </c>
    </row>
    <row r="147" spans="1:20" x14ac:dyDescent="0.25">
      <c r="A147" s="5">
        <v>44446</v>
      </c>
      <c r="B147">
        <v>21.5</v>
      </c>
      <c r="C147">
        <v>21.68</v>
      </c>
      <c r="D147">
        <v>19.100000000000001</v>
      </c>
      <c r="E147">
        <v>20.02</v>
      </c>
      <c r="F147">
        <v>1435318.82</v>
      </c>
      <c r="G147">
        <v>20.02</v>
      </c>
      <c r="L147" t="s">
        <v>7</v>
      </c>
      <c r="M147" t="s">
        <v>8</v>
      </c>
      <c r="N147" t="s">
        <v>7</v>
      </c>
      <c r="P147">
        <f t="shared" ref="P147" si="710">IF(C147=D147,0,((E147-D147)-(C147-E147))/(C147-D147))</f>
        <v>-0.28682170542635754</v>
      </c>
      <c r="Q147">
        <f t="shared" ref="Q147" si="711">F147*P147</f>
        <v>-411680.59178294713</v>
      </c>
      <c r="R147">
        <f t="shared" ref="R147" si="712">R148+Q147</f>
        <v>-4000677.4112746152</v>
      </c>
      <c r="S147">
        <f t="shared" ref="S147" si="713">R147/100000</f>
        <v>-40.00677411274615</v>
      </c>
      <c r="T147">
        <f t="shared" ref="T147" si="714">S147/1000</f>
        <v>-4.0006774112746148E-2</v>
      </c>
    </row>
    <row r="148" spans="1:20" x14ac:dyDescent="0.25">
      <c r="A148" s="5">
        <v>44445</v>
      </c>
      <c r="B148">
        <v>19.87</v>
      </c>
      <c r="C148">
        <v>22.69</v>
      </c>
      <c r="D148">
        <v>19.63</v>
      </c>
      <c r="E148">
        <v>21.5</v>
      </c>
      <c r="F148">
        <v>1243889.77</v>
      </c>
      <c r="G148">
        <v>21.5</v>
      </c>
      <c r="L148" t="s">
        <v>8</v>
      </c>
      <c r="M148" t="s">
        <v>8</v>
      </c>
      <c r="N148" t="s">
        <v>7</v>
      </c>
      <c r="P148">
        <f t="shared" ref="P148" si="715">IF(C148=D148,0,((E148-D148)-(C148-E148))/(C148-D148))</f>
        <v>0.22222222222222196</v>
      </c>
      <c r="Q148">
        <f t="shared" ref="Q148" si="716">F148*P148</f>
        <v>276419.94888888858</v>
      </c>
      <c r="R148">
        <f t="shared" ref="R148" si="717">R149+Q148</f>
        <v>-3588996.8194916681</v>
      </c>
      <c r="S148">
        <f t="shared" ref="S148" si="718">R148/100000</f>
        <v>-35.889968194916683</v>
      </c>
      <c r="T148">
        <f t="shared" ref="T148" si="719">S148/1000</f>
        <v>-3.5889968194916681E-2</v>
      </c>
    </row>
    <row r="149" spans="1:20" x14ac:dyDescent="0.25">
      <c r="A149" s="5">
        <v>44444</v>
      </c>
      <c r="B149">
        <v>19.14</v>
      </c>
      <c r="C149">
        <v>19.98</v>
      </c>
      <c r="D149">
        <v>18.809999999999999</v>
      </c>
      <c r="E149">
        <v>19.87</v>
      </c>
      <c r="F149">
        <v>316715.53000000003</v>
      </c>
      <c r="G149">
        <v>19.87</v>
      </c>
      <c r="L149" t="s">
        <v>8</v>
      </c>
      <c r="M149" t="s">
        <v>7</v>
      </c>
      <c r="N149" t="s">
        <v>7</v>
      </c>
      <c r="P149">
        <f t="shared" ref="P149" si="720">IF(C149=D149,0,((E149-D149)-(C149-E149))/(C149-D149))</f>
        <v>0.81196581196581319</v>
      </c>
      <c r="Q149">
        <f t="shared" ref="Q149" si="721">F149*P149</f>
        <v>257162.18247863289</v>
      </c>
      <c r="R149">
        <f t="shared" ref="R149" si="722">R150+Q149</f>
        <v>-3865416.7683805567</v>
      </c>
      <c r="S149">
        <f t="shared" ref="S149" si="723">R149/100000</f>
        <v>-38.654167683805568</v>
      </c>
      <c r="T149">
        <f t="shared" ref="T149" si="724">S149/1000</f>
        <v>-3.8654167683805571E-2</v>
      </c>
    </row>
    <row r="150" spans="1:20" x14ac:dyDescent="0.25">
      <c r="A150" s="5">
        <v>44443</v>
      </c>
      <c r="B150">
        <v>19.86</v>
      </c>
      <c r="C150">
        <v>20.12</v>
      </c>
      <c r="D150">
        <v>18.7</v>
      </c>
      <c r="E150">
        <v>19.13</v>
      </c>
      <c r="F150">
        <v>338021.06</v>
      </c>
      <c r="G150">
        <v>19.13</v>
      </c>
      <c r="L150" t="s">
        <v>8</v>
      </c>
      <c r="M150" t="s">
        <v>7</v>
      </c>
      <c r="N150" t="s">
        <v>7</v>
      </c>
      <c r="P150">
        <f t="shared" ref="P150" si="725">IF(C150=D150,0,((E150-D150)-(C150-E150))/(C150-D150))</f>
        <v>-0.39436619718309973</v>
      </c>
      <c r="Q150">
        <f t="shared" ref="Q150" si="726">F150*P150</f>
        <v>-133304.08000000039</v>
      </c>
      <c r="R150">
        <f t="shared" ref="R150" si="727">R151+Q150</f>
        <v>-4122578.9508591895</v>
      </c>
      <c r="S150">
        <f t="shared" ref="S150" si="728">R150/100000</f>
        <v>-41.225789508591895</v>
      </c>
      <c r="T150">
        <f t="shared" ref="T150" si="729">S150/1000</f>
        <v>-4.1225789508591897E-2</v>
      </c>
    </row>
    <row r="151" spans="1:20" x14ac:dyDescent="0.25">
      <c r="A151" s="5">
        <v>44442</v>
      </c>
      <c r="B151">
        <v>19.5</v>
      </c>
      <c r="C151">
        <v>20.149999999999999</v>
      </c>
      <c r="D151">
        <v>18.329999999999998</v>
      </c>
      <c r="E151">
        <v>19.86</v>
      </c>
      <c r="F151">
        <v>834164.42</v>
      </c>
      <c r="G151">
        <v>19.86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0.68131868131868234</v>
      </c>
      <c r="Q151">
        <f t="shared" ref="Q151" si="731">F151*P151</f>
        <v>568331.80263736355</v>
      </c>
      <c r="R151">
        <f t="shared" ref="R151" si="732">R152+Q151</f>
        <v>-3989274.870859189</v>
      </c>
      <c r="S151">
        <f t="shared" ref="S151" si="733">R151/100000</f>
        <v>-39.892748708591888</v>
      </c>
      <c r="T151">
        <f t="shared" ref="T151" si="734">S151/1000</f>
        <v>-3.9892748708591885E-2</v>
      </c>
    </row>
    <row r="152" spans="1:20" x14ac:dyDescent="0.25">
      <c r="A152" s="5">
        <v>44441</v>
      </c>
      <c r="B152">
        <v>20.85</v>
      </c>
      <c r="C152">
        <v>21.4</v>
      </c>
      <c r="D152">
        <v>18.920000000000002</v>
      </c>
      <c r="E152">
        <v>19.5</v>
      </c>
      <c r="F152">
        <v>876817.9</v>
      </c>
      <c r="G152">
        <v>19.5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-0.53225806451612978</v>
      </c>
      <c r="Q152">
        <f t="shared" ref="Q152" si="736">F152*P152</f>
        <v>-466693.39838709746</v>
      </c>
      <c r="R152">
        <f t="shared" ref="R152" si="737">R153+Q152</f>
        <v>-4557606.6734965527</v>
      </c>
      <c r="S152">
        <f t="shared" ref="S152" si="738">R152/100000</f>
        <v>-45.576066734965529</v>
      </c>
      <c r="T152">
        <f t="shared" ref="T152" si="739">S152/1000</f>
        <v>-4.5576066734965531E-2</v>
      </c>
    </row>
    <row r="153" spans="1:20" x14ac:dyDescent="0.25">
      <c r="A153" s="5">
        <v>44440</v>
      </c>
      <c r="B153">
        <v>20.170000000000002</v>
      </c>
      <c r="C153">
        <v>21.2</v>
      </c>
      <c r="D153">
        <v>18.920000000000002</v>
      </c>
      <c r="E153">
        <v>20.83</v>
      </c>
      <c r="F153">
        <v>825488.15</v>
      </c>
      <c r="G153">
        <v>20.83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0.67543859649122684</v>
      </c>
      <c r="Q153">
        <f t="shared" ref="Q153" si="741">F153*P153</f>
        <v>557566.55745613936</v>
      </c>
      <c r="R153">
        <f t="shared" ref="R153" si="742">R154+Q153</f>
        <v>-4090913.275109455</v>
      </c>
      <c r="S153">
        <f t="shared" ref="S153" si="743">R153/100000</f>
        <v>-40.909132751094553</v>
      </c>
      <c r="T153">
        <f t="shared" ref="T153" si="744">S153/1000</f>
        <v>-4.0909132751094555E-2</v>
      </c>
    </row>
    <row r="154" spans="1:20" x14ac:dyDescent="0.25">
      <c r="A154" s="5">
        <v>44439</v>
      </c>
      <c r="B154">
        <v>21.43</v>
      </c>
      <c r="C154">
        <v>22.44</v>
      </c>
      <c r="D154">
        <v>19.7</v>
      </c>
      <c r="E154">
        <v>20.16</v>
      </c>
      <c r="F154">
        <v>1485633.23</v>
      </c>
      <c r="G154">
        <v>20.16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-0.6642335766423354</v>
      </c>
      <c r="Q154">
        <f t="shared" ref="Q154" si="746">F154*P154</f>
        <v>-986807.47394160531</v>
      </c>
      <c r="R154">
        <f t="shared" ref="R154" si="747">R155+Q154</f>
        <v>-4648479.8325655945</v>
      </c>
      <c r="S154">
        <f t="shared" ref="S154" si="748">R154/100000</f>
        <v>-46.484798325655944</v>
      </c>
      <c r="T154">
        <f t="shared" ref="T154" si="749">S154/1000</f>
        <v>-4.6484798325655947E-2</v>
      </c>
    </row>
    <row r="155" spans="1:20" x14ac:dyDescent="0.25">
      <c r="A155" s="5">
        <v>44438</v>
      </c>
      <c r="B155">
        <v>18.670000000000002</v>
      </c>
      <c r="C155">
        <v>26.21</v>
      </c>
      <c r="D155">
        <v>18.25</v>
      </c>
      <c r="E155">
        <v>21.45</v>
      </c>
      <c r="F155">
        <v>4159866.1069999998</v>
      </c>
      <c r="G155">
        <v>21.45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-0.1959798994974877</v>
      </c>
      <c r="Q155">
        <f t="shared" ref="Q155" si="751">F155*P155</f>
        <v>-815250.14157286542</v>
      </c>
      <c r="R155">
        <f t="shared" ref="R155" si="752">R156+Q155</f>
        <v>-3661672.3586239889</v>
      </c>
      <c r="S155">
        <f t="shared" ref="S155" si="753">R155/100000</f>
        <v>-36.616723586239893</v>
      </c>
      <c r="T155">
        <f t="shared" ref="T155" si="754">S155/1000</f>
        <v>-3.6616723586239894E-2</v>
      </c>
    </row>
    <row r="156" spans="1:20" x14ac:dyDescent="0.25">
      <c r="A156" s="5">
        <v>44437</v>
      </c>
      <c r="B156">
        <v>17.920000000000002</v>
      </c>
      <c r="C156">
        <v>18.79</v>
      </c>
      <c r="D156">
        <v>17.18</v>
      </c>
      <c r="E156">
        <v>18.670000000000002</v>
      </c>
      <c r="F156">
        <v>860993.82499999995</v>
      </c>
      <c r="G156">
        <v>18.670000000000002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0.8509316770186367</v>
      </c>
      <c r="Q156">
        <f t="shared" ref="Q156" si="756">F156*P156</f>
        <v>732646.9194099406</v>
      </c>
      <c r="R156">
        <f t="shared" ref="R156" si="757">R157+Q156</f>
        <v>-2846422.2170511237</v>
      </c>
      <c r="S156">
        <f t="shared" ref="S156" si="758">R156/100000</f>
        <v>-28.464222170511238</v>
      </c>
      <c r="T156">
        <f t="shared" ref="T156" si="759">S156/1000</f>
        <v>-2.8464222170511238E-2</v>
      </c>
    </row>
    <row r="157" spans="1:20" x14ac:dyDescent="0.25">
      <c r="A157" s="5">
        <v>44436</v>
      </c>
      <c r="B157">
        <v>17.23</v>
      </c>
      <c r="C157">
        <v>18.2</v>
      </c>
      <c r="D157">
        <v>16.149999999999999</v>
      </c>
      <c r="E157">
        <v>17.920000000000002</v>
      </c>
      <c r="F157">
        <v>998514.79500000004</v>
      </c>
      <c r="G157">
        <v>17.920000000000002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0.72682926829268535</v>
      </c>
      <c r="Q157">
        <f t="shared" ref="Q157" si="761">F157*P157</f>
        <v>725749.77782927069</v>
      </c>
      <c r="R157">
        <f t="shared" ref="R157" si="762">R158+Q157</f>
        <v>-3579069.1364610642</v>
      </c>
      <c r="S157">
        <f t="shared" ref="S157" si="763">R157/100000</f>
        <v>-35.790691364610645</v>
      </c>
      <c r="T157">
        <f t="shared" ref="T157" si="764">S157/1000</f>
        <v>-3.5790691364610647E-2</v>
      </c>
    </row>
    <row r="158" spans="1:20" x14ac:dyDescent="0.25">
      <c r="A158" s="5">
        <v>44435</v>
      </c>
      <c r="B158">
        <v>16.850000000000001</v>
      </c>
      <c r="C158">
        <v>17.809999999999999</v>
      </c>
      <c r="D158">
        <v>16.27</v>
      </c>
      <c r="E158">
        <v>17.23</v>
      </c>
      <c r="F158">
        <v>1036138.166</v>
      </c>
      <c r="G158">
        <v>17.23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0.24675324675324856</v>
      </c>
      <c r="Q158">
        <f t="shared" ref="Q158" si="766">F158*P158</f>
        <v>255670.4565454564</v>
      </c>
      <c r="R158">
        <f t="shared" ref="R158" si="767">R159+Q158</f>
        <v>-4304818.914290335</v>
      </c>
      <c r="S158">
        <f t="shared" ref="S158" si="768">R158/100000</f>
        <v>-43.048189142903347</v>
      </c>
      <c r="T158">
        <f t="shared" ref="T158" si="769">S158/1000</f>
        <v>-4.3048189142903349E-2</v>
      </c>
    </row>
    <row r="159" spans="1:20" x14ac:dyDescent="0.25">
      <c r="A159" s="5">
        <v>44434</v>
      </c>
      <c r="B159">
        <v>18.256</v>
      </c>
      <c r="C159">
        <v>18.440000000000001</v>
      </c>
      <c r="D159">
        <v>15.04</v>
      </c>
      <c r="E159">
        <v>16.86</v>
      </c>
      <c r="F159">
        <v>1117982.9680000001</v>
      </c>
      <c r="G159">
        <v>16.86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7.0588235294117146E-2</v>
      </c>
      <c r="Q159">
        <f t="shared" ref="Q159" si="771">F159*P159</f>
        <v>78916.444799999445</v>
      </c>
      <c r="R159">
        <f t="shared" ref="R159" si="772">R160+Q159</f>
        <v>-4560489.3708357913</v>
      </c>
      <c r="S159">
        <f t="shared" ref="S159" si="773">R159/100000</f>
        <v>-45.604893708357913</v>
      </c>
      <c r="T159">
        <f t="shared" ref="T159" si="774">S159/1000</f>
        <v>-4.5604893708357915E-2</v>
      </c>
    </row>
    <row r="160" spans="1:20" x14ac:dyDescent="0.25">
      <c r="A160" s="5">
        <v>44433</v>
      </c>
      <c r="B160">
        <v>16.902999999999999</v>
      </c>
      <c r="C160">
        <v>18.544</v>
      </c>
      <c r="D160">
        <v>16.343</v>
      </c>
      <c r="E160">
        <v>18.257000000000001</v>
      </c>
      <c r="F160">
        <v>1224875.341</v>
      </c>
      <c r="G160">
        <v>18.257000000000001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0.73920945024988738</v>
      </c>
      <c r="Q160">
        <f t="shared" ref="Q160" si="776">F160*P160</f>
        <v>905439.42744525336</v>
      </c>
      <c r="R160">
        <f t="shared" ref="R160" si="777">R161+Q160</f>
        <v>-4639405.815635791</v>
      </c>
      <c r="S160">
        <f t="shared" ref="S160" si="778">R160/100000</f>
        <v>-46.394058156357907</v>
      </c>
      <c r="T160">
        <f t="shared" ref="T160" si="779">S160/1000</f>
        <v>-4.6394058156357908E-2</v>
      </c>
    </row>
    <row r="161" spans="1:20" x14ac:dyDescent="0.25">
      <c r="A161" s="5">
        <v>44432</v>
      </c>
      <c r="B161">
        <v>17.577000000000002</v>
      </c>
      <c r="C161">
        <v>18.041</v>
      </c>
      <c r="D161">
        <v>15.6</v>
      </c>
      <c r="E161">
        <v>16.895</v>
      </c>
      <c r="F161">
        <v>805764.80200000003</v>
      </c>
      <c r="G161">
        <v>16.895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6.1040557148709172E-2</v>
      </c>
      <c r="Q161">
        <f t="shared" ref="Q161" si="781">F161*P161</f>
        <v>49184.33244489933</v>
      </c>
      <c r="R161">
        <f t="shared" ref="R161" si="782">R162+Q161</f>
        <v>-5544845.2430810444</v>
      </c>
      <c r="S161">
        <f t="shared" ref="S161" si="783">R161/100000</f>
        <v>-55.448452430810441</v>
      </c>
      <c r="T161">
        <f t="shared" ref="T161" si="784">S161/1000</f>
        <v>-5.5448452430810438E-2</v>
      </c>
    </row>
    <row r="162" spans="1:20" x14ac:dyDescent="0.25">
      <c r="A162" s="5">
        <v>44431</v>
      </c>
      <c r="B162">
        <v>17.166</v>
      </c>
      <c r="C162">
        <v>19</v>
      </c>
      <c r="D162">
        <v>16.895</v>
      </c>
      <c r="E162">
        <v>17.562999999999999</v>
      </c>
      <c r="F162">
        <v>745825.32499999995</v>
      </c>
      <c r="G162">
        <v>17.562999999999999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-0.36532066508313621</v>
      </c>
      <c r="Q162">
        <f t="shared" ref="Q162" si="786">F162*P162</f>
        <v>-272465.40376484621</v>
      </c>
      <c r="R162">
        <f t="shared" ref="R162" si="787">R163+Q162</f>
        <v>-5594029.5755259441</v>
      </c>
      <c r="S162">
        <f t="shared" ref="S162" si="788">R162/100000</f>
        <v>-55.940295755259442</v>
      </c>
      <c r="T162">
        <f t="shared" ref="T162" si="789">S162/1000</f>
        <v>-5.5940295755259439E-2</v>
      </c>
    </row>
    <row r="163" spans="1:20" x14ac:dyDescent="0.25">
      <c r="A163" s="5">
        <v>44430</v>
      </c>
      <c r="B163">
        <v>18.195</v>
      </c>
      <c r="C163">
        <v>18.3</v>
      </c>
      <c r="D163">
        <v>17.635999999999999</v>
      </c>
      <c r="E163">
        <v>17.863</v>
      </c>
      <c r="F163">
        <v>127427.996</v>
      </c>
      <c r="G163">
        <v>17.863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-0.31626506024096446</v>
      </c>
      <c r="Q163">
        <f t="shared" ref="Q163" si="791">F163*P163</f>
        <v>-40301.022831325376</v>
      </c>
      <c r="R163">
        <f t="shared" ref="R163" si="792">R164+Q163</f>
        <v>-5321564.1717610983</v>
      </c>
      <c r="S163">
        <f t="shared" ref="S163" si="793">R163/100000</f>
        <v>-53.215641717610985</v>
      </c>
      <c r="T163">
        <f t="shared" ref="T163" si="794">S163/1000</f>
        <v>-5.3215641717610986E-2</v>
      </c>
    </row>
    <row r="164" spans="1:20" x14ac:dyDescent="0.25">
      <c r="A164" s="5">
        <v>44429</v>
      </c>
      <c r="B164">
        <v>18.827999999999999</v>
      </c>
      <c r="C164">
        <v>19.937999999999999</v>
      </c>
      <c r="D164">
        <v>17.495999999999999</v>
      </c>
      <c r="E164">
        <v>18.186</v>
      </c>
      <c r="F164">
        <v>1098336.855</v>
      </c>
      <c r="G164">
        <v>18.186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-0.43488943488943388</v>
      </c>
      <c r="Q164">
        <f t="shared" ref="Q164" si="796">F164*P164</f>
        <v>-477655.09418918809</v>
      </c>
      <c r="R164">
        <f t="shared" ref="R164" si="797">R165+Q164</f>
        <v>-5281263.1489297729</v>
      </c>
      <c r="S164">
        <f t="shared" ref="S164" si="798">R164/100000</f>
        <v>-52.812631489297729</v>
      </c>
      <c r="T164">
        <f t="shared" ref="T164" si="799">S164/1000</f>
        <v>-5.2812631489297726E-2</v>
      </c>
    </row>
    <row r="165" spans="1:20" x14ac:dyDescent="0.25">
      <c r="A165" s="5">
        <v>44428</v>
      </c>
      <c r="B165">
        <v>18.835999999999999</v>
      </c>
      <c r="C165">
        <v>19.600000000000001</v>
      </c>
      <c r="D165">
        <v>17.858000000000001</v>
      </c>
      <c r="E165">
        <v>18.814</v>
      </c>
      <c r="F165">
        <v>1411907.172</v>
      </c>
      <c r="G165">
        <v>18.814</v>
      </c>
      <c r="L165" t="s">
        <v>7</v>
      </c>
      <c r="M165" t="s">
        <v>8</v>
      </c>
      <c r="N165" t="s">
        <v>8</v>
      </c>
      <c r="P165">
        <f t="shared" ref="P165" si="800">IF(C165=D165,0,((E165-D165)-(C165-E165))/(C165-D165))</f>
        <v>9.7588978185992006E-2</v>
      </c>
      <c r="Q165">
        <f t="shared" ref="Q165" si="801">F165*P165</f>
        <v>137786.57820895367</v>
      </c>
      <c r="R165">
        <f t="shared" ref="R165" si="802">R166+Q165</f>
        <v>-4803608.0547405845</v>
      </c>
      <c r="S165">
        <f t="shared" ref="S165" si="803">R165/100000</f>
        <v>-48.036080547405845</v>
      </c>
      <c r="T165">
        <f t="shared" ref="T165" si="804">S165/1000</f>
        <v>-4.8036080547405845E-2</v>
      </c>
    </row>
    <row r="166" spans="1:20" x14ac:dyDescent="0.25">
      <c r="A166" s="5">
        <v>44427</v>
      </c>
      <c r="B166">
        <v>16.260999999999999</v>
      </c>
      <c r="C166">
        <v>20</v>
      </c>
      <c r="D166">
        <v>16.260999999999999</v>
      </c>
      <c r="E166">
        <v>18.817</v>
      </c>
      <c r="F166">
        <v>3086585.4389999998</v>
      </c>
      <c r="G166">
        <v>18.817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0.36721048408665441</v>
      </c>
      <c r="Q166">
        <f t="shared" ref="Q166" si="806">F166*P166</f>
        <v>1133426.5332300086</v>
      </c>
      <c r="R166">
        <f t="shared" ref="R166" si="807">R167+Q166</f>
        <v>-4941394.6329495385</v>
      </c>
      <c r="S166">
        <f t="shared" ref="S166" si="808">R166/100000</f>
        <v>-49.413946329495388</v>
      </c>
      <c r="T166">
        <f t="shared" ref="T166" si="809">S166/1000</f>
        <v>-4.941394632949539E-2</v>
      </c>
    </row>
    <row r="167" spans="1:20" x14ac:dyDescent="0.25">
      <c r="A167" s="5">
        <v>44426</v>
      </c>
      <c r="B167">
        <v>14.834</v>
      </c>
      <c r="C167">
        <v>16.46</v>
      </c>
      <c r="D167">
        <v>14</v>
      </c>
      <c r="E167">
        <v>16.268000000000001</v>
      </c>
      <c r="F167">
        <v>1475103.1510000001</v>
      </c>
      <c r="G167">
        <v>16.268000000000001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0.84390243902439011</v>
      </c>
      <c r="Q167">
        <f t="shared" ref="Q167" si="811">F167*P167</f>
        <v>1244843.1469414632</v>
      </c>
      <c r="R167">
        <f t="shared" ref="R167" si="812">R168+Q167</f>
        <v>-6074821.1661795471</v>
      </c>
      <c r="S167">
        <f t="shared" ref="S167" si="813">R167/100000</f>
        <v>-60.748211661795473</v>
      </c>
      <c r="T167">
        <f t="shared" ref="T167" si="814">S167/1000</f>
        <v>-6.0748211661795476E-2</v>
      </c>
    </row>
    <row r="168" spans="1:20" x14ac:dyDescent="0.25">
      <c r="A168" s="5">
        <v>44425</v>
      </c>
      <c r="B168">
        <v>14.343</v>
      </c>
      <c r="C168">
        <v>17.079999999999998</v>
      </c>
      <c r="D168">
        <v>13.964</v>
      </c>
      <c r="E168">
        <v>14.834</v>
      </c>
      <c r="F168">
        <v>2081914.246</v>
      </c>
      <c r="G168">
        <v>14.834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-0.44159178433889612</v>
      </c>
      <c r="Q168">
        <f t="shared" ref="Q168" si="816">F168*P168</f>
        <v>-919356.22673170757</v>
      </c>
      <c r="R168">
        <f t="shared" ref="R168" si="817">R169+Q168</f>
        <v>-7319664.3131210105</v>
      </c>
      <c r="S168">
        <f t="shared" ref="S168" si="818">R168/100000</f>
        <v>-73.196643131210109</v>
      </c>
      <c r="T168">
        <f t="shared" ref="T168" si="819">S168/1000</f>
        <v>-7.3196643131210104E-2</v>
      </c>
    </row>
    <row r="169" spans="1:20" x14ac:dyDescent="0.25">
      <c r="A169" s="5">
        <v>44424</v>
      </c>
      <c r="B169">
        <v>14.692</v>
      </c>
      <c r="C169">
        <v>15.157999999999999</v>
      </c>
      <c r="D169">
        <v>13.759</v>
      </c>
      <c r="E169">
        <v>14.343</v>
      </c>
      <c r="F169">
        <v>918722.12100000004</v>
      </c>
      <c r="G169">
        <v>14.343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-0.1651179413867048</v>
      </c>
      <c r="Q169">
        <f t="shared" ref="Q169" si="821">F169*P169</f>
        <v>-151697.50532594713</v>
      </c>
      <c r="R169">
        <f t="shared" ref="R169" si="822">R170+Q169</f>
        <v>-6400308.0863893032</v>
      </c>
      <c r="S169">
        <f t="shared" ref="S169" si="823">R169/100000</f>
        <v>-64.003080863893032</v>
      </c>
      <c r="T169">
        <f t="shared" ref="T169" si="824">S169/1000</f>
        <v>-6.400308086389303E-2</v>
      </c>
    </row>
    <row r="170" spans="1:20" x14ac:dyDescent="0.25">
      <c r="A170" s="5">
        <v>44423</v>
      </c>
      <c r="B170">
        <v>14.743</v>
      </c>
      <c r="C170">
        <v>14.893000000000001</v>
      </c>
      <c r="D170">
        <v>13.462</v>
      </c>
      <c r="E170">
        <v>14.683</v>
      </c>
      <c r="F170">
        <v>739130.96100000001</v>
      </c>
      <c r="G170">
        <v>14.683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0.70649895178196964</v>
      </c>
      <c r="Q170">
        <f t="shared" ref="Q170" si="826">F170*P170</f>
        <v>522195.2491760999</v>
      </c>
      <c r="R170">
        <f t="shared" ref="R170" si="827">R171+Q170</f>
        <v>-6248610.5810633563</v>
      </c>
      <c r="S170">
        <f t="shared" ref="S170" si="828">R170/100000</f>
        <v>-62.486105810633561</v>
      </c>
      <c r="T170">
        <f t="shared" ref="T170" si="829">S170/1000</f>
        <v>-6.248610581063356E-2</v>
      </c>
    </row>
    <row r="171" spans="1:20" x14ac:dyDescent="0.25">
      <c r="A171" s="5">
        <v>44422</v>
      </c>
      <c r="B171">
        <v>15.79</v>
      </c>
      <c r="C171">
        <v>15.895</v>
      </c>
      <c r="D171">
        <v>14.436999999999999</v>
      </c>
      <c r="E171">
        <v>14.762</v>
      </c>
      <c r="F171">
        <v>496376.55599999998</v>
      </c>
      <c r="G171">
        <v>14.762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-0.55418381344307133</v>
      </c>
      <c r="Q171">
        <f t="shared" ref="Q171" si="831">F171*P171</f>
        <v>-275083.85270781821</v>
      </c>
      <c r="R171">
        <f t="shared" ref="R171" si="832">R172+Q171</f>
        <v>-6770805.8302394561</v>
      </c>
      <c r="S171">
        <f t="shared" ref="S171" si="833">R171/100000</f>
        <v>-67.708058302394562</v>
      </c>
      <c r="T171">
        <f t="shared" ref="T171" si="834">S171/1000</f>
        <v>-6.7708058302394555E-2</v>
      </c>
    </row>
    <row r="172" spans="1:20" x14ac:dyDescent="0.25">
      <c r="A172" s="5">
        <v>44421</v>
      </c>
      <c r="B172">
        <v>15.074999999999999</v>
      </c>
      <c r="C172">
        <v>16.192</v>
      </c>
      <c r="D172">
        <v>14.752000000000001</v>
      </c>
      <c r="E172">
        <v>15.794</v>
      </c>
      <c r="F172">
        <v>763946.36600000004</v>
      </c>
      <c r="G172">
        <v>15.794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0.44722222222222247</v>
      </c>
      <c r="Q172">
        <f t="shared" ref="Q172" si="836">F172*P172</f>
        <v>341653.79146111134</v>
      </c>
      <c r="R172">
        <f t="shared" ref="R172" si="837">R173+Q172</f>
        <v>-6495721.977531638</v>
      </c>
      <c r="S172">
        <f t="shared" ref="S172" si="838">R172/100000</f>
        <v>-64.957219775316375</v>
      </c>
      <c r="T172">
        <f t="shared" ref="T172" si="839">S172/1000</f>
        <v>-6.4957219775316377E-2</v>
      </c>
    </row>
    <row r="173" spans="1:20" x14ac:dyDescent="0.25">
      <c r="A173" s="5">
        <v>44420</v>
      </c>
      <c r="B173">
        <v>15.625999999999999</v>
      </c>
      <c r="C173">
        <v>16.489999999999998</v>
      </c>
      <c r="D173">
        <v>14.04</v>
      </c>
      <c r="E173">
        <v>15.074999999999999</v>
      </c>
      <c r="F173">
        <v>824263.21299999999</v>
      </c>
      <c r="G173">
        <v>15.074999999999999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-0.15510204081632617</v>
      </c>
      <c r="Q173">
        <f t="shared" ref="Q173" si="841">F173*P173</f>
        <v>-127844.90650612215</v>
      </c>
      <c r="R173">
        <f t="shared" ref="R173" si="842">R174+Q173</f>
        <v>-6837375.768992749</v>
      </c>
      <c r="S173">
        <f t="shared" ref="S173" si="843">R173/100000</f>
        <v>-68.373757689927487</v>
      </c>
      <c r="T173">
        <f t="shared" ref="T173" si="844">S173/1000</f>
        <v>-6.8373757689927483E-2</v>
      </c>
    </row>
    <row r="174" spans="1:20" x14ac:dyDescent="0.25">
      <c r="A174" s="5">
        <v>44419</v>
      </c>
      <c r="B174">
        <v>15.602</v>
      </c>
      <c r="C174">
        <v>17.100000000000001</v>
      </c>
      <c r="D174">
        <v>15.45</v>
      </c>
      <c r="E174">
        <v>15.629</v>
      </c>
      <c r="F174">
        <v>967406.64300000004</v>
      </c>
      <c r="G174">
        <v>15.629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-0.78303030303030297</v>
      </c>
      <c r="Q174">
        <f t="shared" ref="Q174" si="846">F174*P174</f>
        <v>-757508.71682181815</v>
      </c>
      <c r="R174">
        <f t="shared" ref="R174" si="847">R175+Q174</f>
        <v>-6709530.862486627</v>
      </c>
      <c r="S174">
        <f t="shared" ref="S174" si="848">R174/100000</f>
        <v>-67.095308624866263</v>
      </c>
      <c r="T174">
        <f t="shared" ref="T174" si="849">S174/1000</f>
        <v>-6.7095308624866262E-2</v>
      </c>
    </row>
    <row r="175" spans="1:20" x14ac:dyDescent="0.25">
      <c r="A175" s="5">
        <v>44418</v>
      </c>
      <c r="B175">
        <v>15.906000000000001</v>
      </c>
      <c r="C175">
        <v>16.076000000000001</v>
      </c>
      <c r="D175">
        <v>15.2</v>
      </c>
      <c r="E175">
        <v>15.602</v>
      </c>
      <c r="F175">
        <v>573805.60499999998</v>
      </c>
      <c r="G175">
        <v>15.602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-8.2191780821916749E-2</v>
      </c>
      <c r="Q175">
        <f t="shared" ref="Q175" si="851">F175*P175</f>
        <v>-47162.104520547335</v>
      </c>
      <c r="R175">
        <f t="shared" ref="R175" si="852">R176+Q175</f>
        <v>-5952022.1456648083</v>
      </c>
      <c r="S175">
        <f t="shared" ref="S175" si="853">R175/100000</f>
        <v>-59.520221456648081</v>
      </c>
      <c r="T175">
        <f t="shared" ref="T175" si="854">S175/1000</f>
        <v>-5.9520221456648079E-2</v>
      </c>
    </row>
    <row r="176" spans="1:20" x14ac:dyDescent="0.25">
      <c r="A176" s="5">
        <v>44417</v>
      </c>
      <c r="B176">
        <v>14.481999999999999</v>
      </c>
      <c r="C176">
        <v>16.495999999999999</v>
      </c>
      <c r="D176">
        <v>13.54</v>
      </c>
      <c r="E176">
        <v>15.906000000000001</v>
      </c>
      <c r="F176">
        <v>1023765.4570000001</v>
      </c>
      <c r="G176">
        <v>15.906000000000001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0.60081190798376305</v>
      </c>
      <c r="Q176">
        <f t="shared" ref="Q176" si="856">F176*P176</f>
        <v>615090.47754803917</v>
      </c>
      <c r="R176">
        <f t="shared" ref="R176" si="857">R177+Q176</f>
        <v>-5904860.0411442611</v>
      </c>
      <c r="S176">
        <f t="shared" ref="S176" si="858">R176/100000</f>
        <v>-59.048600411442614</v>
      </c>
      <c r="T176">
        <f t="shared" ref="T176" si="859">S176/1000</f>
        <v>-5.9048600411442616E-2</v>
      </c>
    </row>
    <row r="177" spans="1:20" x14ac:dyDescent="0.25">
      <c r="A177" s="5">
        <v>44416</v>
      </c>
      <c r="B177">
        <v>16.003</v>
      </c>
      <c r="C177">
        <v>16.672000000000001</v>
      </c>
      <c r="D177">
        <v>14.055</v>
      </c>
      <c r="E177">
        <v>14.481999999999999</v>
      </c>
      <c r="F177">
        <v>770307.60199999996</v>
      </c>
      <c r="G177">
        <v>14.481999999999999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-0.67367214367596528</v>
      </c>
      <c r="Q177">
        <f t="shared" ref="Q177" si="861">F177*P177</f>
        <v>-518934.77352923225</v>
      </c>
      <c r="R177">
        <f t="shared" ref="R177" si="862">R178+Q177</f>
        <v>-6519950.5186923007</v>
      </c>
      <c r="S177">
        <f t="shared" ref="S177" si="863">R177/100000</f>
        <v>-65.199505186923005</v>
      </c>
      <c r="T177">
        <f t="shared" ref="T177" si="864">S177/1000</f>
        <v>-6.519950518692301E-2</v>
      </c>
    </row>
    <row r="178" spans="1:20" x14ac:dyDescent="0.25">
      <c r="A178" s="5">
        <v>44415</v>
      </c>
      <c r="B178">
        <v>15.657999999999999</v>
      </c>
      <c r="C178">
        <v>16.895</v>
      </c>
      <c r="D178">
        <v>15.481</v>
      </c>
      <c r="E178">
        <v>15.98</v>
      </c>
      <c r="F178">
        <v>584671.88100000005</v>
      </c>
      <c r="G178">
        <v>15.98</v>
      </c>
      <c r="L178" t="s">
        <v>8</v>
      </c>
      <c r="M178" t="s">
        <v>7</v>
      </c>
      <c r="N178" t="s">
        <v>8</v>
      </c>
      <c r="P178">
        <f t="shared" ref="P178" si="865">IF(C178=D178,0,((E178-D178)-(C178-E178))/(C178-D178))</f>
        <v>-0.29420084865629326</v>
      </c>
      <c r="Q178">
        <f t="shared" ref="Q178" si="866">F178*P178</f>
        <v>-172010.96357567131</v>
      </c>
      <c r="R178">
        <f t="shared" ref="R178" si="867">R179+Q178</f>
        <v>-6001015.7451630682</v>
      </c>
      <c r="S178">
        <f t="shared" ref="S178" si="868">R178/100000</f>
        <v>-60.010157451630683</v>
      </c>
      <c r="T178">
        <f t="shared" ref="T178" si="869">S178/1000</f>
        <v>-6.0010157451630686E-2</v>
      </c>
    </row>
    <row r="179" spans="1:20" x14ac:dyDescent="0.25">
      <c r="A179" s="5">
        <v>44414</v>
      </c>
      <c r="B179">
        <v>15.925000000000001</v>
      </c>
      <c r="C179">
        <v>16.204000000000001</v>
      </c>
      <c r="D179">
        <v>14.885999999999999</v>
      </c>
      <c r="E179">
        <v>15.657999999999999</v>
      </c>
      <c r="F179">
        <v>857223.95299999998</v>
      </c>
      <c r="G179">
        <v>15.657999999999999</v>
      </c>
      <c r="L179" t="s">
        <v>7</v>
      </c>
      <c r="M179" t="s">
        <v>7</v>
      </c>
      <c r="N179" t="s">
        <v>8</v>
      </c>
      <c r="P179">
        <f t="shared" ref="P179" si="870">IF(C179=D179,0,((E179-D179)-(C179-E179))/(C179-D179))</f>
        <v>0.17147192716236634</v>
      </c>
      <c r="Q179">
        <f t="shared" ref="Q179" si="871">F179*P179</f>
        <v>146989.84323065175</v>
      </c>
      <c r="R179">
        <f t="shared" ref="R179" si="872">R180+Q179</f>
        <v>-5829004.7815873967</v>
      </c>
      <c r="S179">
        <f t="shared" ref="S179" si="873">R179/100000</f>
        <v>-58.290047815873969</v>
      </c>
      <c r="T179">
        <f t="shared" ref="T179" si="874">S179/1000</f>
        <v>-5.829004781587397E-2</v>
      </c>
    </row>
    <row r="180" spans="1:20" x14ac:dyDescent="0.25">
      <c r="A180" s="5">
        <v>44413</v>
      </c>
      <c r="B180">
        <v>16.975999999999999</v>
      </c>
      <c r="C180">
        <v>17.076000000000001</v>
      </c>
      <c r="D180">
        <v>15.25</v>
      </c>
      <c r="E180">
        <v>15.949</v>
      </c>
      <c r="F180">
        <v>882449.15700000001</v>
      </c>
      <c r="G180">
        <v>15.949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-0.23439211391018658</v>
      </c>
      <c r="Q180">
        <f t="shared" ref="Q180" si="876">F180*P180</f>
        <v>-206839.12332749213</v>
      </c>
      <c r="R180">
        <f t="shared" ref="R180" si="877">R181+Q180</f>
        <v>-5975994.6248180484</v>
      </c>
      <c r="S180">
        <f t="shared" ref="S180" si="878">R180/100000</f>
        <v>-59.759946248180484</v>
      </c>
      <c r="T180">
        <f t="shared" ref="T180" si="879">S180/1000</f>
        <v>-5.9759946248180484E-2</v>
      </c>
    </row>
    <row r="181" spans="1:20" x14ac:dyDescent="0.25">
      <c r="A181" s="5">
        <v>44412</v>
      </c>
      <c r="B181">
        <v>15.925000000000001</v>
      </c>
      <c r="C181">
        <v>17.899999999999999</v>
      </c>
      <c r="D181">
        <v>15.555999999999999</v>
      </c>
      <c r="E181">
        <v>16.977</v>
      </c>
      <c r="F181">
        <v>1317730.2690000001</v>
      </c>
      <c r="G181">
        <v>16.977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0.21245733788396032</v>
      </c>
      <c r="Q181">
        <f t="shared" ref="Q181" si="881">F181*P181</f>
        <v>279961.46500085492</v>
      </c>
      <c r="R181">
        <f t="shared" ref="R181" si="882">R182+Q181</f>
        <v>-5769155.5014905566</v>
      </c>
      <c r="S181">
        <f t="shared" ref="S181" si="883">R181/100000</f>
        <v>-57.691555014905568</v>
      </c>
      <c r="T181">
        <f t="shared" ref="T181" si="884">S181/1000</f>
        <v>-5.7691555014905568E-2</v>
      </c>
    </row>
    <row r="182" spans="1:20" x14ac:dyDescent="0.25">
      <c r="A182" s="5">
        <v>44411</v>
      </c>
      <c r="B182">
        <v>14.28</v>
      </c>
      <c r="C182">
        <v>17.399999999999999</v>
      </c>
      <c r="D182">
        <v>14.041</v>
      </c>
      <c r="E182">
        <v>15.923</v>
      </c>
      <c r="F182">
        <v>1576826.946</v>
      </c>
      <c r="G182">
        <v>15.923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0.12057159869008674</v>
      </c>
      <c r="Q182">
        <f t="shared" ref="Q182" si="886">F182*P182</f>
        <v>190120.54573682707</v>
      </c>
      <c r="R182">
        <f t="shared" ref="R182" si="887">R183+Q182</f>
        <v>-6049116.9664914114</v>
      </c>
      <c r="S182">
        <f t="shared" ref="S182" si="888">R182/100000</f>
        <v>-60.491169664914118</v>
      </c>
      <c r="T182">
        <f t="shared" ref="T182" si="889">S182/1000</f>
        <v>-6.0491169664914121E-2</v>
      </c>
    </row>
    <row r="183" spans="1:20" x14ac:dyDescent="0.25">
      <c r="A183" s="5">
        <v>44410</v>
      </c>
      <c r="B183">
        <v>13.926</v>
      </c>
      <c r="C183">
        <v>14.651999999999999</v>
      </c>
      <c r="D183">
        <v>13.7</v>
      </c>
      <c r="E183">
        <v>14.285</v>
      </c>
      <c r="F183">
        <v>548454.50699999998</v>
      </c>
      <c r="G183">
        <v>14.285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0.22899159663865731</v>
      </c>
      <c r="Q183">
        <f t="shared" ref="Q183" si="891">F183*P183</f>
        <v>125591.47324159765</v>
      </c>
      <c r="R183">
        <f t="shared" ref="R183" si="892">R184+Q183</f>
        <v>-6239237.5122282384</v>
      </c>
      <c r="S183">
        <f t="shared" ref="S183" si="893">R183/100000</f>
        <v>-62.392375122282381</v>
      </c>
      <c r="T183">
        <f t="shared" ref="T183" si="894">S183/1000</f>
        <v>-6.2392375122282379E-2</v>
      </c>
    </row>
    <row r="184" spans="1:20" x14ac:dyDescent="0.25">
      <c r="A184" s="5">
        <v>44409</v>
      </c>
      <c r="B184">
        <v>14.763</v>
      </c>
      <c r="C184">
        <v>15.9</v>
      </c>
      <c r="D184">
        <v>13.763999999999999</v>
      </c>
      <c r="E184">
        <v>13.936999999999999</v>
      </c>
      <c r="F184">
        <v>836436.71499999997</v>
      </c>
      <c r="G184">
        <v>13.936999999999999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-0.83801498127340823</v>
      </c>
      <c r="Q184">
        <f t="shared" ref="Q184" si="896">F184*P184</f>
        <v>-700946.49805711606</v>
      </c>
      <c r="R184">
        <f t="shared" ref="R184" si="897">R185+Q184</f>
        <v>-6364828.9854698358</v>
      </c>
      <c r="S184">
        <f t="shared" ref="S184" si="898">R184/100000</f>
        <v>-63.648289854698355</v>
      </c>
      <c r="T184">
        <f t="shared" ref="T184" si="899">S184/1000</f>
        <v>-6.3648289854698351E-2</v>
      </c>
    </row>
    <row r="185" spans="1:20" x14ac:dyDescent="0.25">
      <c r="A185" s="5">
        <v>44408</v>
      </c>
      <c r="B185">
        <v>14.701000000000001</v>
      </c>
      <c r="C185">
        <v>15.587999999999999</v>
      </c>
      <c r="D185">
        <v>14.084</v>
      </c>
      <c r="E185">
        <v>14.763</v>
      </c>
      <c r="F185">
        <v>902166.69900000002</v>
      </c>
      <c r="G185">
        <v>14.763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-9.7074468085105753E-2</v>
      </c>
      <c r="Q185">
        <f t="shared" ref="Q185" si="901">F185*P185</f>
        <v>-87577.352429520717</v>
      </c>
      <c r="R185">
        <f t="shared" ref="R185" si="902">R186+Q185</f>
        <v>-5663882.48741272</v>
      </c>
      <c r="S185">
        <f t="shared" ref="S185" si="903">R185/100000</f>
        <v>-56.638824874127202</v>
      </c>
      <c r="T185">
        <f t="shared" ref="T185" si="904">S185/1000</f>
        <v>-5.6638824874127205E-2</v>
      </c>
    </row>
    <row r="186" spans="1:20" x14ac:dyDescent="0.25">
      <c r="A186" s="5">
        <v>44407</v>
      </c>
      <c r="B186">
        <v>13.733000000000001</v>
      </c>
      <c r="C186">
        <v>16.2</v>
      </c>
      <c r="D186">
        <v>13.097</v>
      </c>
      <c r="E186">
        <v>14.7</v>
      </c>
      <c r="F186">
        <v>2743494.281</v>
      </c>
      <c r="G186">
        <v>14.7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3.3193683532065671E-2</v>
      </c>
      <c r="Q186">
        <f t="shared" ref="Q186" si="906">F186*P186</f>
        <v>91066.680935546043</v>
      </c>
      <c r="R186">
        <f t="shared" ref="R186" si="907">R187+Q186</f>
        <v>-5576305.1349831996</v>
      </c>
      <c r="S186">
        <f t="shared" ref="S186" si="908">R186/100000</f>
        <v>-55.763051349831997</v>
      </c>
      <c r="T186">
        <f t="shared" ref="T186" si="909">S186/1000</f>
        <v>-5.5763051349831998E-2</v>
      </c>
    </row>
    <row r="187" spans="1:20" x14ac:dyDescent="0.25">
      <c r="A187" s="5">
        <v>44406</v>
      </c>
      <c r="B187">
        <v>10.726000000000001</v>
      </c>
      <c r="C187">
        <v>14.372999999999999</v>
      </c>
      <c r="D187">
        <v>10.516999999999999</v>
      </c>
      <c r="E187">
        <v>13.733000000000001</v>
      </c>
      <c r="F187">
        <v>2608738.6979999999</v>
      </c>
      <c r="G187">
        <v>13.733000000000001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0.66804979253112096</v>
      </c>
      <c r="Q187">
        <f t="shared" ref="Q187" si="911">F187*P187</f>
        <v>1742767.3459668064</v>
      </c>
      <c r="R187">
        <f t="shared" ref="R187" si="912">R188+Q187</f>
        <v>-5667371.8159187455</v>
      </c>
      <c r="S187">
        <f t="shared" ref="S187" si="913">R187/100000</f>
        <v>-56.673718159187452</v>
      </c>
      <c r="T187">
        <f t="shared" ref="T187" si="914">S187/1000</f>
        <v>-5.6673718159187453E-2</v>
      </c>
    </row>
    <row r="188" spans="1:20" x14ac:dyDescent="0.25">
      <c r="A188" s="5">
        <v>44405</v>
      </c>
      <c r="B188">
        <v>9.9570000000000007</v>
      </c>
      <c r="C188">
        <v>11.5</v>
      </c>
      <c r="D188">
        <v>9.5939999999999994</v>
      </c>
      <c r="E188">
        <v>10.709</v>
      </c>
      <c r="F188">
        <v>1284709.8459999999</v>
      </c>
      <c r="G188">
        <v>10.709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0.16998950682056649</v>
      </c>
      <c r="Q188">
        <f t="shared" ref="Q188" si="916">F188*P188</f>
        <v>218387.19312906591</v>
      </c>
      <c r="R188">
        <f t="shared" ref="R188" si="917">R189+Q188</f>
        <v>-7410139.1618855521</v>
      </c>
      <c r="S188">
        <f t="shared" ref="S188" si="918">R188/100000</f>
        <v>-74.101391618855516</v>
      </c>
      <c r="T188">
        <f t="shared" ref="T188" si="919">S188/1000</f>
        <v>-7.4101391618855511E-2</v>
      </c>
    </row>
    <row r="189" spans="1:20" x14ac:dyDescent="0.25">
      <c r="A189" s="5">
        <v>44404</v>
      </c>
      <c r="B189">
        <v>9.9830000000000005</v>
      </c>
      <c r="C189">
        <v>10.438000000000001</v>
      </c>
      <c r="D189">
        <v>8.9</v>
      </c>
      <c r="E189">
        <v>9.9469999999999992</v>
      </c>
      <c r="F189">
        <v>1363286.5419999999</v>
      </c>
      <c r="G189">
        <v>9.9469999999999992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0.36150845253575897</v>
      </c>
      <c r="Q189">
        <f t="shared" ref="Q189" si="921">F189*P189</f>
        <v>492839.60816124594</v>
      </c>
      <c r="R189">
        <f t="shared" ref="R189" si="922">R190+Q189</f>
        <v>-7628526.3550146185</v>
      </c>
      <c r="S189">
        <f t="shared" ref="S189" si="923">R189/100000</f>
        <v>-76.285263550146183</v>
      </c>
      <c r="T189">
        <f t="shared" ref="T189" si="924">S189/1000</f>
        <v>-7.6285263550146185E-2</v>
      </c>
    </row>
    <row r="190" spans="1:20" x14ac:dyDescent="0.25">
      <c r="A190" s="5">
        <v>44403</v>
      </c>
      <c r="B190">
        <v>9.1549999999999994</v>
      </c>
      <c r="C190">
        <v>11.276</v>
      </c>
      <c r="D190">
        <v>9.1140000000000008</v>
      </c>
      <c r="E190">
        <v>9.9830000000000005</v>
      </c>
      <c r="F190">
        <v>1147341.882</v>
      </c>
      <c r="G190">
        <v>9.9830000000000005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-0.19611470860314509</v>
      </c>
      <c r="Q190">
        <f t="shared" ref="Q190" si="926">F190*P190</f>
        <v>-225010.61885661408</v>
      </c>
      <c r="R190">
        <f t="shared" ref="R190" si="927">R191+Q190</f>
        <v>-8121365.9631758649</v>
      </c>
      <c r="S190">
        <f t="shared" ref="S190" si="928">R190/100000</f>
        <v>-81.213659631758645</v>
      </c>
      <c r="T190">
        <f t="shared" ref="T190" si="929">S190/1000</f>
        <v>-8.1213659631758639E-2</v>
      </c>
    </row>
    <row r="191" spans="1:20" x14ac:dyDescent="0.25">
      <c r="A191" s="5">
        <v>44402</v>
      </c>
      <c r="B191">
        <v>9.2509999999999994</v>
      </c>
      <c r="C191">
        <v>9.3040000000000003</v>
      </c>
      <c r="D191">
        <v>8.6430000000000007</v>
      </c>
      <c r="E191">
        <v>9.1620000000000008</v>
      </c>
      <c r="F191">
        <v>378890.35</v>
      </c>
      <c r="G191">
        <v>9.1620000000000008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0.57034795763994084</v>
      </c>
      <c r="Q191">
        <f t="shared" ref="Q191" si="931">F191*P191</f>
        <v>216099.33729198235</v>
      </c>
      <c r="R191">
        <f t="shared" ref="R191" si="932">R192+Q191</f>
        <v>-7896355.3443192504</v>
      </c>
      <c r="S191">
        <f t="shared" ref="S191" si="933">R191/100000</f>
        <v>-78.963553443192509</v>
      </c>
      <c r="T191">
        <f t="shared" ref="T191:T197" si="934">S191/1000</f>
        <v>-7.8963553443192516E-2</v>
      </c>
    </row>
    <row r="192" spans="1:20" x14ac:dyDescent="0.25">
      <c r="A192" s="5">
        <v>44401</v>
      </c>
      <c r="B192">
        <v>9.24</v>
      </c>
      <c r="C192">
        <v>9.7579999999999991</v>
      </c>
      <c r="D192">
        <v>9.0459999999999994</v>
      </c>
      <c r="E192">
        <v>9.2560000000000002</v>
      </c>
      <c r="F192">
        <v>584590.63</v>
      </c>
      <c r="G192">
        <v>9.2560000000000002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-0.41011235955055919</v>
      </c>
      <c r="Q192">
        <f t="shared" ref="Q192" si="936">F192*P192</f>
        <v>-239747.84264044793</v>
      </c>
      <c r="R192">
        <f t="shared" ref="R192" si="937">R193+Q192</f>
        <v>-8112454.6816112325</v>
      </c>
      <c r="S192">
        <f t="shared" ref="S192" si="938">R192/100000</f>
        <v>-81.124546816112328</v>
      </c>
      <c r="T192">
        <f t="shared" si="934"/>
        <v>-8.1124546816112322E-2</v>
      </c>
    </row>
    <row r="193" spans="1:20" x14ac:dyDescent="0.25">
      <c r="A193" s="5">
        <v>44400</v>
      </c>
      <c r="B193">
        <v>7.9009999999999998</v>
      </c>
      <c r="C193">
        <v>9.25</v>
      </c>
      <c r="D193">
        <v>7.8689999999999998</v>
      </c>
      <c r="E193">
        <v>9.2370000000000001</v>
      </c>
      <c r="F193">
        <v>908038.48899999994</v>
      </c>
      <c r="G193">
        <v>9.2370000000000001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0.98117306299782781</v>
      </c>
      <c r="Q193">
        <f t="shared" ref="Q193" si="940">F193*P193</f>
        <v>890942.90557204932</v>
      </c>
      <c r="R193">
        <f t="shared" ref="R193" si="941">R194+Q193</f>
        <v>-7872706.8389707841</v>
      </c>
      <c r="S193">
        <f t="shared" ref="S193" si="942">R193/100000</f>
        <v>-78.727068389707838</v>
      </c>
      <c r="T193">
        <f t="shared" si="934"/>
        <v>-7.8727068389707833E-2</v>
      </c>
    </row>
    <row r="194" spans="1:20" x14ac:dyDescent="0.25">
      <c r="A194" s="5">
        <v>44399</v>
      </c>
      <c r="B194">
        <v>7.5819999999999999</v>
      </c>
      <c r="C194">
        <v>8.1199999999999992</v>
      </c>
      <c r="D194">
        <v>7.2770000000000001</v>
      </c>
      <c r="E194">
        <v>7.9009999999999998</v>
      </c>
      <c r="F194">
        <v>717585.74899999995</v>
      </c>
      <c r="G194">
        <v>7.9009999999999998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0.48042704626334604</v>
      </c>
      <c r="Q194">
        <f t="shared" ref="Q194" si="944">F194*P194</f>
        <v>344747.60183274077</v>
      </c>
      <c r="R194">
        <f t="shared" ref="R194" si="945">R195+Q194</f>
        <v>-8763649.7445428334</v>
      </c>
      <c r="S194">
        <f t="shared" ref="S194" si="946">R194/100000</f>
        <v>-87.636497445428333</v>
      </c>
      <c r="T194">
        <f t="shared" si="934"/>
        <v>-8.7636497445428327E-2</v>
      </c>
    </row>
    <row r="195" spans="1:20" x14ac:dyDescent="0.25">
      <c r="A195" s="5">
        <v>44398</v>
      </c>
      <c r="B195">
        <v>6.8440000000000003</v>
      </c>
      <c r="C195">
        <v>8.0960000000000001</v>
      </c>
      <c r="D195">
        <v>6.7389999999999999</v>
      </c>
      <c r="E195">
        <v>7.5830000000000002</v>
      </c>
      <c r="F195">
        <v>923966.41899999999</v>
      </c>
      <c r="G195">
        <v>7.5830000000000002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0.24392041267501868</v>
      </c>
      <c r="Q195">
        <f t="shared" ref="Q195" si="948">F195*P195</f>
        <v>225374.27022033921</v>
      </c>
      <c r="R195">
        <f t="shared" ref="R195" si="949">R196+Q195</f>
        <v>-9108397.3463755734</v>
      </c>
      <c r="S195">
        <f t="shared" ref="S195" si="950">R195/100000</f>
        <v>-91.08397346375574</v>
      </c>
      <c r="T195">
        <f t="shared" si="934"/>
        <v>-9.1083973463755741E-2</v>
      </c>
    </row>
    <row r="196" spans="1:20" x14ac:dyDescent="0.25">
      <c r="A196" s="5">
        <v>44397</v>
      </c>
      <c r="B196">
        <v>6.6349999999999998</v>
      </c>
      <c r="C196">
        <v>6.94</v>
      </c>
      <c r="D196">
        <v>6.1</v>
      </c>
      <c r="E196">
        <v>6.8289999999999997</v>
      </c>
      <c r="F196">
        <v>812559.56499999994</v>
      </c>
      <c r="G196">
        <v>6.8289999999999997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0.73571428571428443</v>
      </c>
      <c r="Q196">
        <f t="shared" ref="Q196" si="952">F196*P196</f>
        <v>597811.67996428465</v>
      </c>
      <c r="R196">
        <f t="shared" ref="R196" si="953">R197+Q196</f>
        <v>-9333771.6165959127</v>
      </c>
      <c r="S196">
        <f t="shared" ref="S196" si="954">R196/100000</f>
        <v>-93.337716165959122</v>
      </c>
      <c r="T196">
        <f t="shared" si="934"/>
        <v>-9.3337716165959123E-2</v>
      </c>
    </row>
    <row r="197" spans="1:20" x14ac:dyDescent="0.25">
      <c r="A197" s="5">
        <v>44396</v>
      </c>
      <c r="B197">
        <v>7.6929999999999996</v>
      </c>
      <c r="C197">
        <v>7.8869999999999996</v>
      </c>
      <c r="D197">
        <v>6.4420000000000002</v>
      </c>
      <c r="E197">
        <v>6.6360000000000001</v>
      </c>
      <c r="F197">
        <v>865991.55700000003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-0.7314878892733564</v>
      </c>
      <c r="Q197">
        <f t="shared" ref="Q197" si="956">F197*P197</f>
        <v>-633462.33615847747</v>
      </c>
      <c r="R197">
        <f t="shared" ref="R197" si="957">R198+Q197</f>
        <v>-9931583.2965601981</v>
      </c>
      <c r="S197">
        <f t="shared" ref="S197" si="958">R197/100000</f>
        <v>-99.315832965601984</v>
      </c>
      <c r="T197">
        <f t="shared" si="934"/>
        <v>-9.931583296560198E-2</v>
      </c>
    </row>
    <row r="198" spans="1:20" x14ac:dyDescent="0.25">
      <c r="A198" s="5">
        <v>44395</v>
      </c>
      <c r="B198">
        <v>8.1679999999999993</v>
      </c>
      <c r="C198">
        <v>8.5709999999999997</v>
      </c>
      <c r="D198">
        <v>7.66</v>
      </c>
      <c r="E198">
        <v>7.68</v>
      </c>
      <c r="F198">
        <v>440822.114</v>
      </c>
      <c r="G198">
        <v>0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-0.95609220636663095</v>
      </c>
      <c r="Q198">
        <f t="shared" ref="Q198:Q261" si="960">F198*P198</f>
        <v>-421466.58758946252</v>
      </c>
      <c r="R198">
        <f t="shared" ref="R198:R261" si="961">R199+Q198</f>
        <v>-9298120.9604017213</v>
      </c>
      <c r="S198">
        <f t="shared" ref="S198:S261" si="962">R198/100000</f>
        <v>-92.981209604017209</v>
      </c>
      <c r="T198">
        <f t="shared" ref="T198:T261" si="963">S198/1000</f>
        <v>-9.2981209604017206E-2</v>
      </c>
    </row>
    <row r="199" spans="1:20" x14ac:dyDescent="0.25">
      <c r="A199" s="5">
        <v>44394</v>
      </c>
      <c r="B199">
        <v>7.45</v>
      </c>
      <c r="C199">
        <v>8.4280000000000008</v>
      </c>
      <c r="D199">
        <v>7.2169999999999996</v>
      </c>
      <c r="E199">
        <v>8.17</v>
      </c>
      <c r="F199">
        <v>474068.52899999998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0.57390586292320289</v>
      </c>
      <c r="Q199">
        <f t="shared" si="960"/>
        <v>272070.70822047844</v>
      </c>
      <c r="R199">
        <f t="shared" si="961"/>
        <v>-8876654.3728122581</v>
      </c>
      <c r="S199">
        <f t="shared" si="962"/>
        <v>-88.766543728122585</v>
      </c>
      <c r="T199">
        <f t="shared" si="963"/>
        <v>-8.8766543728122579E-2</v>
      </c>
    </row>
    <row r="200" spans="1:20" x14ac:dyDescent="0.25">
      <c r="A200" s="5">
        <v>44393</v>
      </c>
      <c r="B200">
        <v>8.0009999999999994</v>
      </c>
      <c r="C200">
        <v>8.6560000000000006</v>
      </c>
      <c r="D200">
        <v>7.4409999999999998</v>
      </c>
      <c r="E200">
        <v>7.452</v>
      </c>
      <c r="F200">
        <v>636503.93400000001</v>
      </c>
      <c r="G200">
        <v>0</v>
      </c>
      <c r="L200" t="s">
        <v>8</v>
      </c>
      <c r="M200" t="s">
        <v>8</v>
      </c>
      <c r="N200" t="s">
        <v>7</v>
      </c>
      <c r="P200">
        <f t="shared" si="959"/>
        <v>-0.98189300411522618</v>
      </c>
      <c r="Q200">
        <f t="shared" si="960"/>
        <v>-624978.75988641963</v>
      </c>
      <c r="R200">
        <f t="shared" si="961"/>
        <v>-9148725.0810327362</v>
      </c>
      <c r="S200">
        <f t="shared" si="962"/>
        <v>-91.487250810327367</v>
      </c>
      <c r="T200">
        <f t="shared" si="963"/>
        <v>-9.1487250810327367E-2</v>
      </c>
    </row>
    <row r="201" spans="1:20" x14ac:dyDescent="0.25">
      <c r="A201" s="5">
        <v>44392</v>
      </c>
      <c r="B201">
        <v>8.0820000000000007</v>
      </c>
      <c r="C201">
        <v>8.1240000000000006</v>
      </c>
      <c r="D201">
        <v>7.3150000000000004</v>
      </c>
      <c r="E201">
        <v>7.9909999999999997</v>
      </c>
      <c r="F201">
        <v>1146504.8130000001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0.67119901112484337</v>
      </c>
      <c r="Q201">
        <f t="shared" si="960"/>
        <v>769532.89673547354</v>
      </c>
      <c r="R201">
        <f t="shared" si="961"/>
        <v>-8523746.3211463168</v>
      </c>
      <c r="S201">
        <f t="shared" si="962"/>
        <v>-85.237463211463165</v>
      </c>
      <c r="T201">
        <f t="shared" si="963"/>
        <v>-8.5237463211463166E-2</v>
      </c>
    </row>
    <row r="202" spans="1:20" x14ac:dyDescent="0.25">
      <c r="A202" s="5">
        <v>44391</v>
      </c>
      <c r="B202">
        <v>7.5940000000000003</v>
      </c>
      <c r="C202">
        <v>8.3940000000000001</v>
      </c>
      <c r="D202">
        <v>7.12</v>
      </c>
      <c r="E202">
        <v>8.0909999999999993</v>
      </c>
      <c r="F202">
        <v>791244.20700000005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0.52433281004709442</v>
      </c>
      <c r="Q202">
        <f t="shared" si="960"/>
        <v>414875.29848979489</v>
      </c>
      <c r="R202">
        <f t="shared" si="961"/>
        <v>-9293279.2178817894</v>
      </c>
      <c r="S202">
        <f t="shared" si="962"/>
        <v>-92.932792178817891</v>
      </c>
      <c r="T202">
        <f t="shared" si="963"/>
        <v>-9.2932792178817891E-2</v>
      </c>
    </row>
    <row r="203" spans="1:20" x14ac:dyDescent="0.25">
      <c r="A203" s="5">
        <v>44390</v>
      </c>
      <c r="B203">
        <v>8.3059999999999992</v>
      </c>
      <c r="C203">
        <v>8.5429999999999993</v>
      </c>
      <c r="D203">
        <v>7.4429999999999996</v>
      </c>
      <c r="E203">
        <v>7.5940000000000003</v>
      </c>
      <c r="F203">
        <v>871003.09600000002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-0.72545454545454413</v>
      </c>
      <c r="Q203">
        <f t="shared" si="960"/>
        <v>-631873.15509818064</v>
      </c>
      <c r="R203">
        <f t="shared" si="961"/>
        <v>-9708154.5163715836</v>
      </c>
      <c r="S203">
        <f t="shared" si="962"/>
        <v>-97.08154516371583</v>
      </c>
      <c r="T203">
        <f t="shared" si="963"/>
        <v>-9.7081545163715824E-2</v>
      </c>
    </row>
    <row r="204" spans="1:20" x14ac:dyDescent="0.25">
      <c r="A204" s="5">
        <v>44389</v>
      </c>
      <c r="B204">
        <v>8.8759999999999994</v>
      </c>
      <c r="C204">
        <v>9.5</v>
      </c>
      <c r="D204">
        <v>8.0939999999999994</v>
      </c>
      <c r="E204">
        <v>8.3179999999999996</v>
      </c>
      <c r="F204">
        <v>753983.62699999998</v>
      </c>
      <c r="G204">
        <v>0</v>
      </c>
      <c r="L204" t="s">
        <v>8</v>
      </c>
      <c r="M204" t="s">
        <v>7</v>
      </c>
      <c r="N204" t="s">
        <v>7</v>
      </c>
      <c r="P204">
        <f t="shared" si="959"/>
        <v>-0.6813655761024181</v>
      </c>
      <c r="Q204">
        <f t="shared" si="960"/>
        <v>-513738.48838264571</v>
      </c>
      <c r="R204">
        <f t="shared" si="961"/>
        <v>-9076281.3612734023</v>
      </c>
      <c r="S204">
        <f t="shared" si="962"/>
        <v>-90.762813612734021</v>
      </c>
      <c r="T204">
        <f t="shared" si="963"/>
        <v>-9.0762813612734028E-2</v>
      </c>
    </row>
    <row r="205" spans="1:20" x14ac:dyDescent="0.25">
      <c r="A205" s="5">
        <v>44388</v>
      </c>
      <c r="B205">
        <v>8.3339999999999996</v>
      </c>
      <c r="C205">
        <v>9.0269999999999992</v>
      </c>
      <c r="D205">
        <v>8.1590000000000007</v>
      </c>
      <c r="E205">
        <v>8.8640000000000008</v>
      </c>
      <c r="F205">
        <v>695153.37600000005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0.62442396313364346</v>
      </c>
      <c r="Q205">
        <f t="shared" si="960"/>
        <v>434070.42602765182</v>
      </c>
      <c r="R205">
        <f t="shared" si="961"/>
        <v>-8562542.8728907574</v>
      </c>
      <c r="S205">
        <f t="shared" si="962"/>
        <v>-85.625428728907579</v>
      </c>
      <c r="T205">
        <f t="shared" si="963"/>
        <v>-8.5625428728907577E-2</v>
      </c>
    </row>
    <row r="206" spans="1:20" x14ac:dyDescent="0.25">
      <c r="A206" s="5">
        <v>44387</v>
      </c>
      <c r="B206">
        <v>8.8780000000000001</v>
      </c>
      <c r="C206">
        <v>9.1389999999999993</v>
      </c>
      <c r="D206">
        <v>8.3000000000000007</v>
      </c>
      <c r="E206">
        <v>8.3339999999999996</v>
      </c>
      <c r="F206">
        <v>674505.804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-0.91895113230035996</v>
      </c>
      <c r="Q206">
        <f t="shared" si="960"/>
        <v>-619837.87232896464</v>
      </c>
      <c r="R206">
        <f t="shared" si="961"/>
        <v>-8996613.2989184093</v>
      </c>
      <c r="S206">
        <f t="shared" si="962"/>
        <v>-89.966132989184089</v>
      </c>
      <c r="T206">
        <f t="shared" si="963"/>
        <v>-8.9966132989184086E-2</v>
      </c>
    </row>
    <row r="207" spans="1:20" x14ac:dyDescent="0.25">
      <c r="A207" s="5">
        <v>44386</v>
      </c>
      <c r="B207">
        <v>9.1509999999999998</v>
      </c>
      <c r="C207">
        <v>9.423</v>
      </c>
      <c r="D207">
        <v>8.7260000000000009</v>
      </c>
      <c r="E207">
        <v>8.8699999999999992</v>
      </c>
      <c r="F207">
        <v>2175050.0440000002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-0.58680057388809603</v>
      </c>
      <c r="Q207">
        <f t="shared" si="960"/>
        <v>-1276320.6140545288</v>
      </c>
      <c r="R207">
        <f t="shared" si="961"/>
        <v>-8376775.4265894452</v>
      </c>
      <c r="S207">
        <f t="shared" si="962"/>
        <v>-83.767754265894453</v>
      </c>
      <c r="T207">
        <f t="shared" si="963"/>
        <v>-8.3767754265894459E-2</v>
      </c>
    </row>
    <row r="208" spans="1:20" x14ac:dyDescent="0.25">
      <c r="A208" s="5">
        <v>44385</v>
      </c>
      <c r="B208">
        <v>10.592000000000001</v>
      </c>
      <c r="C208">
        <v>10.6</v>
      </c>
      <c r="D208">
        <v>8.6039999999999992</v>
      </c>
      <c r="E208">
        <v>9.15</v>
      </c>
      <c r="F208">
        <v>2376140.2910000002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-0.45290581162324545</v>
      </c>
      <c r="Q208">
        <f t="shared" si="960"/>
        <v>-1076167.7470260498</v>
      </c>
      <c r="R208">
        <f t="shared" si="961"/>
        <v>-7100454.8125349162</v>
      </c>
      <c r="S208">
        <f t="shared" si="962"/>
        <v>-71.00454812534916</v>
      </c>
      <c r="T208">
        <f t="shared" si="963"/>
        <v>-7.1004548125349162E-2</v>
      </c>
    </row>
    <row r="209" spans="1:20" x14ac:dyDescent="0.25">
      <c r="A209" s="5">
        <v>44384</v>
      </c>
      <c r="B209">
        <v>11.042999999999999</v>
      </c>
      <c r="C209">
        <v>11.45</v>
      </c>
      <c r="D209">
        <v>9.9190000000000005</v>
      </c>
      <c r="E209">
        <v>10.584</v>
      </c>
      <c r="F209">
        <v>1218746.6580000001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-0.13128674069235838</v>
      </c>
      <c r="Q209">
        <f t="shared" si="960"/>
        <v>-160005.2764585244</v>
      </c>
      <c r="R209">
        <f t="shared" si="961"/>
        <v>-6024287.0655088667</v>
      </c>
      <c r="S209">
        <f t="shared" si="962"/>
        <v>-60.242870655088666</v>
      </c>
      <c r="T209">
        <f t="shared" si="963"/>
        <v>-6.0242870655088668E-2</v>
      </c>
    </row>
    <row r="210" spans="1:20" x14ac:dyDescent="0.25">
      <c r="A210" s="5">
        <v>44383</v>
      </c>
      <c r="B210">
        <v>9.2810000000000006</v>
      </c>
      <c r="C210">
        <v>11.9</v>
      </c>
      <c r="D210">
        <v>9.2710000000000008</v>
      </c>
      <c r="E210">
        <v>11.05</v>
      </c>
      <c r="F210">
        <v>2279477.6379999998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0.35336629897299371</v>
      </c>
      <c r="Q210">
        <f t="shared" si="960"/>
        <v>805490.57653176144</v>
      </c>
      <c r="R210">
        <f t="shared" si="961"/>
        <v>-5864281.7890503425</v>
      </c>
      <c r="S210">
        <f t="shared" si="962"/>
        <v>-58.642817890503423</v>
      </c>
      <c r="T210">
        <f t="shared" si="963"/>
        <v>-5.8642817890503421E-2</v>
      </c>
    </row>
    <row r="211" spans="1:20" x14ac:dyDescent="0.25">
      <c r="A211" s="5">
        <v>44382</v>
      </c>
      <c r="B211">
        <v>8.5909999999999993</v>
      </c>
      <c r="C211">
        <v>9.74</v>
      </c>
      <c r="D211">
        <v>8.0709999999999997</v>
      </c>
      <c r="E211">
        <v>9.2759999999999998</v>
      </c>
      <c r="F211">
        <v>1919521.074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0.44397843019772287</v>
      </c>
      <c r="Q211">
        <f t="shared" si="960"/>
        <v>852225.95316596702</v>
      </c>
      <c r="R211">
        <f t="shared" si="961"/>
        <v>-6669772.3655821038</v>
      </c>
      <c r="S211">
        <f t="shared" si="962"/>
        <v>-66.697723655821036</v>
      </c>
      <c r="T211">
        <f t="shared" si="963"/>
        <v>-6.6697723655821037E-2</v>
      </c>
    </row>
    <row r="212" spans="1:20" x14ac:dyDescent="0.25">
      <c r="A212" s="5">
        <v>44381</v>
      </c>
      <c r="B212">
        <v>7.9740000000000002</v>
      </c>
      <c r="C212">
        <v>8.8000000000000007</v>
      </c>
      <c r="D212">
        <v>7.8959999999999999</v>
      </c>
      <c r="E212">
        <v>8.59</v>
      </c>
      <c r="F212">
        <v>885545.59299999999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0.53539823008849408</v>
      </c>
      <c r="Q212">
        <f t="shared" si="960"/>
        <v>474119.54315486591</v>
      </c>
      <c r="R212">
        <f t="shared" si="961"/>
        <v>-7521998.3187480709</v>
      </c>
      <c r="S212">
        <f t="shared" si="962"/>
        <v>-75.219983187480707</v>
      </c>
      <c r="T212">
        <f t="shared" si="963"/>
        <v>-7.5219983187480702E-2</v>
      </c>
    </row>
    <row r="213" spans="1:20" x14ac:dyDescent="0.25">
      <c r="A213" s="5">
        <v>44380</v>
      </c>
      <c r="B213">
        <v>7.6870000000000003</v>
      </c>
      <c r="C213">
        <v>8.1999999999999993</v>
      </c>
      <c r="D213">
        <v>7.6070000000000002</v>
      </c>
      <c r="E213">
        <v>7.9850000000000003</v>
      </c>
      <c r="F213">
        <v>1035837.747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0.27487352445194163</v>
      </c>
      <c r="Q213">
        <f t="shared" si="960"/>
        <v>284724.3722782486</v>
      </c>
      <c r="R213">
        <f t="shared" si="961"/>
        <v>-7996117.8619029364</v>
      </c>
      <c r="S213">
        <f t="shared" si="962"/>
        <v>-79.961178619029369</v>
      </c>
      <c r="T213">
        <f t="shared" si="963"/>
        <v>-7.9961178619029363E-2</v>
      </c>
    </row>
    <row r="214" spans="1:20" x14ac:dyDescent="0.25">
      <c r="A214" s="5">
        <v>44379</v>
      </c>
      <c r="B214">
        <v>7.43</v>
      </c>
      <c r="C214">
        <v>7.77</v>
      </c>
      <c r="D214">
        <v>7.14</v>
      </c>
      <c r="E214">
        <v>7.6909999999999998</v>
      </c>
      <c r="F214">
        <v>823909.09400000004</v>
      </c>
      <c r="G214">
        <v>0</v>
      </c>
      <c r="L214" t="s">
        <v>8</v>
      </c>
      <c r="M214" t="s">
        <v>7</v>
      </c>
      <c r="N214" t="s">
        <v>8</v>
      </c>
      <c r="P214">
        <f t="shared" si="959"/>
        <v>0.74920634920634999</v>
      </c>
      <c r="Q214">
        <f t="shared" si="960"/>
        <v>617277.92439365142</v>
      </c>
      <c r="R214">
        <f t="shared" si="961"/>
        <v>-8280842.2341811853</v>
      </c>
      <c r="S214">
        <f t="shared" si="962"/>
        <v>-82.808422341811848</v>
      </c>
      <c r="T214">
        <f t="shared" si="963"/>
        <v>-8.2808422341811849E-2</v>
      </c>
    </row>
    <row r="215" spans="1:20" x14ac:dyDescent="0.25">
      <c r="A215" s="5">
        <v>44378</v>
      </c>
      <c r="B215">
        <v>8.266</v>
      </c>
      <c r="C215">
        <v>8.7799999999999994</v>
      </c>
      <c r="D215">
        <v>7.1619999999999999</v>
      </c>
      <c r="E215">
        <v>7.4329999999999998</v>
      </c>
      <c r="F215">
        <v>2698559.0260000001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-0.66501854140914707</v>
      </c>
      <c r="Q215">
        <f t="shared" si="960"/>
        <v>-1794591.7873770087</v>
      </c>
      <c r="R215">
        <f t="shared" si="961"/>
        <v>-8898120.1585748363</v>
      </c>
      <c r="S215">
        <f t="shared" si="962"/>
        <v>-88.981201585748366</v>
      </c>
      <c r="T215">
        <f t="shared" si="963"/>
        <v>-8.8981201585748362E-2</v>
      </c>
    </row>
    <row r="216" spans="1:20" x14ac:dyDescent="0.25">
      <c r="A216" s="5">
        <v>44377</v>
      </c>
      <c r="B216">
        <v>5.87</v>
      </c>
      <c r="C216">
        <v>9.0500000000000007</v>
      </c>
      <c r="D216">
        <v>5.5910000000000002</v>
      </c>
      <c r="E216">
        <v>8.2530000000000001</v>
      </c>
      <c r="F216">
        <v>8534743.7320000008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0.53917317143683119</v>
      </c>
      <c r="Q216">
        <f t="shared" si="960"/>
        <v>4601704.8453830564</v>
      </c>
      <c r="R216">
        <f t="shared" si="961"/>
        <v>-7103528.3711978281</v>
      </c>
      <c r="S216">
        <f t="shared" si="962"/>
        <v>-71.035283711978281</v>
      </c>
      <c r="T216">
        <f t="shared" si="963"/>
        <v>-7.1035283711978287E-2</v>
      </c>
    </row>
    <row r="217" spans="1:20" x14ac:dyDescent="0.25">
      <c r="A217" s="5">
        <v>44376</v>
      </c>
      <c r="B217">
        <v>5.5179999999999998</v>
      </c>
      <c r="C217">
        <v>6.5</v>
      </c>
      <c r="D217">
        <v>5.27</v>
      </c>
      <c r="E217">
        <v>5.8819999999999997</v>
      </c>
      <c r="F217">
        <v>3130392.58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-4.8780487804879879E-3</v>
      </c>
      <c r="Q217">
        <f t="shared" si="960"/>
        <v>-15270.207707317646</v>
      </c>
      <c r="R217">
        <f t="shared" si="961"/>
        <v>-11705233.216580885</v>
      </c>
      <c r="S217">
        <f t="shared" si="962"/>
        <v>-117.05233216580885</v>
      </c>
      <c r="T217">
        <f t="shared" si="963"/>
        <v>-0.11705233216580885</v>
      </c>
    </row>
    <row r="218" spans="1:20" x14ac:dyDescent="0.25">
      <c r="A218" s="5">
        <v>44375</v>
      </c>
      <c r="B218">
        <v>4.3899999999999997</v>
      </c>
      <c r="C218">
        <v>5.8449999999999998</v>
      </c>
      <c r="D218">
        <v>4.2409999999999997</v>
      </c>
      <c r="E218">
        <v>5.5179999999999998</v>
      </c>
      <c r="F218">
        <v>4858529.03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0.5922693266832918</v>
      </c>
      <c r="Q218">
        <f t="shared" si="960"/>
        <v>2877557.717269327</v>
      </c>
      <c r="R218">
        <f t="shared" si="961"/>
        <v>-11689963.008873567</v>
      </c>
      <c r="S218">
        <f t="shared" si="962"/>
        <v>-116.89963008873568</v>
      </c>
      <c r="T218">
        <f t="shared" si="963"/>
        <v>-0.11689963008873568</v>
      </c>
    </row>
    <row r="219" spans="1:20" x14ac:dyDescent="0.25">
      <c r="A219" s="5">
        <v>44374</v>
      </c>
      <c r="B219">
        <v>4.1189999999999998</v>
      </c>
      <c r="C219">
        <v>4.7389999999999999</v>
      </c>
      <c r="D219">
        <v>3.7839999999999998</v>
      </c>
      <c r="E219">
        <v>4.3849999999999998</v>
      </c>
      <c r="F219">
        <v>3416764.392</v>
      </c>
      <c r="G219">
        <v>0</v>
      </c>
      <c r="L219" t="s">
        <v>7</v>
      </c>
      <c r="M219" t="s">
        <v>7</v>
      </c>
      <c r="N219" t="s">
        <v>7</v>
      </c>
      <c r="P219">
        <f t="shared" si="959"/>
        <v>0.25863874345549726</v>
      </c>
      <c r="Q219">
        <f t="shared" si="960"/>
        <v>883707.6490303661</v>
      </c>
      <c r="R219">
        <f t="shared" si="961"/>
        <v>-14567520.726142894</v>
      </c>
      <c r="S219">
        <f t="shared" si="962"/>
        <v>-145.67520726142894</v>
      </c>
      <c r="T219">
        <f t="shared" si="963"/>
        <v>-0.14567520726142894</v>
      </c>
    </row>
    <row r="220" spans="1:20" x14ac:dyDescent="0.25">
      <c r="A220" s="5">
        <v>44373</v>
      </c>
      <c r="B220">
        <v>4.4980000000000002</v>
      </c>
      <c r="C220">
        <v>4.6070000000000002</v>
      </c>
      <c r="D220">
        <v>3.9420000000000002</v>
      </c>
      <c r="E220">
        <v>4.1219999999999999</v>
      </c>
      <c r="F220">
        <v>1907678.8259999999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-0.45864661654135425</v>
      </c>
      <c r="Q220">
        <f t="shared" si="960"/>
        <v>-874950.43899248284</v>
      </c>
      <c r="R220">
        <f t="shared" si="961"/>
        <v>-15451228.375173261</v>
      </c>
      <c r="S220">
        <f t="shared" si="962"/>
        <v>-154.51228375173261</v>
      </c>
      <c r="T220">
        <f t="shared" si="963"/>
        <v>-0.15451228375173262</v>
      </c>
    </row>
    <row r="221" spans="1:20" x14ac:dyDescent="0.25">
      <c r="A221" s="5">
        <v>44372</v>
      </c>
      <c r="B221">
        <v>5.3460000000000001</v>
      </c>
      <c r="C221">
        <v>5.74</v>
      </c>
      <c r="D221">
        <v>4.2839999999999998</v>
      </c>
      <c r="E221">
        <v>4.5030000000000001</v>
      </c>
      <c r="F221">
        <v>2197210.8339999998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-0.6991758241758238</v>
      </c>
      <c r="Q221">
        <f t="shared" si="960"/>
        <v>-1536236.695749999</v>
      </c>
      <c r="R221">
        <f t="shared" si="961"/>
        <v>-14576277.936180778</v>
      </c>
      <c r="S221">
        <f t="shared" si="962"/>
        <v>-145.76277936180779</v>
      </c>
      <c r="T221">
        <f t="shared" si="963"/>
        <v>-0.14576277936180779</v>
      </c>
    </row>
    <row r="222" spans="1:20" x14ac:dyDescent="0.25">
      <c r="A222" s="5">
        <v>44371</v>
      </c>
      <c r="B222">
        <v>5.2510000000000003</v>
      </c>
      <c r="C222">
        <v>5.57</v>
      </c>
      <c r="D222">
        <v>4.5540000000000003</v>
      </c>
      <c r="E222">
        <v>5.3339999999999996</v>
      </c>
      <c r="F222">
        <v>1452590.639</v>
      </c>
      <c r="G222">
        <v>0</v>
      </c>
      <c r="L222" t="s">
        <v>7</v>
      </c>
      <c r="M222" t="s">
        <v>7</v>
      </c>
      <c r="N222" t="s">
        <v>8</v>
      </c>
      <c r="P222">
        <f t="shared" si="959"/>
        <v>0.53543307086614045</v>
      </c>
      <c r="Q222">
        <f t="shared" si="960"/>
        <v>777765.06655117928</v>
      </c>
      <c r="R222">
        <f t="shared" si="961"/>
        <v>-13040041.240430778</v>
      </c>
      <c r="S222">
        <f t="shared" si="962"/>
        <v>-130.40041240430779</v>
      </c>
      <c r="T222">
        <f t="shared" si="963"/>
        <v>-0.13040041240430778</v>
      </c>
    </row>
    <row r="223" spans="1:20" x14ac:dyDescent="0.25">
      <c r="A223" s="5">
        <v>44370</v>
      </c>
      <c r="B223">
        <v>4.8639999999999999</v>
      </c>
      <c r="C223">
        <v>5.8</v>
      </c>
      <c r="D223">
        <v>4.8209999999999997</v>
      </c>
      <c r="E223">
        <v>5.25</v>
      </c>
      <c r="F223">
        <v>1247186.936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-0.12359550561797705</v>
      </c>
      <c r="Q223">
        <f t="shared" si="960"/>
        <v>-154146.69995505558</v>
      </c>
      <c r="R223">
        <f t="shared" si="961"/>
        <v>-13817806.306981957</v>
      </c>
      <c r="S223">
        <f t="shared" si="962"/>
        <v>-138.17806306981956</v>
      </c>
      <c r="T223">
        <f t="shared" si="963"/>
        <v>-0.13817806306981956</v>
      </c>
    </row>
    <row r="224" spans="1:20" x14ac:dyDescent="0.25">
      <c r="A224" s="5">
        <v>44369</v>
      </c>
      <c r="B224">
        <v>4.4420000000000002</v>
      </c>
      <c r="C224">
        <v>5.8789999999999996</v>
      </c>
      <c r="D224">
        <v>3.6179999999999999</v>
      </c>
      <c r="E224">
        <v>4.8609999999999998</v>
      </c>
      <c r="F224">
        <v>2745308.9580000001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9.951348960636891E-2</v>
      </c>
      <c r="Q224">
        <f t="shared" si="960"/>
        <v>273195.27445820445</v>
      </c>
      <c r="R224">
        <f t="shared" si="961"/>
        <v>-13663659.607026901</v>
      </c>
      <c r="S224">
        <f t="shared" si="962"/>
        <v>-136.63659607026901</v>
      </c>
      <c r="T224">
        <f t="shared" si="963"/>
        <v>-0.13663659607026901</v>
      </c>
    </row>
    <row r="225" spans="1:20" x14ac:dyDescent="0.25">
      <c r="A225" s="5">
        <v>44368</v>
      </c>
      <c r="B225">
        <v>6.0279999999999996</v>
      </c>
      <c r="C225">
        <v>6.0780000000000003</v>
      </c>
      <c r="D225">
        <v>4.4400000000000004</v>
      </c>
      <c r="E225">
        <v>4.4420000000000002</v>
      </c>
      <c r="F225">
        <v>1123908.175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-0.99755799755799779</v>
      </c>
      <c r="Q225">
        <f t="shared" si="960"/>
        <v>-1121163.5884920638</v>
      </c>
      <c r="R225">
        <f t="shared" si="961"/>
        <v>-13936854.881485106</v>
      </c>
      <c r="S225">
        <f t="shared" si="962"/>
        <v>-139.36854881485107</v>
      </c>
      <c r="T225">
        <f t="shared" si="963"/>
        <v>-0.13936854881485106</v>
      </c>
    </row>
    <row r="226" spans="1:20" x14ac:dyDescent="0.25">
      <c r="A226" s="5">
        <v>44367</v>
      </c>
      <c r="B226">
        <v>6.1020000000000003</v>
      </c>
      <c r="C226">
        <v>6.3659999999999997</v>
      </c>
      <c r="D226">
        <v>5.6</v>
      </c>
      <c r="E226">
        <v>6.0279999999999996</v>
      </c>
      <c r="F226">
        <v>979815.37300000002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0.11749347258485621</v>
      </c>
      <c r="Q226">
        <f t="shared" si="960"/>
        <v>115121.91066579617</v>
      </c>
      <c r="R226">
        <f t="shared" si="961"/>
        <v>-12815691.292993043</v>
      </c>
      <c r="S226">
        <f t="shared" si="962"/>
        <v>-128.15691292993043</v>
      </c>
      <c r="T226">
        <f t="shared" si="963"/>
        <v>-0.12815691292993042</v>
      </c>
    </row>
    <row r="227" spans="1:20" x14ac:dyDescent="0.25">
      <c r="A227" s="5">
        <v>44366</v>
      </c>
      <c r="B227">
        <v>7.0190000000000001</v>
      </c>
      <c r="C227">
        <v>7.06</v>
      </c>
      <c r="D227">
        <v>6.1020000000000003</v>
      </c>
      <c r="E227">
        <v>6.1079999999999997</v>
      </c>
      <c r="F227">
        <v>800084.76800000004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-0.9874739039665984</v>
      </c>
      <c r="Q227">
        <f t="shared" si="960"/>
        <v>-790062.82936117018</v>
      </c>
      <c r="R227">
        <f t="shared" si="961"/>
        <v>-12930813.20365884</v>
      </c>
      <c r="S227">
        <f t="shared" si="962"/>
        <v>-129.3081320365884</v>
      </c>
      <c r="T227">
        <f t="shared" si="963"/>
        <v>-0.12930813203658839</v>
      </c>
    </row>
    <row r="228" spans="1:20" x14ac:dyDescent="0.25">
      <c r="A228" s="5">
        <v>44365</v>
      </c>
      <c r="B228">
        <v>7.5419999999999998</v>
      </c>
      <c r="C228">
        <v>7.5780000000000003</v>
      </c>
      <c r="D228">
        <v>6.6239999999999997</v>
      </c>
      <c r="E228">
        <v>7.0030000000000001</v>
      </c>
      <c r="F228">
        <v>830514.78599999996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-0.20545073375262013</v>
      </c>
      <c r="Q228">
        <f t="shared" si="960"/>
        <v>-170629.87217610027</v>
      </c>
      <c r="R228">
        <f t="shared" si="961"/>
        <v>-12140750.374297669</v>
      </c>
      <c r="S228">
        <f t="shared" si="962"/>
        <v>-121.40750374297669</v>
      </c>
      <c r="T228">
        <f t="shared" si="963"/>
        <v>-0.12140750374297668</v>
      </c>
    </row>
    <row r="229" spans="1:20" x14ac:dyDescent="0.25">
      <c r="A229" s="5">
        <v>44364</v>
      </c>
      <c r="B229">
        <v>7.4359999999999999</v>
      </c>
      <c r="C229">
        <v>7.74</v>
      </c>
      <c r="D229">
        <v>7.2480000000000002</v>
      </c>
      <c r="E229">
        <v>7.5419999999999998</v>
      </c>
      <c r="F229">
        <v>1137526.4240000001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0.19512195121951056</v>
      </c>
      <c r="Q229">
        <f t="shared" si="960"/>
        <v>221956.37541463232</v>
      </c>
      <c r="R229">
        <f t="shared" si="961"/>
        <v>-11970120.50212157</v>
      </c>
      <c r="S229">
        <f t="shared" si="962"/>
        <v>-119.7012050212157</v>
      </c>
      <c r="T229">
        <f t="shared" si="963"/>
        <v>-0.1197012050212157</v>
      </c>
    </row>
    <row r="230" spans="1:20" x14ac:dyDescent="0.25">
      <c r="A230" s="5">
        <v>44363</v>
      </c>
      <c r="B230">
        <v>8.4109999999999996</v>
      </c>
      <c r="C230">
        <v>8.4710000000000001</v>
      </c>
      <c r="D230">
        <v>7.4020000000000001</v>
      </c>
      <c r="E230">
        <v>7.4359999999999999</v>
      </c>
      <c r="F230">
        <v>945106.92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-0.93638914873713786</v>
      </c>
      <c r="Q230">
        <f t="shared" si="960"/>
        <v>-884987.86428437824</v>
      </c>
      <c r="R230">
        <f t="shared" si="961"/>
        <v>-12192076.877536202</v>
      </c>
      <c r="S230">
        <f t="shared" si="962"/>
        <v>-121.92076877536202</v>
      </c>
      <c r="T230">
        <f t="shared" si="963"/>
        <v>-0.12192076877536202</v>
      </c>
    </row>
    <row r="231" spans="1:20" x14ac:dyDescent="0.25">
      <c r="A231" s="5">
        <v>44362</v>
      </c>
      <c r="B231">
        <v>9.4610000000000003</v>
      </c>
      <c r="C231">
        <v>9.89</v>
      </c>
      <c r="D231">
        <v>8.4</v>
      </c>
      <c r="E231">
        <v>8.4109999999999996</v>
      </c>
      <c r="F231">
        <v>572091.24899999995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-0.9852348993288601</v>
      </c>
      <c r="Q231">
        <f t="shared" si="960"/>
        <v>-563644.26411543682</v>
      </c>
      <c r="R231">
        <f t="shared" si="961"/>
        <v>-11307089.013251824</v>
      </c>
      <c r="S231">
        <f t="shared" si="962"/>
        <v>-113.07089013251824</v>
      </c>
      <c r="T231">
        <f t="shared" si="963"/>
        <v>-0.11307089013251824</v>
      </c>
    </row>
    <row r="232" spans="1:20" x14ac:dyDescent="0.25">
      <c r="A232" s="5">
        <v>44361</v>
      </c>
      <c r="B232">
        <v>8.5500000000000007</v>
      </c>
      <c r="C232">
        <v>9.641</v>
      </c>
      <c r="D232">
        <v>8.3119999999999994</v>
      </c>
      <c r="E232">
        <v>9.4610000000000003</v>
      </c>
      <c r="F232">
        <v>583651.20299999998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0.72911963882618569</v>
      </c>
      <c r="Q232">
        <f t="shared" si="960"/>
        <v>425551.55433182878</v>
      </c>
      <c r="R232">
        <f t="shared" si="961"/>
        <v>-10743444.749136388</v>
      </c>
      <c r="S232">
        <f t="shared" si="962"/>
        <v>-107.43444749136388</v>
      </c>
      <c r="T232">
        <f t="shared" si="963"/>
        <v>-0.10743444749136388</v>
      </c>
    </row>
    <row r="233" spans="1:20" x14ac:dyDescent="0.25">
      <c r="A233" s="5">
        <v>44360</v>
      </c>
      <c r="B233">
        <v>7.6520000000000001</v>
      </c>
      <c r="C233">
        <v>8.7249999999999996</v>
      </c>
      <c r="D233">
        <v>7.4630000000000001</v>
      </c>
      <c r="E233">
        <v>8.548</v>
      </c>
      <c r="F233">
        <v>353136.73800000001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0.71949286846275806</v>
      </c>
      <c r="Q233">
        <f t="shared" si="960"/>
        <v>254079.36458320147</v>
      </c>
      <c r="R233">
        <f t="shared" si="961"/>
        <v>-11168996.303468216</v>
      </c>
      <c r="S233">
        <f t="shared" si="962"/>
        <v>-111.68996303468217</v>
      </c>
      <c r="T233">
        <f t="shared" si="963"/>
        <v>-0.11168996303468216</v>
      </c>
    </row>
    <row r="234" spans="1:20" x14ac:dyDescent="0.25">
      <c r="A234" s="5">
        <v>44359</v>
      </c>
      <c r="B234">
        <v>7.5209999999999999</v>
      </c>
      <c r="C234">
        <v>7.907</v>
      </c>
      <c r="D234">
        <v>7.2</v>
      </c>
      <c r="E234">
        <v>7.641</v>
      </c>
      <c r="F234">
        <v>417460.97700000001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0.24752475247524733</v>
      </c>
      <c r="Q234">
        <f t="shared" si="960"/>
        <v>103331.92499999992</v>
      </c>
      <c r="R234">
        <f t="shared" si="961"/>
        <v>-11423075.668051418</v>
      </c>
      <c r="S234">
        <f t="shared" si="962"/>
        <v>-114.23075668051418</v>
      </c>
      <c r="T234">
        <f t="shared" si="963"/>
        <v>-0.11423075668051418</v>
      </c>
    </row>
    <row r="235" spans="1:20" x14ac:dyDescent="0.25">
      <c r="A235" s="5">
        <v>44358</v>
      </c>
      <c r="B235">
        <v>8.3040000000000003</v>
      </c>
      <c r="C235">
        <v>8.3239999999999998</v>
      </c>
      <c r="D235">
        <v>7.3360000000000003</v>
      </c>
      <c r="E235">
        <v>7.5209999999999999</v>
      </c>
      <c r="F235">
        <v>651915.54399999999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-0.62550607287449456</v>
      </c>
      <c r="Q235">
        <f t="shared" si="960"/>
        <v>-407777.13177327975</v>
      </c>
      <c r="R235">
        <f t="shared" si="961"/>
        <v>-11526407.593051419</v>
      </c>
      <c r="S235">
        <f t="shared" si="962"/>
        <v>-115.26407593051418</v>
      </c>
      <c r="T235">
        <f t="shared" si="963"/>
        <v>-0.11526407593051419</v>
      </c>
    </row>
    <row r="236" spans="1:20" x14ac:dyDescent="0.25">
      <c r="A236" s="5">
        <v>44357</v>
      </c>
      <c r="B236">
        <v>8.9990000000000006</v>
      </c>
      <c r="C236">
        <v>9.0519999999999996</v>
      </c>
      <c r="D236">
        <v>8.1649999999999991</v>
      </c>
      <c r="E236">
        <v>8.3040000000000003</v>
      </c>
      <c r="F236">
        <v>423508.58500000002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-0.68658399098083189</v>
      </c>
      <c r="Q236">
        <f t="shared" si="960"/>
        <v>-290774.21450394491</v>
      </c>
      <c r="R236">
        <f t="shared" si="961"/>
        <v>-11118630.461278139</v>
      </c>
      <c r="S236">
        <f t="shared" si="962"/>
        <v>-111.18630461278138</v>
      </c>
      <c r="T236">
        <f t="shared" si="963"/>
        <v>-0.11118630461278138</v>
      </c>
    </row>
    <row r="237" spans="1:20" x14ac:dyDescent="0.25">
      <c r="A237" s="5">
        <v>44356</v>
      </c>
      <c r="B237">
        <v>8.5009999999999994</v>
      </c>
      <c r="C237">
        <v>9.0760000000000005</v>
      </c>
      <c r="D237">
        <v>8.2189999999999994</v>
      </c>
      <c r="E237">
        <v>9</v>
      </c>
      <c r="F237">
        <v>471540.14199999999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0.82263710618436314</v>
      </c>
      <c r="Q237">
        <f t="shared" si="960"/>
        <v>387906.41786464368</v>
      </c>
      <c r="R237">
        <f t="shared" si="961"/>
        <v>-10827856.246774193</v>
      </c>
      <c r="S237">
        <f t="shared" si="962"/>
        <v>-108.27856246774193</v>
      </c>
      <c r="T237">
        <f t="shared" si="963"/>
        <v>-0.10827856246774194</v>
      </c>
    </row>
    <row r="238" spans="1:20" x14ac:dyDescent="0.25">
      <c r="A238" s="5">
        <v>44355</v>
      </c>
      <c r="B238">
        <v>8.9</v>
      </c>
      <c r="C238">
        <v>8.9689999999999994</v>
      </c>
      <c r="D238">
        <v>7.7220000000000004</v>
      </c>
      <c r="E238">
        <v>8.49</v>
      </c>
      <c r="F238">
        <v>1070943.1270000001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0.23175621491579856</v>
      </c>
      <c r="Q238">
        <f t="shared" si="960"/>
        <v>248197.72550360937</v>
      </c>
      <c r="R238">
        <f t="shared" si="961"/>
        <v>-11215762.664638836</v>
      </c>
      <c r="S238">
        <f t="shared" si="962"/>
        <v>-112.15762664638837</v>
      </c>
      <c r="T238">
        <f t="shared" si="963"/>
        <v>-0.11215762664638837</v>
      </c>
    </row>
    <row r="239" spans="1:20" x14ac:dyDescent="0.25">
      <c r="A239" s="5">
        <v>44354</v>
      </c>
      <c r="B239">
        <v>9.8420000000000005</v>
      </c>
      <c r="C239">
        <v>10.161</v>
      </c>
      <c r="D239">
        <v>8.8979999999999997</v>
      </c>
      <c r="E239">
        <v>8.9</v>
      </c>
      <c r="F239">
        <v>340986.61800000002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-0.9968329374505136</v>
      </c>
      <c r="Q239">
        <f t="shared" si="960"/>
        <v>-339906.6920522562</v>
      </c>
      <c r="R239">
        <f t="shared" si="961"/>
        <v>-11463960.390142445</v>
      </c>
      <c r="S239">
        <f t="shared" si="962"/>
        <v>-114.63960390142445</v>
      </c>
      <c r="T239">
        <f t="shared" si="963"/>
        <v>-0.11463960390142446</v>
      </c>
    </row>
    <row r="240" spans="1:20" x14ac:dyDescent="0.25">
      <c r="A240" s="5">
        <v>44353</v>
      </c>
      <c r="B240">
        <v>9.8520000000000003</v>
      </c>
      <c r="C240">
        <v>10.361000000000001</v>
      </c>
      <c r="D240">
        <v>9.7059999999999995</v>
      </c>
      <c r="E240">
        <v>9.8409999999999993</v>
      </c>
      <c r="F240">
        <v>316196.239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-0.58778625954198604</v>
      </c>
      <c r="Q240">
        <f t="shared" si="960"/>
        <v>-185855.80460305384</v>
      </c>
      <c r="R240">
        <f t="shared" si="961"/>
        <v>-11124053.698090188</v>
      </c>
      <c r="S240">
        <f t="shared" si="962"/>
        <v>-111.24053698090188</v>
      </c>
      <c r="T240">
        <f t="shared" si="963"/>
        <v>-0.11124053698090187</v>
      </c>
    </row>
    <row r="241" spans="1:20" x14ac:dyDescent="0.25">
      <c r="A241" s="5">
        <v>44352</v>
      </c>
      <c r="B241">
        <v>9.9730000000000008</v>
      </c>
      <c r="C241">
        <v>11.3</v>
      </c>
      <c r="D241">
        <v>9.6289999999999996</v>
      </c>
      <c r="E241">
        <v>9.85</v>
      </c>
      <c r="F241">
        <v>549808.89300000004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-0.73548773189706773</v>
      </c>
      <c r="Q241">
        <f t="shared" si="960"/>
        <v>-404377.69568940764</v>
      </c>
      <c r="R241">
        <f t="shared" si="961"/>
        <v>-10938197.893487135</v>
      </c>
      <c r="S241">
        <f t="shared" si="962"/>
        <v>-109.38197893487136</v>
      </c>
      <c r="T241">
        <f t="shared" si="963"/>
        <v>-0.10938197893487135</v>
      </c>
    </row>
    <row r="242" spans="1:20" x14ac:dyDescent="0.25">
      <c r="A242" s="5">
        <v>44351</v>
      </c>
      <c r="B242">
        <v>10.396000000000001</v>
      </c>
      <c r="C242">
        <v>10.413</v>
      </c>
      <c r="D242">
        <v>9.468</v>
      </c>
      <c r="E242">
        <v>9.9730000000000008</v>
      </c>
      <c r="F242">
        <v>345700.60100000002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6.8783068783070112E-2</v>
      </c>
      <c r="Q242">
        <f t="shared" si="960"/>
        <v>23778.348216931678</v>
      </c>
      <c r="R242">
        <f t="shared" si="961"/>
        <v>-10533820.197797727</v>
      </c>
      <c r="S242">
        <f t="shared" si="962"/>
        <v>-105.33820197797726</v>
      </c>
      <c r="T242">
        <f t="shared" si="963"/>
        <v>-0.10533820197797726</v>
      </c>
    </row>
    <row r="243" spans="1:20" x14ac:dyDescent="0.25">
      <c r="A243" s="5">
        <v>44350</v>
      </c>
      <c r="B243">
        <v>10.605</v>
      </c>
      <c r="C243">
        <v>10.914</v>
      </c>
      <c r="D243">
        <v>9.9</v>
      </c>
      <c r="E243">
        <v>10.4</v>
      </c>
      <c r="F243">
        <v>867043.424</v>
      </c>
      <c r="G243">
        <v>0</v>
      </c>
      <c r="L243" t="s">
        <v>7</v>
      </c>
      <c r="M243" t="s">
        <v>7</v>
      </c>
      <c r="N243" t="s">
        <v>8</v>
      </c>
      <c r="P243">
        <f t="shared" si="959"/>
        <v>-1.3806706114397787E-2</v>
      </c>
      <c r="Q243">
        <f t="shared" si="960"/>
        <v>-11971.013743589192</v>
      </c>
      <c r="R243">
        <f t="shared" si="961"/>
        <v>-10557598.546014659</v>
      </c>
      <c r="S243">
        <f t="shared" si="962"/>
        <v>-105.5759854601466</v>
      </c>
      <c r="T243">
        <f t="shared" si="963"/>
        <v>-0.1055759854601466</v>
      </c>
    </row>
    <row r="244" spans="1:20" x14ac:dyDescent="0.25">
      <c r="A244" s="5">
        <v>44349</v>
      </c>
      <c r="B244">
        <v>8.9</v>
      </c>
      <c r="C244">
        <v>11.49</v>
      </c>
      <c r="D244">
        <v>8.8919999999999995</v>
      </c>
      <c r="E244">
        <v>10.616</v>
      </c>
      <c r="F244">
        <v>1280931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0.32717474980754402</v>
      </c>
      <c r="Q244">
        <f t="shared" si="960"/>
        <v>419088.27944572718</v>
      </c>
      <c r="R244">
        <f t="shared" si="961"/>
        <v>-10545627.53227107</v>
      </c>
      <c r="S244">
        <f t="shared" si="962"/>
        <v>-105.45627532271071</v>
      </c>
      <c r="T244">
        <f t="shared" si="963"/>
        <v>-0.10545627532271071</v>
      </c>
    </row>
    <row r="245" spans="1:20" x14ac:dyDescent="0.25">
      <c r="A245" s="5">
        <v>44348</v>
      </c>
      <c r="B245">
        <v>8.5589999999999993</v>
      </c>
      <c r="C245">
        <v>8.9120000000000008</v>
      </c>
      <c r="D245">
        <v>7.8550000000000004</v>
      </c>
      <c r="E245">
        <v>8.9</v>
      </c>
      <c r="F245">
        <v>443461.08500000002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0.97729422894985729</v>
      </c>
      <c r="Q245">
        <f t="shared" si="960"/>
        <v>433391.95913434215</v>
      </c>
      <c r="R245">
        <f t="shared" si="961"/>
        <v>-10964715.811716797</v>
      </c>
      <c r="S245">
        <f t="shared" si="962"/>
        <v>-109.64715811716796</v>
      </c>
      <c r="T245">
        <f t="shared" si="963"/>
        <v>-0.10964715811716796</v>
      </c>
    </row>
    <row r="246" spans="1:20" x14ac:dyDescent="0.25">
      <c r="A246" s="5">
        <v>44347</v>
      </c>
      <c r="B246">
        <v>7.6749999999999998</v>
      </c>
      <c r="C246">
        <v>8.6999999999999993</v>
      </c>
      <c r="D246">
        <v>7.3579999999999997</v>
      </c>
      <c r="E246">
        <v>8.5500000000000007</v>
      </c>
      <c r="F246">
        <v>518815.38199999998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0.7764530551415818</v>
      </c>
      <c r="Q246">
        <f t="shared" si="960"/>
        <v>402835.78840834682</v>
      </c>
      <c r="R246">
        <f t="shared" si="961"/>
        <v>-11398107.770851139</v>
      </c>
      <c r="S246">
        <f t="shared" si="962"/>
        <v>-113.98107770851139</v>
      </c>
      <c r="T246">
        <f t="shared" si="963"/>
        <v>-0.11398107770851139</v>
      </c>
    </row>
    <row r="247" spans="1:20" x14ac:dyDescent="0.25">
      <c r="A247" s="5">
        <v>44346</v>
      </c>
      <c r="B247">
        <v>7.2510000000000003</v>
      </c>
      <c r="C247">
        <v>8.4390000000000001</v>
      </c>
      <c r="D247">
        <v>6.8819999999999997</v>
      </c>
      <c r="E247">
        <v>7.6790000000000003</v>
      </c>
      <c r="F247">
        <v>462953.06699999998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2.3763648041105204E-2</v>
      </c>
      <c r="Q247">
        <f t="shared" si="960"/>
        <v>11001.453743738197</v>
      </c>
      <c r="R247">
        <f t="shared" si="961"/>
        <v>-11800943.559259485</v>
      </c>
      <c r="S247">
        <f t="shared" si="962"/>
        <v>-118.00943559259485</v>
      </c>
      <c r="T247">
        <f t="shared" si="963"/>
        <v>-0.11800943559259486</v>
      </c>
    </row>
    <row r="248" spans="1:20" x14ac:dyDescent="0.25">
      <c r="A248" s="5">
        <v>44345</v>
      </c>
      <c r="B248">
        <v>7.8840000000000003</v>
      </c>
      <c r="C248">
        <v>8.1489999999999991</v>
      </c>
      <c r="D248">
        <v>7.1079999999999997</v>
      </c>
      <c r="E248">
        <v>7.2569999999999997</v>
      </c>
      <c r="F248">
        <v>463795.46500000003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-0.71373679154658964</v>
      </c>
      <c r="Q248">
        <f t="shared" si="960"/>
        <v>-331027.88712295861</v>
      </c>
      <c r="R248">
        <f t="shared" si="961"/>
        <v>-11811945.013003225</v>
      </c>
      <c r="S248">
        <f t="shared" si="962"/>
        <v>-118.11945013003225</v>
      </c>
      <c r="T248">
        <f t="shared" si="963"/>
        <v>-0.11811945013003225</v>
      </c>
    </row>
    <row r="249" spans="1:20" x14ac:dyDescent="0.25">
      <c r="A249" s="5">
        <v>44344</v>
      </c>
      <c r="B249">
        <v>8.9969999999999999</v>
      </c>
      <c r="C249">
        <v>9.0250000000000004</v>
      </c>
      <c r="D249">
        <v>7.4359999999999999</v>
      </c>
      <c r="E249">
        <v>7.88</v>
      </c>
      <c r="F249">
        <v>729245.34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-0.44115796098174975</v>
      </c>
      <c r="Q249">
        <f t="shared" si="960"/>
        <v>-321712.38724984281</v>
      </c>
      <c r="R249">
        <f t="shared" si="961"/>
        <v>-11480917.125880266</v>
      </c>
      <c r="S249">
        <f t="shared" si="962"/>
        <v>-114.80917125880265</v>
      </c>
      <c r="T249">
        <f t="shared" si="963"/>
        <v>-0.11480917125880265</v>
      </c>
    </row>
    <row r="250" spans="1:20" x14ac:dyDescent="0.25">
      <c r="A250" s="5">
        <v>44343</v>
      </c>
      <c r="B250">
        <v>10.286</v>
      </c>
      <c r="C250">
        <v>10.298999999999999</v>
      </c>
      <c r="D250">
        <v>8.9629999999999992</v>
      </c>
      <c r="E250">
        <v>8.9770000000000003</v>
      </c>
      <c r="F250">
        <v>637822.90500000003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-0.97904191616766301</v>
      </c>
      <c r="Q250">
        <f t="shared" si="960"/>
        <v>-624455.35908682528</v>
      </c>
      <c r="R250">
        <f t="shared" si="961"/>
        <v>-11159204.738630423</v>
      </c>
      <c r="S250">
        <f t="shared" si="962"/>
        <v>-111.59204738630423</v>
      </c>
      <c r="T250">
        <f t="shared" si="963"/>
        <v>-0.11159204738630422</v>
      </c>
    </row>
    <row r="251" spans="1:20" x14ac:dyDescent="0.25">
      <c r="A251" s="5">
        <v>44342</v>
      </c>
      <c r="B251">
        <v>10.451000000000001</v>
      </c>
      <c r="C251">
        <v>11.432</v>
      </c>
      <c r="D251">
        <v>9.6470000000000002</v>
      </c>
      <c r="E251">
        <v>10.286</v>
      </c>
      <c r="F251">
        <v>793158.46100000001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-0.28403361344537892</v>
      </c>
      <c r="Q251">
        <f t="shared" si="960"/>
        <v>-225283.66371260566</v>
      </c>
      <c r="R251">
        <f t="shared" si="961"/>
        <v>-10534749.379543599</v>
      </c>
      <c r="S251">
        <f t="shared" si="962"/>
        <v>-105.34749379543599</v>
      </c>
      <c r="T251">
        <f t="shared" si="963"/>
        <v>-0.105347493795436</v>
      </c>
    </row>
    <row r="252" spans="1:20" x14ac:dyDescent="0.25">
      <c r="A252" s="5">
        <v>44341</v>
      </c>
      <c r="B252">
        <v>10.491</v>
      </c>
      <c r="C252">
        <v>10.816000000000001</v>
      </c>
      <c r="D252">
        <v>8.85</v>
      </c>
      <c r="E252">
        <v>10.451000000000001</v>
      </c>
      <c r="F252">
        <v>781863.53599999996</v>
      </c>
      <c r="G252">
        <v>0</v>
      </c>
      <c r="L252" t="s">
        <v>8</v>
      </c>
      <c r="M252" t="s">
        <v>7</v>
      </c>
      <c r="N252" t="s">
        <v>8</v>
      </c>
      <c r="P252">
        <f t="shared" si="959"/>
        <v>0.62868769074262465</v>
      </c>
      <c r="Q252">
        <f t="shared" si="960"/>
        <v>491547.98092370294</v>
      </c>
      <c r="R252">
        <f t="shared" si="961"/>
        <v>-10309465.715830993</v>
      </c>
      <c r="S252">
        <f t="shared" si="962"/>
        <v>-103.09465715830993</v>
      </c>
      <c r="T252">
        <f t="shared" si="963"/>
        <v>-0.10309465715830993</v>
      </c>
    </row>
    <row r="253" spans="1:20" x14ac:dyDescent="0.25">
      <c r="A253" s="5">
        <v>44340</v>
      </c>
      <c r="B253">
        <v>7.83</v>
      </c>
      <c r="C253">
        <v>10.522</v>
      </c>
      <c r="D253">
        <v>7.8259999999999996</v>
      </c>
      <c r="E253">
        <v>10.491</v>
      </c>
      <c r="F253">
        <v>921474.05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0.97700296735905001</v>
      </c>
      <c r="Q253">
        <f t="shared" si="960"/>
        <v>900282.88119436172</v>
      </c>
      <c r="R253">
        <f t="shared" si="961"/>
        <v>-10801013.696754696</v>
      </c>
      <c r="S253">
        <f t="shared" si="962"/>
        <v>-108.01013696754696</v>
      </c>
      <c r="T253">
        <f t="shared" si="963"/>
        <v>-0.10801013696754695</v>
      </c>
    </row>
    <row r="254" spans="1:20" x14ac:dyDescent="0.25">
      <c r="A254" s="5">
        <v>44339</v>
      </c>
      <c r="B254">
        <v>10.246</v>
      </c>
      <c r="C254">
        <v>11.061</v>
      </c>
      <c r="D254">
        <v>6.8</v>
      </c>
      <c r="E254">
        <v>7.83</v>
      </c>
      <c r="F254">
        <v>1480544.3049999999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-0.51654541187514658</v>
      </c>
      <c r="Q254">
        <f t="shared" si="960"/>
        <v>-764768.36782562756</v>
      </c>
      <c r="R254">
        <f t="shared" si="961"/>
        <v>-11701296.577949058</v>
      </c>
      <c r="S254">
        <f t="shared" si="962"/>
        <v>-117.01296577949059</v>
      </c>
      <c r="T254">
        <f t="shared" si="963"/>
        <v>-0.11701296577949058</v>
      </c>
    </row>
    <row r="255" spans="1:20" x14ac:dyDescent="0.25">
      <c r="A255" s="5">
        <v>44338</v>
      </c>
      <c r="B255">
        <v>10.301</v>
      </c>
      <c r="C255">
        <v>10.7</v>
      </c>
      <c r="D255">
        <v>8.7509999999999994</v>
      </c>
      <c r="E255">
        <v>10.241</v>
      </c>
      <c r="F255">
        <v>1118961.746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0.52898922524371506</v>
      </c>
      <c r="Q255">
        <f t="shared" si="960"/>
        <v>591918.70709389471</v>
      </c>
      <c r="R255">
        <f t="shared" si="961"/>
        <v>-10936528.210123431</v>
      </c>
      <c r="S255">
        <f t="shared" si="962"/>
        <v>-109.36528210123431</v>
      </c>
      <c r="T255">
        <f t="shared" si="963"/>
        <v>-0.10936528210123432</v>
      </c>
    </row>
    <row r="256" spans="1:20" x14ac:dyDescent="0.25">
      <c r="A256" s="5">
        <v>44337</v>
      </c>
      <c r="B256">
        <v>13.34</v>
      </c>
      <c r="C256">
        <v>14</v>
      </c>
      <c r="D256">
        <v>9.5</v>
      </c>
      <c r="E256">
        <v>10.313000000000001</v>
      </c>
      <c r="F256">
        <v>1428593.676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-0.63866666666666638</v>
      </c>
      <c r="Q256">
        <f t="shared" si="960"/>
        <v>-912395.16107199958</v>
      </c>
      <c r="R256">
        <f t="shared" si="961"/>
        <v>-11528446.917217325</v>
      </c>
      <c r="S256">
        <f t="shared" si="962"/>
        <v>-115.28446917217326</v>
      </c>
      <c r="T256">
        <f t="shared" si="963"/>
        <v>-0.11528446917217326</v>
      </c>
    </row>
    <row r="257" spans="1:20" x14ac:dyDescent="0.25">
      <c r="A257" s="5">
        <v>44336</v>
      </c>
      <c r="B257">
        <v>10.837</v>
      </c>
      <c r="C257">
        <v>14.76</v>
      </c>
      <c r="D257">
        <v>9.657</v>
      </c>
      <c r="E257">
        <v>13.34</v>
      </c>
      <c r="F257">
        <v>3522582.7829999998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0.44346462864981384</v>
      </c>
      <c r="Q257">
        <f t="shared" si="960"/>
        <v>1562140.8657513226</v>
      </c>
      <c r="R257">
        <f t="shared" si="961"/>
        <v>-10616051.756145326</v>
      </c>
      <c r="S257">
        <f t="shared" si="962"/>
        <v>-106.16051756145326</v>
      </c>
      <c r="T257">
        <f t="shared" si="963"/>
        <v>-0.10616051756145325</v>
      </c>
    </row>
    <row r="258" spans="1:20" x14ac:dyDescent="0.25">
      <c r="A258" s="5">
        <v>44335</v>
      </c>
      <c r="B258">
        <v>11.82</v>
      </c>
      <c r="C258">
        <v>12.359</v>
      </c>
      <c r="D258">
        <v>7.5</v>
      </c>
      <c r="E258">
        <v>10.859</v>
      </c>
      <c r="F258">
        <v>2182417.8059999999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0.38258901008437951</v>
      </c>
      <c r="Q258">
        <f t="shared" si="960"/>
        <v>834969.06798806333</v>
      </c>
      <c r="R258">
        <f t="shared" si="961"/>
        <v>-12178192.621896649</v>
      </c>
      <c r="S258">
        <f t="shared" si="962"/>
        <v>-121.78192621896649</v>
      </c>
      <c r="T258">
        <f t="shared" si="963"/>
        <v>-0.1217819262189665</v>
      </c>
    </row>
    <row r="259" spans="1:20" x14ac:dyDescent="0.25">
      <c r="A259" s="5">
        <v>44334</v>
      </c>
      <c r="B259">
        <v>9.3859999999999992</v>
      </c>
      <c r="C259">
        <v>12.526</v>
      </c>
      <c r="D259">
        <v>9.3780000000000001</v>
      </c>
      <c r="E259">
        <v>11.805</v>
      </c>
      <c r="F259">
        <v>1937190.6850000001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0.54193138500635318</v>
      </c>
      <c r="Q259">
        <f t="shared" si="960"/>
        <v>1049824.430943456</v>
      </c>
      <c r="R259">
        <f t="shared" si="961"/>
        <v>-13013161.689884713</v>
      </c>
      <c r="S259">
        <f t="shared" si="962"/>
        <v>-130.13161689884714</v>
      </c>
      <c r="T259">
        <f t="shared" si="963"/>
        <v>-0.13013161689884714</v>
      </c>
    </row>
    <row r="260" spans="1:20" x14ac:dyDescent="0.25">
      <c r="A260" s="5">
        <v>44333</v>
      </c>
      <c r="B260">
        <v>9.25</v>
      </c>
      <c r="C260">
        <v>10.199999999999999</v>
      </c>
      <c r="D260">
        <v>8.3160000000000007</v>
      </c>
      <c r="E260">
        <v>9.3940000000000001</v>
      </c>
      <c r="F260">
        <v>1168362.3500000001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0.14437367303609366</v>
      </c>
      <c r="Q260">
        <f t="shared" si="960"/>
        <v>168680.76390658205</v>
      </c>
      <c r="R260">
        <f t="shared" si="961"/>
        <v>-14062986.120828168</v>
      </c>
      <c r="S260">
        <f t="shared" si="962"/>
        <v>-140.62986120828168</v>
      </c>
      <c r="T260">
        <f t="shared" si="963"/>
        <v>-0.14062986120828169</v>
      </c>
    </row>
    <row r="261" spans="1:20" x14ac:dyDescent="0.25">
      <c r="A261" s="5">
        <v>44332</v>
      </c>
      <c r="B261">
        <v>9.6910000000000007</v>
      </c>
      <c r="C261">
        <v>10.35</v>
      </c>
      <c r="D261">
        <v>8.9529999999999994</v>
      </c>
      <c r="E261">
        <v>9.2650000000000006</v>
      </c>
      <c r="F261">
        <v>659135.21100000001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-0.55332856120257534</v>
      </c>
      <c r="Q261">
        <f t="shared" si="960"/>
        <v>-364718.33794058592</v>
      </c>
      <c r="R261">
        <f t="shared" si="961"/>
        <v>-14231666.88473475</v>
      </c>
      <c r="S261">
        <f t="shared" si="962"/>
        <v>-142.3166688473475</v>
      </c>
      <c r="T261">
        <f t="shared" si="963"/>
        <v>-0.14231666884734751</v>
      </c>
    </row>
    <row r="262" spans="1:20" x14ac:dyDescent="0.25">
      <c r="A262" s="5">
        <v>44331</v>
      </c>
      <c r="B262">
        <v>10.928000000000001</v>
      </c>
      <c r="C262">
        <v>12.678000000000001</v>
      </c>
      <c r="D262">
        <v>9.407</v>
      </c>
      <c r="E262">
        <v>9.7040000000000006</v>
      </c>
      <c r="F262">
        <v>1773449.4069999999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-0.81840415774992326</v>
      </c>
      <c r="Q262">
        <f t="shared" ref="Q262:Q325" si="965">F262*P262</f>
        <v>-1451398.3682479358</v>
      </c>
      <c r="R262">
        <f t="shared" ref="R262:R325" si="966">R263+Q262</f>
        <v>-13866948.546794163</v>
      </c>
      <c r="S262">
        <f t="shared" ref="S262:S325" si="967">R262/100000</f>
        <v>-138.66948546794163</v>
      </c>
      <c r="T262">
        <f t="shared" ref="T262:T325" si="968">S262/1000</f>
        <v>-0.13866948546794164</v>
      </c>
    </row>
    <row r="263" spans="1:20" x14ac:dyDescent="0.25">
      <c r="A263" s="5">
        <v>44330</v>
      </c>
      <c r="B263">
        <v>7.8929999999999998</v>
      </c>
      <c r="C263">
        <v>11.574999999999999</v>
      </c>
      <c r="D263">
        <v>7.87</v>
      </c>
      <c r="E263">
        <v>10.927</v>
      </c>
      <c r="F263">
        <v>2803442.3250000002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0.65020242914979764</v>
      </c>
      <c r="Q263">
        <f t="shared" si="965"/>
        <v>1822805.0096963567</v>
      </c>
      <c r="R263">
        <f t="shared" si="966"/>
        <v>-12415550.178546228</v>
      </c>
      <c r="S263">
        <f t="shared" si="967"/>
        <v>-124.15550178546228</v>
      </c>
      <c r="T263">
        <f t="shared" si="968"/>
        <v>-0.12415550178546228</v>
      </c>
    </row>
    <row r="264" spans="1:20" x14ac:dyDescent="0.25">
      <c r="A264" s="5">
        <v>44329</v>
      </c>
      <c r="B264">
        <v>7.51</v>
      </c>
      <c r="C264">
        <v>8.19</v>
      </c>
      <c r="D264">
        <v>7.1470000000000002</v>
      </c>
      <c r="E264">
        <v>7.8979999999999997</v>
      </c>
      <c r="F264">
        <v>642932.29299999995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0.44007670182166825</v>
      </c>
      <c r="Q264">
        <f t="shared" si="965"/>
        <v>282939.52299808239</v>
      </c>
      <c r="R264">
        <f t="shared" si="966"/>
        <v>-14238355.188242584</v>
      </c>
      <c r="S264">
        <f t="shared" si="967"/>
        <v>-142.38355188242585</v>
      </c>
      <c r="T264">
        <f t="shared" si="968"/>
        <v>-0.14238355188242585</v>
      </c>
    </row>
    <row r="265" spans="1:20" x14ac:dyDescent="0.25">
      <c r="A265" s="5">
        <v>44328</v>
      </c>
      <c r="B265">
        <v>7.6829999999999998</v>
      </c>
      <c r="C265">
        <v>8.19</v>
      </c>
      <c r="D265">
        <v>7.51</v>
      </c>
      <c r="E265">
        <v>7.5339999999999998</v>
      </c>
      <c r="F265">
        <v>452857.85700000002</v>
      </c>
      <c r="G265">
        <v>0</v>
      </c>
      <c r="L265" t="s">
        <v>8</v>
      </c>
      <c r="M265" t="s">
        <v>7</v>
      </c>
      <c r="N265" t="s">
        <v>8</v>
      </c>
      <c r="P265">
        <f t="shared" si="964"/>
        <v>-0.92941176470588227</v>
      </c>
      <c r="Q265">
        <f t="shared" si="965"/>
        <v>-420891.42003529408</v>
      </c>
      <c r="R265">
        <f t="shared" si="966"/>
        <v>-14521294.711240666</v>
      </c>
      <c r="S265">
        <f t="shared" si="967"/>
        <v>-145.21294711240665</v>
      </c>
      <c r="T265">
        <f t="shared" si="968"/>
        <v>-0.14521294711240665</v>
      </c>
    </row>
    <row r="266" spans="1:20" x14ac:dyDescent="0.25">
      <c r="A266" s="5">
        <v>44327</v>
      </c>
      <c r="B266">
        <v>7.7590000000000003</v>
      </c>
      <c r="C266">
        <v>7.8879999999999999</v>
      </c>
      <c r="D266">
        <v>7.2569999999999997</v>
      </c>
      <c r="E266">
        <v>7.6710000000000003</v>
      </c>
      <c r="F266">
        <v>495464.24800000002</v>
      </c>
      <c r="G266">
        <v>0</v>
      </c>
      <c r="L266" t="s">
        <v>7</v>
      </c>
      <c r="M266" t="s">
        <v>7</v>
      </c>
      <c r="N266" t="s">
        <v>8</v>
      </c>
      <c r="P266">
        <f t="shared" si="964"/>
        <v>0.31220285261489839</v>
      </c>
      <c r="Q266">
        <f t="shared" si="965"/>
        <v>154685.35159429547</v>
      </c>
      <c r="R266">
        <f t="shared" si="966"/>
        <v>-14100403.291205373</v>
      </c>
      <c r="S266">
        <f t="shared" si="967"/>
        <v>-141.00403291205373</v>
      </c>
      <c r="T266">
        <f t="shared" si="968"/>
        <v>-0.14100403291205374</v>
      </c>
    </row>
    <row r="267" spans="1:20" x14ac:dyDescent="0.25">
      <c r="A267" s="5">
        <v>44326</v>
      </c>
      <c r="B267">
        <v>8.0660000000000007</v>
      </c>
      <c r="C267">
        <v>8.24</v>
      </c>
      <c r="D267">
        <v>7.5469999999999997</v>
      </c>
      <c r="E267">
        <v>7.76</v>
      </c>
      <c r="F267">
        <v>269467.38699999999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-0.3852813852813855</v>
      </c>
      <c r="Q267">
        <f t="shared" si="965"/>
        <v>-103820.76815151521</v>
      </c>
      <c r="R267">
        <f t="shared" si="966"/>
        <v>-14255088.642799668</v>
      </c>
      <c r="S267">
        <f t="shared" si="967"/>
        <v>-142.55088642799669</v>
      </c>
      <c r="T267">
        <f t="shared" si="968"/>
        <v>-0.14255088642799668</v>
      </c>
    </row>
    <row r="268" spans="1:20" x14ac:dyDescent="0.25">
      <c r="A268" s="5">
        <v>44325</v>
      </c>
      <c r="B268">
        <v>8.3119999999999994</v>
      </c>
      <c r="C268">
        <v>8.5269999999999992</v>
      </c>
      <c r="D268">
        <v>7.9370000000000003</v>
      </c>
      <c r="E268">
        <v>8.0670000000000002</v>
      </c>
      <c r="F268">
        <v>231504.38200000001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-0.5593220338983047</v>
      </c>
      <c r="Q268">
        <f t="shared" si="965"/>
        <v>-129485.50179661009</v>
      </c>
      <c r="R268">
        <f t="shared" si="966"/>
        <v>-14151267.874648152</v>
      </c>
      <c r="S268">
        <f t="shared" si="967"/>
        <v>-141.51267874648153</v>
      </c>
      <c r="T268">
        <f t="shared" si="968"/>
        <v>-0.14151267874648152</v>
      </c>
    </row>
    <row r="269" spans="1:20" x14ac:dyDescent="0.25">
      <c r="A269" s="5">
        <v>44324</v>
      </c>
      <c r="B269">
        <v>8.0169999999999995</v>
      </c>
      <c r="C269">
        <v>8.3689999999999998</v>
      </c>
      <c r="D269">
        <v>7.9939999999999998</v>
      </c>
      <c r="E269">
        <v>8.3049999999999997</v>
      </c>
      <c r="F269">
        <v>248555.25700000001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0.6586666666666664</v>
      </c>
      <c r="Q269">
        <f t="shared" si="965"/>
        <v>163715.06261066662</v>
      </c>
      <c r="R269">
        <f t="shared" si="966"/>
        <v>-14021782.372851541</v>
      </c>
      <c r="S269">
        <f t="shared" si="967"/>
        <v>-140.21782372851541</v>
      </c>
      <c r="T269">
        <f t="shared" si="968"/>
        <v>-0.14021782372851541</v>
      </c>
    </row>
    <row r="270" spans="1:20" x14ac:dyDescent="0.25">
      <c r="A270" s="5">
        <v>44323</v>
      </c>
      <c r="B270">
        <v>8.1219999999999999</v>
      </c>
      <c r="C270">
        <v>8.1869999999999994</v>
      </c>
      <c r="D270">
        <v>7.8010000000000002</v>
      </c>
      <c r="E270">
        <v>8.0299999999999994</v>
      </c>
      <c r="F270">
        <v>445892.91499999998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0.18652849740932467</v>
      </c>
      <c r="Q270">
        <f t="shared" si="965"/>
        <v>83171.73544041373</v>
      </c>
      <c r="R270">
        <f t="shared" si="966"/>
        <v>-14185497.435462208</v>
      </c>
      <c r="S270">
        <f t="shared" si="967"/>
        <v>-141.85497435462207</v>
      </c>
      <c r="T270">
        <f t="shared" si="968"/>
        <v>-0.14185497435462208</v>
      </c>
    </row>
    <row r="271" spans="1:20" x14ac:dyDescent="0.25">
      <c r="A271" s="5">
        <v>44322</v>
      </c>
      <c r="B271">
        <v>9.0340000000000007</v>
      </c>
      <c r="C271">
        <v>9.0399999999999991</v>
      </c>
      <c r="D271">
        <v>8.0990000000000002</v>
      </c>
      <c r="E271">
        <v>8.1199999999999992</v>
      </c>
      <c r="F271">
        <v>537674.81599999999</v>
      </c>
      <c r="G271">
        <v>0</v>
      </c>
      <c r="L271" t="s">
        <v>7</v>
      </c>
      <c r="M271" t="s">
        <v>8</v>
      </c>
      <c r="N271" t="s">
        <v>8</v>
      </c>
      <c r="P271">
        <f t="shared" si="964"/>
        <v>-0.95536663124336019</v>
      </c>
      <c r="Q271">
        <f t="shared" si="965"/>
        <v>-513676.5776663135</v>
      </c>
      <c r="R271">
        <f t="shared" si="966"/>
        <v>-14268669.170902623</v>
      </c>
      <c r="S271">
        <f t="shared" si="967"/>
        <v>-142.68669170902623</v>
      </c>
      <c r="T271">
        <f t="shared" si="968"/>
        <v>-0.14268669170902623</v>
      </c>
    </row>
    <row r="272" spans="1:20" x14ac:dyDescent="0.25">
      <c r="A272" s="5">
        <v>44321</v>
      </c>
      <c r="B272">
        <v>8.4879999999999995</v>
      </c>
      <c r="C272">
        <v>9.173</v>
      </c>
      <c r="D272">
        <v>8.4589999999999996</v>
      </c>
      <c r="E272">
        <v>9.0340000000000007</v>
      </c>
      <c r="F272">
        <v>637724.90300000005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0.61064425770308328</v>
      </c>
      <c r="Q272">
        <f t="shared" si="965"/>
        <v>389423.05001120584</v>
      </c>
      <c r="R272">
        <f t="shared" si="966"/>
        <v>-13754992.593236309</v>
      </c>
      <c r="S272">
        <f t="shared" si="967"/>
        <v>-137.5499259323631</v>
      </c>
      <c r="T272">
        <f t="shared" si="968"/>
        <v>-0.13754992593236309</v>
      </c>
    </row>
    <row r="273" spans="1:20" x14ac:dyDescent="0.25">
      <c r="A273" s="5">
        <v>44320</v>
      </c>
      <c r="B273">
        <v>8.5820000000000007</v>
      </c>
      <c r="C273">
        <v>8.9090000000000007</v>
      </c>
      <c r="D273">
        <v>8.1460000000000008</v>
      </c>
      <c r="E273">
        <v>8.4749999999999996</v>
      </c>
      <c r="F273">
        <v>921401.58799999999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-0.13761467889908546</v>
      </c>
      <c r="Q273">
        <f t="shared" si="965"/>
        <v>-126798.38366972744</v>
      </c>
      <c r="R273">
        <f t="shared" si="966"/>
        <v>-14144415.643247515</v>
      </c>
      <c r="S273">
        <f t="shared" si="967"/>
        <v>-141.44415643247515</v>
      </c>
      <c r="T273">
        <f t="shared" si="968"/>
        <v>-0.14144415643247515</v>
      </c>
    </row>
    <row r="274" spans="1:20" x14ac:dyDescent="0.25">
      <c r="A274" s="5">
        <v>44319</v>
      </c>
      <c r="B274">
        <v>7.8929999999999998</v>
      </c>
      <c r="C274">
        <v>8.8350000000000009</v>
      </c>
      <c r="D274">
        <v>7.8849999999999998</v>
      </c>
      <c r="E274">
        <v>8.5809999999999995</v>
      </c>
      <c r="F274">
        <v>976876.97499999998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0.4652631578947346</v>
      </c>
      <c r="Q274">
        <f t="shared" si="965"/>
        <v>454504.86626315571</v>
      </c>
      <c r="R274">
        <f t="shared" si="966"/>
        <v>-14017617.259577788</v>
      </c>
      <c r="S274">
        <f t="shared" si="967"/>
        <v>-140.17617259577787</v>
      </c>
      <c r="T274">
        <f t="shared" si="968"/>
        <v>-0.14017617259577786</v>
      </c>
    </row>
    <row r="275" spans="1:20" x14ac:dyDescent="0.25">
      <c r="A275" s="5">
        <v>44318</v>
      </c>
      <c r="B275">
        <v>7.79</v>
      </c>
      <c r="C275">
        <v>7.899</v>
      </c>
      <c r="D275">
        <v>7.6660000000000004</v>
      </c>
      <c r="E275">
        <v>7.8949999999999996</v>
      </c>
      <c r="F275">
        <v>391666.147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0.96566523605149823</v>
      </c>
      <c r="Q275">
        <f t="shared" si="965"/>
        <v>378218.38229613582</v>
      </c>
      <c r="R275">
        <f t="shared" si="966"/>
        <v>-14472122.125840943</v>
      </c>
      <c r="S275">
        <f t="shared" si="967"/>
        <v>-144.72122125840943</v>
      </c>
      <c r="T275">
        <f t="shared" si="968"/>
        <v>-0.14472122125840942</v>
      </c>
    </row>
    <row r="276" spans="1:20" x14ac:dyDescent="0.25">
      <c r="A276" s="5">
        <v>44317</v>
      </c>
      <c r="B276">
        <v>8.2579999999999991</v>
      </c>
      <c r="C276">
        <v>8.3989999999999991</v>
      </c>
      <c r="D276">
        <v>7.7389999999999999</v>
      </c>
      <c r="E276">
        <v>7.79</v>
      </c>
      <c r="F276">
        <v>388074.14500000002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-0.84545454545454479</v>
      </c>
      <c r="Q276">
        <f t="shared" si="965"/>
        <v>-328099.04986363614</v>
      </c>
      <c r="R276">
        <f t="shared" si="966"/>
        <v>-14850340.508137079</v>
      </c>
      <c r="S276">
        <f t="shared" si="967"/>
        <v>-148.5034050813708</v>
      </c>
      <c r="T276">
        <f t="shared" si="968"/>
        <v>-0.1485034050813708</v>
      </c>
    </row>
    <row r="277" spans="1:20" x14ac:dyDescent="0.25">
      <c r="A277" s="5">
        <v>44316</v>
      </c>
      <c r="B277">
        <v>7.2919999999999998</v>
      </c>
      <c r="C277">
        <v>8.3989999999999991</v>
      </c>
      <c r="D277">
        <v>7.2850000000000001</v>
      </c>
      <c r="E277">
        <v>8.2620000000000005</v>
      </c>
      <c r="F277">
        <v>1510830.371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0.75403949730700393</v>
      </c>
      <c r="Q277">
        <f t="shared" si="965"/>
        <v>1139225.7734649943</v>
      </c>
      <c r="R277">
        <f t="shared" si="966"/>
        <v>-14522241.458273442</v>
      </c>
      <c r="S277">
        <f t="shared" si="967"/>
        <v>-145.22241458273442</v>
      </c>
      <c r="T277">
        <f t="shared" si="968"/>
        <v>-0.14522241458273441</v>
      </c>
    </row>
    <row r="278" spans="1:20" x14ac:dyDescent="0.25">
      <c r="A278" s="5">
        <v>44315</v>
      </c>
      <c r="B278">
        <v>7.1820000000000004</v>
      </c>
      <c r="C278">
        <v>7.5659999999999998</v>
      </c>
      <c r="D278">
        <v>6.99</v>
      </c>
      <c r="E278">
        <v>7.2839999999999998</v>
      </c>
      <c r="F278">
        <v>868934.38899999997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2.0833333333332593E-2</v>
      </c>
      <c r="Q278">
        <f t="shared" si="965"/>
        <v>18102.799770832691</v>
      </c>
      <c r="R278">
        <f t="shared" si="966"/>
        <v>-15661467.231738437</v>
      </c>
      <c r="S278">
        <f t="shared" si="967"/>
        <v>-156.61467231738436</v>
      </c>
      <c r="T278">
        <f t="shared" si="968"/>
        <v>-0.15661467231738435</v>
      </c>
    </row>
    <row r="279" spans="1:20" x14ac:dyDescent="0.25">
      <c r="A279" s="5">
        <v>44314</v>
      </c>
      <c r="B279">
        <v>6.5220000000000002</v>
      </c>
      <c r="C279">
        <v>7.59</v>
      </c>
      <c r="D279">
        <v>6.5179999999999998</v>
      </c>
      <c r="E279">
        <v>7.1820000000000004</v>
      </c>
      <c r="F279">
        <v>1871447.0589999999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0.23880597014925475</v>
      </c>
      <c r="Q279">
        <f t="shared" si="965"/>
        <v>446912.73050746456</v>
      </c>
      <c r="R279">
        <f t="shared" si="966"/>
        <v>-15679570.031509269</v>
      </c>
      <c r="S279">
        <f t="shared" si="967"/>
        <v>-156.79570031509269</v>
      </c>
      <c r="T279">
        <f t="shared" si="968"/>
        <v>-0.15679570031509268</v>
      </c>
    </row>
    <row r="280" spans="1:20" x14ac:dyDescent="0.25">
      <c r="A280" s="5">
        <v>44313</v>
      </c>
      <c r="B280">
        <v>6.4580000000000002</v>
      </c>
      <c r="C280">
        <v>6.8970000000000002</v>
      </c>
      <c r="D280">
        <v>6.3490000000000002</v>
      </c>
      <c r="E280">
        <v>6.5220000000000002</v>
      </c>
      <c r="F280">
        <v>653721.48199999996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-0.36861313868613127</v>
      </c>
      <c r="Q280">
        <f t="shared" si="965"/>
        <v>-240970.32730656926</v>
      </c>
      <c r="R280">
        <f t="shared" si="966"/>
        <v>-16126482.762016734</v>
      </c>
      <c r="S280">
        <f t="shared" si="967"/>
        <v>-161.26482762016735</v>
      </c>
      <c r="T280">
        <f t="shared" si="968"/>
        <v>-0.16126482762016736</v>
      </c>
    </row>
    <row r="281" spans="1:20" x14ac:dyDescent="0.25">
      <c r="A281" s="5">
        <v>44312</v>
      </c>
      <c r="B281">
        <v>6.1559999999999997</v>
      </c>
      <c r="C281">
        <v>6.57</v>
      </c>
      <c r="D281">
        <v>6.1470000000000002</v>
      </c>
      <c r="E281">
        <v>6.4580000000000002</v>
      </c>
      <c r="F281">
        <v>311935.22700000001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0.47044917257683172</v>
      </c>
      <c r="Q281">
        <f t="shared" si="965"/>
        <v>146749.66943971618</v>
      </c>
      <c r="R281">
        <f t="shared" si="966"/>
        <v>-15885512.434710165</v>
      </c>
      <c r="S281">
        <f t="shared" si="967"/>
        <v>-158.85512434710165</v>
      </c>
      <c r="T281">
        <f t="shared" si="968"/>
        <v>-0.15885512434710164</v>
      </c>
    </row>
    <row r="282" spans="1:20" x14ac:dyDescent="0.25">
      <c r="A282" s="5">
        <v>44311</v>
      </c>
      <c r="B282">
        <v>6.4240000000000004</v>
      </c>
      <c r="C282">
        <v>6.4790000000000001</v>
      </c>
      <c r="D282">
        <v>6.0579999999999998</v>
      </c>
      <c r="E282">
        <v>6.1559999999999997</v>
      </c>
      <c r="F282">
        <v>270864.92599999998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-0.5344418052256541</v>
      </c>
      <c r="Q282">
        <f t="shared" si="965"/>
        <v>-144761.54002375319</v>
      </c>
      <c r="R282">
        <f t="shared" si="966"/>
        <v>-16032262.104149882</v>
      </c>
      <c r="S282">
        <f t="shared" si="967"/>
        <v>-160.32262104149882</v>
      </c>
      <c r="T282">
        <f t="shared" si="968"/>
        <v>-0.16032262104149883</v>
      </c>
    </row>
    <row r="283" spans="1:20" x14ac:dyDescent="0.25">
      <c r="A283" s="5">
        <v>44310</v>
      </c>
      <c r="B283">
        <v>6.6210000000000004</v>
      </c>
      <c r="C283">
        <v>6.7880000000000003</v>
      </c>
      <c r="D283">
        <v>6.2859999999999996</v>
      </c>
      <c r="E283">
        <v>6.4160000000000004</v>
      </c>
      <c r="F283">
        <v>446996.06699999998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-0.48207171314740793</v>
      </c>
      <c r="Q283">
        <f t="shared" si="965"/>
        <v>-215484.15978884354</v>
      </c>
      <c r="R283">
        <f t="shared" si="966"/>
        <v>-15887500.564126128</v>
      </c>
      <c r="S283">
        <f t="shared" si="967"/>
        <v>-158.87500564126128</v>
      </c>
      <c r="T283">
        <f t="shared" si="968"/>
        <v>-0.15887500564126128</v>
      </c>
    </row>
    <row r="284" spans="1:20" x14ac:dyDescent="0.25">
      <c r="A284" s="5">
        <v>44309</v>
      </c>
      <c r="B284">
        <v>5.9550000000000001</v>
      </c>
      <c r="C284">
        <v>6.7469999999999999</v>
      </c>
      <c r="D284">
        <v>5.1959999999999997</v>
      </c>
      <c r="E284">
        <v>6.62</v>
      </c>
      <c r="F284">
        <v>862655.34400000004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0.83623468729851735</v>
      </c>
      <c r="Q284">
        <f t="shared" si="965"/>
        <v>721382.321836235</v>
      </c>
      <c r="R284">
        <f t="shared" si="966"/>
        <v>-15672016.404337285</v>
      </c>
      <c r="S284">
        <f t="shared" si="967"/>
        <v>-156.72016404337285</v>
      </c>
      <c r="T284">
        <f t="shared" si="968"/>
        <v>-0.15672016404337286</v>
      </c>
    </row>
    <row r="285" spans="1:20" x14ac:dyDescent="0.25">
      <c r="A285" s="5">
        <v>44308</v>
      </c>
      <c r="B285">
        <v>6.1470000000000002</v>
      </c>
      <c r="C285">
        <v>6.835</v>
      </c>
      <c r="D285">
        <v>5.8620000000000001</v>
      </c>
      <c r="E285">
        <v>5.952</v>
      </c>
      <c r="F285">
        <v>744093.38800000004</v>
      </c>
      <c r="G285">
        <v>0</v>
      </c>
      <c r="L285" t="s">
        <v>8</v>
      </c>
      <c r="M285" t="s">
        <v>8</v>
      </c>
      <c r="N285" t="s">
        <v>7</v>
      </c>
      <c r="P285">
        <f t="shared" si="964"/>
        <v>-0.81500513874614622</v>
      </c>
      <c r="Q285">
        <f t="shared" si="965"/>
        <v>-606439.93492703</v>
      </c>
      <c r="R285">
        <f t="shared" si="966"/>
        <v>-16393398.72617352</v>
      </c>
      <c r="S285">
        <f t="shared" si="967"/>
        <v>-163.93398726173521</v>
      </c>
      <c r="T285">
        <f t="shared" si="968"/>
        <v>-0.16393398726173522</v>
      </c>
    </row>
    <row r="286" spans="1:20" x14ac:dyDescent="0.25">
      <c r="A286" s="5">
        <v>44307</v>
      </c>
      <c r="B286">
        <v>6.1429999999999998</v>
      </c>
      <c r="C286">
        <v>6.64</v>
      </c>
      <c r="D286">
        <v>5.8810000000000002</v>
      </c>
      <c r="E286">
        <v>6.1529999999999996</v>
      </c>
      <c r="F286">
        <v>620047.17700000003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-0.28326745718050184</v>
      </c>
      <c r="Q286">
        <f t="shared" si="965"/>
        <v>-175639.18716073854</v>
      </c>
      <c r="R286">
        <f t="shared" si="966"/>
        <v>-15786958.791246491</v>
      </c>
      <c r="S286">
        <f t="shared" si="967"/>
        <v>-157.86958791246491</v>
      </c>
      <c r="T286">
        <f t="shared" si="968"/>
        <v>-0.15786958791246491</v>
      </c>
    </row>
    <row r="287" spans="1:20" x14ac:dyDescent="0.25">
      <c r="A287" s="5">
        <v>44306</v>
      </c>
      <c r="B287">
        <v>5.9509999999999996</v>
      </c>
      <c r="C287">
        <v>6.25</v>
      </c>
      <c r="D287">
        <v>5.593</v>
      </c>
      <c r="E287">
        <v>6.1429999999999998</v>
      </c>
      <c r="F287">
        <v>538970.28599999996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0.67427701674276952</v>
      </c>
      <c r="Q287">
        <f t="shared" si="965"/>
        <v>363415.27655707725</v>
      </c>
      <c r="R287">
        <f t="shared" si="966"/>
        <v>-15611319.604085753</v>
      </c>
      <c r="S287">
        <f t="shared" si="967"/>
        <v>-156.11319604085753</v>
      </c>
      <c r="T287">
        <f t="shared" si="968"/>
        <v>-0.15611319604085752</v>
      </c>
    </row>
    <row r="288" spans="1:20" x14ac:dyDescent="0.25">
      <c r="A288" s="5">
        <v>44305</v>
      </c>
      <c r="B288">
        <v>6.327</v>
      </c>
      <c r="C288">
        <v>6.6779999999999999</v>
      </c>
      <c r="D288">
        <v>5.8559999999999999</v>
      </c>
      <c r="E288">
        <v>5.9509999999999996</v>
      </c>
      <c r="F288">
        <v>595751.51599999995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-0.76885644768856509</v>
      </c>
      <c r="Q288">
        <f t="shared" si="965"/>
        <v>-458047.39429683733</v>
      </c>
      <c r="R288">
        <f t="shared" si="966"/>
        <v>-15974734.880642829</v>
      </c>
      <c r="S288">
        <f t="shared" si="967"/>
        <v>-159.74734880642831</v>
      </c>
      <c r="T288">
        <f t="shared" si="968"/>
        <v>-0.1597473488064283</v>
      </c>
    </row>
    <row r="289" spans="1:20" x14ac:dyDescent="0.25">
      <c r="A289" s="5">
        <v>44304</v>
      </c>
      <c r="B289">
        <v>7.3550000000000004</v>
      </c>
      <c r="C289">
        <v>7.3550000000000004</v>
      </c>
      <c r="D289">
        <v>6.0860000000000003</v>
      </c>
      <c r="E289">
        <v>6.327</v>
      </c>
      <c r="F289">
        <v>691266.35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-0.62017336485421648</v>
      </c>
      <c r="Q289">
        <f t="shared" si="965"/>
        <v>-428704.97828999249</v>
      </c>
      <c r="R289">
        <f t="shared" si="966"/>
        <v>-15516687.486345991</v>
      </c>
      <c r="S289">
        <f t="shared" si="967"/>
        <v>-155.16687486345992</v>
      </c>
      <c r="T289">
        <f t="shared" si="968"/>
        <v>-0.15516687486345992</v>
      </c>
    </row>
    <row r="290" spans="1:20" x14ac:dyDescent="0.25">
      <c r="A290" s="5">
        <v>44303</v>
      </c>
      <c r="B290">
        <v>7.5060000000000002</v>
      </c>
      <c r="C290">
        <v>7.5830000000000002</v>
      </c>
      <c r="D290">
        <v>7.2949999999999999</v>
      </c>
      <c r="E290">
        <v>7.3550000000000004</v>
      </c>
      <c r="F290">
        <v>486336.42700000003</v>
      </c>
      <c r="G290">
        <v>0</v>
      </c>
      <c r="L290" t="s">
        <v>7</v>
      </c>
      <c r="M290" t="s">
        <v>7</v>
      </c>
      <c r="N290" t="s">
        <v>7</v>
      </c>
      <c r="P290">
        <f t="shared" si="964"/>
        <v>-0.58333333333333026</v>
      </c>
      <c r="Q290">
        <f t="shared" si="965"/>
        <v>-283696.24908333184</v>
      </c>
      <c r="R290">
        <f t="shared" si="966"/>
        <v>-15087982.508056</v>
      </c>
      <c r="S290">
        <f t="shared" si="967"/>
        <v>-150.87982508056001</v>
      </c>
      <c r="T290">
        <f t="shared" si="968"/>
        <v>-0.15087982508056</v>
      </c>
    </row>
    <row r="291" spans="1:20" x14ac:dyDescent="0.25">
      <c r="A291" s="5">
        <v>44302</v>
      </c>
      <c r="B291">
        <v>8.3870000000000005</v>
      </c>
      <c r="C291">
        <v>8.4009999999999998</v>
      </c>
      <c r="D291">
        <v>7.3140000000000001</v>
      </c>
      <c r="E291">
        <v>7.508</v>
      </c>
      <c r="F291">
        <v>544950.87899999996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-0.6430542778288868</v>
      </c>
      <c r="Q291">
        <f t="shared" si="965"/>
        <v>-350432.99394756206</v>
      </c>
      <c r="R291">
        <f t="shared" si="966"/>
        <v>-14804286.258972667</v>
      </c>
      <c r="S291">
        <f t="shared" si="967"/>
        <v>-148.04286258972667</v>
      </c>
      <c r="T291">
        <f t="shared" si="968"/>
        <v>-0.14804286258972665</v>
      </c>
    </row>
    <row r="292" spans="1:20" x14ac:dyDescent="0.25">
      <c r="A292" s="5">
        <v>44301</v>
      </c>
      <c r="B292">
        <v>8.1140000000000008</v>
      </c>
      <c r="C292">
        <v>8.7390000000000008</v>
      </c>
      <c r="D292">
        <v>8.0350000000000001</v>
      </c>
      <c r="E292">
        <v>8.3960000000000008</v>
      </c>
      <c r="F292">
        <v>441218.24400000001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2.5568181818182763E-2</v>
      </c>
      <c r="Q292">
        <f t="shared" si="965"/>
        <v>11281.148284091327</v>
      </c>
      <c r="R292">
        <f t="shared" si="966"/>
        <v>-14453853.265025105</v>
      </c>
      <c r="S292">
        <f t="shared" si="967"/>
        <v>-144.53853265025106</v>
      </c>
      <c r="T292">
        <f t="shared" si="968"/>
        <v>-0.14453853265025104</v>
      </c>
    </row>
    <row r="293" spans="1:20" x14ac:dyDescent="0.25">
      <c r="A293" s="5">
        <v>44300</v>
      </c>
      <c r="B293">
        <v>8.3879999999999999</v>
      </c>
      <c r="C293">
        <v>8.6999999999999993</v>
      </c>
      <c r="D293">
        <v>7.8</v>
      </c>
      <c r="E293">
        <v>8.1069999999999993</v>
      </c>
      <c r="F293">
        <v>724897.33100000001</v>
      </c>
      <c r="G293">
        <v>0</v>
      </c>
      <c r="L293" t="s">
        <v>7</v>
      </c>
      <c r="M293" t="s">
        <v>8</v>
      </c>
      <c r="N293" t="s">
        <v>7</v>
      </c>
      <c r="P293">
        <f t="shared" si="964"/>
        <v>-0.31777777777777849</v>
      </c>
      <c r="Q293">
        <f t="shared" si="965"/>
        <v>-230356.26296222274</v>
      </c>
      <c r="R293">
        <f t="shared" si="966"/>
        <v>-14465134.413309196</v>
      </c>
      <c r="S293">
        <f t="shared" si="967"/>
        <v>-144.65134413309195</v>
      </c>
      <c r="T293">
        <f t="shared" si="968"/>
        <v>-0.14465134413309194</v>
      </c>
    </row>
    <row r="294" spans="1:20" x14ac:dyDescent="0.25">
      <c r="A294" s="5">
        <v>44299</v>
      </c>
      <c r="B294">
        <v>8.0510000000000002</v>
      </c>
      <c r="C294">
        <v>8.4019999999999992</v>
      </c>
      <c r="D294">
        <v>7.92</v>
      </c>
      <c r="E294">
        <v>8.3919999999999995</v>
      </c>
      <c r="F294">
        <v>498645.60399999999</v>
      </c>
      <c r="G294">
        <v>0</v>
      </c>
      <c r="L294" t="s">
        <v>7</v>
      </c>
      <c r="M294" t="s">
        <v>8</v>
      </c>
      <c r="N294" t="s">
        <v>7</v>
      </c>
      <c r="P294">
        <f t="shared" si="964"/>
        <v>0.95850622406639086</v>
      </c>
      <c r="Q294">
        <f t="shared" si="965"/>
        <v>477954.91503734479</v>
      </c>
      <c r="R294">
        <f t="shared" si="966"/>
        <v>-14234778.150346974</v>
      </c>
      <c r="S294">
        <f t="shared" si="967"/>
        <v>-142.34778150346975</v>
      </c>
      <c r="T294">
        <f t="shared" si="968"/>
        <v>-0.14234778150346974</v>
      </c>
    </row>
    <row r="295" spans="1:20" x14ac:dyDescent="0.25">
      <c r="A295" s="5">
        <v>44298</v>
      </c>
      <c r="B295">
        <v>7.9939999999999998</v>
      </c>
      <c r="C295">
        <v>8.8130000000000006</v>
      </c>
      <c r="D295">
        <v>7.7629999999999999</v>
      </c>
      <c r="E295">
        <v>8.0500000000000007</v>
      </c>
      <c r="F295">
        <v>862354.15599999996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-0.45333333333333214</v>
      </c>
      <c r="Q295">
        <f t="shared" si="965"/>
        <v>-390933.88405333227</v>
      </c>
      <c r="R295">
        <f t="shared" si="966"/>
        <v>-14712733.065384319</v>
      </c>
      <c r="S295">
        <f t="shared" si="967"/>
        <v>-147.12733065384319</v>
      </c>
      <c r="T295">
        <f t="shared" si="968"/>
        <v>-0.14712733065384317</v>
      </c>
    </row>
    <row r="296" spans="1:20" x14ac:dyDescent="0.25">
      <c r="A296" s="5">
        <v>44297</v>
      </c>
      <c r="B296">
        <v>7.5049999999999999</v>
      </c>
      <c r="C296">
        <v>8.0549999999999997</v>
      </c>
      <c r="D296">
        <v>7.3810000000000002</v>
      </c>
      <c r="E296">
        <v>7.9850000000000003</v>
      </c>
      <c r="F296">
        <v>4666051.767</v>
      </c>
      <c r="G296">
        <v>0</v>
      </c>
      <c r="L296" t="s">
        <v>8</v>
      </c>
      <c r="M296" t="s">
        <v>7</v>
      </c>
      <c r="N296" t="s">
        <v>7</v>
      </c>
      <c r="P296">
        <f t="shared" si="964"/>
        <v>0.79228486646884433</v>
      </c>
      <c r="Q296">
        <f t="shared" si="965"/>
        <v>3696842.2011543103</v>
      </c>
      <c r="R296">
        <f t="shared" si="966"/>
        <v>-14321799.181330986</v>
      </c>
      <c r="S296">
        <f t="shared" si="967"/>
        <v>-143.21799181330985</v>
      </c>
      <c r="T296">
        <f t="shared" si="968"/>
        <v>-0.14321799181330985</v>
      </c>
    </row>
    <row r="297" spans="1:20" x14ac:dyDescent="0.25">
      <c r="A297" s="5">
        <v>44296</v>
      </c>
      <c r="B297">
        <v>7.7839999999999998</v>
      </c>
      <c r="C297">
        <v>8.0540000000000003</v>
      </c>
      <c r="D297">
        <v>7.3650000000000002</v>
      </c>
      <c r="E297">
        <v>7.5039999999999996</v>
      </c>
      <c r="F297">
        <v>2976238.3859999999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-0.59651669085631542</v>
      </c>
      <c r="Q297">
        <f t="shared" si="965"/>
        <v>-1775375.8732162612</v>
      </c>
      <c r="R297">
        <f t="shared" si="966"/>
        <v>-18018641.382485297</v>
      </c>
      <c r="S297">
        <f t="shared" si="967"/>
        <v>-180.18641382485296</v>
      </c>
      <c r="T297">
        <f t="shared" si="968"/>
        <v>-0.18018641382485295</v>
      </c>
    </row>
    <row r="298" spans="1:20" x14ac:dyDescent="0.25">
      <c r="A298" s="5">
        <v>44295</v>
      </c>
      <c r="B298">
        <v>7.7270000000000003</v>
      </c>
      <c r="C298">
        <v>8.0920000000000005</v>
      </c>
      <c r="D298">
        <v>7.68</v>
      </c>
      <c r="E298">
        <v>7.7839999999999998</v>
      </c>
      <c r="F298">
        <v>1463297.784</v>
      </c>
      <c r="G298">
        <v>0</v>
      </c>
      <c r="L298" t="s">
        <v>8</v>
      </c>
      <c r="M298" t="s">
        <v>7</v>
      </c>
      <c r="N298" t="s">
        <v>7</v>
      </c>
      <c r="P298">
        <f t="shared" si="964"/>
        <v>-0.49514563106796172</v>
      </c>
      <c r="Q298">
        <f t="shared" si="965"/>
        <v>-724545.50469902996</v>
      </c>
      <c r="R298">
        <f t="shared" si="966"/>
        <v>-16243265.509269036</v>
      </c>
      <c r="S298">
        <f t="shared" si="967"/>
        <v>-162.43265509269037</v>
      </c>
      <c r="T298">
        <f t="shared" si="968"/>
        <v>-0.16243265509269036</v>
      </c>
    </row>
    <row r="299" spans="1:20" x14ac:dyDescent="0.25">
      <c r="A299" s="5">
        <v>44294</v>
      </c>
      <c r="B299">
        <v>7.3250000000000002</v>
      </c>
      <c r="C299">
        <v>8.1329999999999991</v>
      </c>
      <c r="D299">
        <v>7.3090000000000002</v>
      </c>
      <c r="E299">
        <v>7.7270000000000003</v>
      </c>
      <c r="F299">
        <v>551641.19099999999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1.4563106796118153E-2</v>
      </c>
      <c r="Q299">
        <f t="shared" si="965"/>
        <v>8033.6095776708125</v>
      </c>
      <c r="R299">
        <f t="shared" si="966"/>
        <v>-15518720.004570005</v>
      </c>
      <c r="S299">
        <f t="shared" si="967"/>
        <v>-155.18720004570005</v>
      </c>
      <c r="T299">
        <f t="shared" si="968"/>
        <v>-0.15518720004570005</v>
      </c>
    </row>
    <row r="300" spans="1:20" x14ac:dyDescent="0.25">
      <c r="A300" s="5">
        <v>44293</v>
      </c>
      <c r="B300">
        <v>8.2219999999999995</v>
      </c>
      <c r="C300">
        <v>8.2360000000000007</v>
      </c>
      <c r="D300">
        <v>7.1970000000000001</v>
      </c>
      <c r="E300">
        <v>7.3280000000000003</v>
      </c>
      <c r="F300">
        <v>757747.58400000003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-0.74783445620789191</v>
      </c>
      <c r="Q300">
        <f t="shared" si="965"/>
        <v>-566669.75242348388</v>
      </c>
      <c r="R300">
        <f t="shared" si="966"/>
        <v>-15526753.614147676</v>
      </c>
      <c r="S300">
        <f t="shared" si="967"/>
        <v>-155.26753614147677</v>
      </c>
      <c r="T300">
        <f t="shared" si="968"/>
        <v>-0.15526753614147676</v>
      </c>
    </row>
    <row r="301" spans="1:20" x14ac:dyDescent="0.25">
      <c r="A301" s="5">
        <v>44292</v>
      </c>
      <c r="B301">
        <v>8.6039999999999992</v>
      </c>
      <c r="C301">
        <v>8.6809999999999992</v>
      </c>
      <c r="D301">
        <v>8.1010000000000009</v>
      </c>
      <c r="E301">
        <v>8.2219999999999995</v>
      </c>
      <c r="F301">
        <v>473915.92800000001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-0.58275862068965856</v>
      </c>
      <c r="Q301">
        <f t="shared" si="965"/>
        <v>-276178.59252413956</v>
      </c>
      <c r="R301">
        <f t="shared" si="966"/>
        <v>-14960083.861724192</v>
      </c>
      <c r="S301">
        <f t="shared" si="967"/>
        <v>-149.60083861724192</v>
      </c>
      <c r="T301">
        <f t="shared" si="968"/>
        <v>-0.14960083861724191</v>
      </c>
    </row>
    <row r="302" spans="1:20" x14ac:dyDescent="0.25">
      <c r="A302" s="5">
        <v>44291</v>
      </c>
      <c r="B302">
        <v>9.0839999999999996</v>
      </c>
      <c r="C302">
        <v>9.1370000000000005</v>
      </c>
      <c r="D302">
        <v>8.4939999999999998</v>
      </c>
      <c r="E302">
        <v>8.6010000000000009</v>
      </c>
      <c r="F302">
        <v>461444.86599999998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-0.66718506998444482</v>
      </c>
      <c r="Q302">
        <f t="shared" si="965"/>
        <v>-307869.12521617278</v>
      </c>
      <c r="R302">
        <f t="shared" si="966"/>
        <v>-14683905.269200053</v>
      </c>
      <c r="S302">
        <f t="shared" si="967"/>
        <v>-146.83905269200054</v>
      </c>
      <c r="T302">
        <f t="shared" si="968"/>
        <v>-0.14683905269200054</v>
      </c>
    </row>
    <row r="303" spans="1:20" x14ac:dyDescent="0.25">
      <c r="A303" s="5">
        <v>44290</v>
      </c>
      <c r="B303">
        <v>8.3810000000000002</v>
      </c>
      <c r="C303">
        <v>9.0939999999999994</v>
      </c>
      <c r="D303">
        <v>8.3190000000000008</v>
      </c>
      <c r="E303">
        <v>9.09</v>
      </c>
      <c r="F303">
        <v>501321.72899999999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0.98967741935483988</v>
      </c>
      <c r="Q303">
        <f t="shared" si="965"/>
        <v>496146.79502322641</v>
      </c>
      <c r="R303">
        <f t="shared" si="966"/>
        <v>-14376036.14398388</v>
      </c>
      <c r="S303">
        <f t="shared" si="967"/>
        <v>-143.76036143983879</v>
      </c>
      <c r="T303">
        <f t="shared" si="968"/>
        <v>-0.14376036143983878</v>
      </c>
    </row>
    <row r="304" spans="1:20" x14ac:dyDescent="0.25">
      <c r="A304" s="5">
        <v>44289</v>
      </c>
      <c r="B304">
        <v>9.5760000000000005</v>
      </c>
      <c r="C304">
        <v>10.166</v>
      </c>
      <c r="D304">
        <v>8.3800000000000008</v>
      </c>
      <c r="E304">
        <v>8.39</v>
      </c>
      <c r="F304">
        <v>991045.13199999998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-0.98880179171332605</v>
      </c>
      <c r="Q304">
        <f t="shared" si="965"/>
        <v>-979947.20219036972</v>
      </c>
      <c r="R304">
        <f t="shared" si="966"/>
        <v>-14872182.939007107</v>
      </c>
      <c r="S304">
        <f t="shared" si="967"/>
        <v>-148.72182939007106</v>
      </c>
      <c r="T304">
        <f t="shared" si="968"/>
        <v>-0.14872182939007106</v>
      </c>
    </row>
    <row r="305" spans="1:20" x14ac:dyDescent="0.25">
      <c r="A305" s="5">
        <v>44288</v>
      </c>
      <c r="B305">
        <v>8.7309999999999999</v>
      </c>
      <c r="C305">
        <v>10.96</v>
      </c>
      <c r="D305">
        <v>8.7309999999999999</v>
      </c>
      <c r="E305">
        <v>9.5830000000000002</v>
      </c>
      <c r="F305">
        <v>2328608.5150000001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-0.23553162853297449</v>
      </c>
      <c r="Q305">
        <f t="shared" si="965"/>
        <v>-548460.95575370139</v>
      </c>
      <c r="R305">
        <f t="shared" si="966"/>
        <v>-13892235.736816738</v>
      </c>
      <c r="S305">
        <f t="shared" si="967"/>
        <v>-138.92235736816738</v>
      </c>
      <c r="T305">
        <f t="shared" si="968"/>
        <v>-0.13892235736816738</v>
      </c>
    </row>
    <row r="306" spans="1:20" x14ac:dyDescent="0.25">
      <c r="A306" s="5">
        <v>44287</v>
      </c>
      <c r="B306">
        <v>8.2780000000000005</v>
      </c>
      <c r="C306">
        <v>8.9990000000000006</v>
      </c>
      <c r="D306">
        <v>8.1059999999999999</v>
      </c>
      <c r="E306">
        <v>8.7309999999999999</v>
      </c>
      <c r="F306">
        <v>591046.69099999999</v>
      </c>
      <c r="G306">
        <v>0</v>
      </c>
      <c r="L306" t="s">
        <v>7</v>
      </c>
      <c r="M306" t="s">
        <v>8</v>
      </c>
      <c r="N306" t="s">
        <v>8</v>
      </c>
      <c r="P306">
        <f t="shared" si="964"/>
        <v>0.39977603583426546</v>
      </c>
      <c r="Q306">
        <f t="shared" si="965"/>
        <v>236286.30312094002</v>
      </c>
      <c r="R306">
        <f t="shared" si="966"/>
        <v>-13343774.781063037</v>
      </c>
      <c r="S306">
        <f t="shared" si="967"/>
        <v>-133.43774781063038</v>
      </c>
      <c r="T306">
        <f t="shared" si="968"/>
        <v>-0.13343774781063039</v>
      </c>
    </row>
    <row r="307" spans="1:20" x14ac:dyDescent="0.25">
      <c r="A307" s="5">
        <v>44286</v>
      </c>
      <c r="B307">
        <v>8.3520000000000003</v>
      </c>
      <c r="C307">
        <v>9.0990000000000002</v>
      </c>
      <c r="D307">
        <v>8</v>
      </c>
      <c r="E307">
        <v>8.2789999999999999</v>
      </c>
      <c r="F307">
        <v>1112530.7879999999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-0.49226569608735238</v>
      </c>
      <c r="Q307">
        <f t="shared" si="965"/>
        <v>-547660.74277343065</v>
      </c>
      <c r="R307">
        <f t="shared" si="966"/>
        <v>-13580061.084183978</v>
      </c>
      <c r="S307">
        <f t="shared" si="967"/>
        <v>-135.80061084183978</v>
      </c>
      <c r="T307">
        <f t="shared" si="968"/>
        <v>-0.13580061084183978</v>
      </c>
    </row>
    <row r="308" spans="1:20" x14ac:dyDescent="0.25">
      <c r="A308" s="5">
        <v>44285</v>
      </c>
      <c r="B308">
        <v>7.3150000000000004</v>
      </c>
      <c r="C308">
        <v>8.6110000000000007</v>
      </c>
      <c r="D308">
        <v>7.1680000000000001</v>
      </c>
      <c r="E308">
        <v>8.3350000000000009</v>
      </c>
      <c r="F308">
        <v>1106842.1939999999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0.61746361746361789</v>
      </c>
      <c r="Q308">
        <f t="shared" si="965"/>
        <v>683434.78506860742</v>
      </c>
      <c r="R308">
        <f t="shared" si="966"/>
        <v>-13032400.341410547</v>
      </c>
      <c r="S308">
        <f t="shared" si="967"/>
        <v>-130.32400341410548</v>
      </c>
      <c r="T308">
        <f t="shared" si="968"/>
        <v>-0.13032400341410547</v>
      </c>
    </row>
    <row r="309" spans="1:20" x14ac:dyDescent="0.25">
      <c r="A309" s="5">
        <v>44284</v>
      </c>
      <c r="B309">
        <v>7.2789999999999999</v>
      </c>
      <c r="C309">
        <v>7.899</v>
      </c>
      <c r="D309">
        <v>7.15</v>
      </c>
      <c r="E309">
        <v>7.3170000000000002</v>
      </c>
      <c r="F309">
        <v>1081884.6980000001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-0.55407209612817121</v>
      </c>
      <c r="Q309">
        <f t="shared" si="965"/>
        <v>-599442.12238985358</v>
      </c>
      <c r="R309">
        <f t="shared" si="966"/>
        <v>-13715835.126479154</v>
      </c>
      <c r="S309">
        <f t="shared" si="967"/>
        <v>-137.15835126479155</v>
      </c>
      <c r="T309">
        <f t="shared" si="968"/>
        <v>-0.13715835126479156</v>
      </c>
    </row>
    <row r="310" spans="1:20" x14ac:dyDescent="0.25">
      <c r="A310" s="5">
        <v>44283</v>
      </c>
      <c r="B310">
        <v>6.5069999999999997</v>
      </c>
      <c r="C310">
        <v>7.98</v>
      </c>
      <c r="D310">
        <v>6.4560000000000004</v>
      </c>
      <c r="E310">
        <v>7.2779999999999996</v>
      </c>
      <c r="F310">
        <v>1787674.4450000001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7.8740157480313863E-2</v>
      </c>
      <c r="Q310">
        <f t="shared" si="965"/>
        <v>140761.76732283269</v>
      </c>
      <c r="R310">
        <f t="shared" si="966"/>
        <v>-13116393.004089301</v>
      </c>
      <c r="S310">
        <f t="shared" si="967"/>
        <v>-131.16393004089301</v>
      </c>
      <c r="T310">
        <f t="shared" si="968"/>
        <v>-0.131163930040893</v>
      </c>
    </row>
    <row r="311" spans="1:20" x14ac:dyDescent="0.25">
      <c r="A311" s="5">
        <v>44282</v>
      </c>
      <c r="B311">
        <v>6.8170000000000002</v>
      </c>
      <c r="C311">
        <v>6.8769999999999998</v>
      </c>
      <c r="D311">
        <v>6.3769999999999998</v>
      </c>
      <c r="E311">
        <v>6.5019999999999998</v>
      </c>
      <c r="F311">
        <v>608804.06599999999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-0.5</v>
      </c>
      <c r="Q311">
        <f t="shared" si="965"/>
        <v>-304402.033</v>
      </c>
      <c r="R311">
        <f t="shared" si="966"/>
        <v>-13257154.771412134</v>
      </c>
      <c r="S311">
        <f t="shared" si="967"/>
        <v>-132.57154771412135</v>
      </c>
      <c r="T311">
        <f t="shared" si="968"/>
        <v>-0.13257154771412136</v>
      </c>
    </row>
    <row r="312" spans="1:20" x14ac:dyDescent="0.25">
      <c r="A312" s="5">
        <v>44281</v>
      </c>
      <c r="B312">
        <v>6.0369999999999999</v>
      </c>
      <c r="C312">
        <v>6.968</v>
      </c>
      <c r="D312">
        <v>5.8920000000000003</v>
      </c>
      <c r="E312">
        <v>6.81</v>
      </c>
      <c r="F312">
        <v>1802136.969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0.70631970260222976</v>
      </c>
      <c r="Q312">
        <f t="shared" si="965"/>
        <v>1272884.8479925639</v>
      </c>
      <c r="R312">
        <f t="shared" si="966"/>
        <v>-12952752.738412134</v>
      </c>
      <c r="S312">
        <f t="shared" si="967"/>
        <v>-129.52752738412136</v>
      </c>
      <c r="T312">
        <f t="shared" si="968"/>
        <v>-0.12952752738412135</v>
      </c>
    </row>
    <row r="313" spans="1:20" x14ac:dyDescent="0.25">
      <c r="A313" s="5">
        <v>44280</v>
      </c>
      <c r="B313">
        <v>6.3220000000000001</v>
      </c>
      <c r="C313">
        <v>6.6630000000000003</v>
      </c>
      <c r="D313">
        <v>5.68</v>
      </c>
      <c r="E313">
        <v>6.048</v>
      </c>
      <c r="F313">
        <v>1044187.041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-0.25127161749745652</v>
      </c>
      <c r="Q313">
        <f t="shared" si="965"/>
        <v>-262374.56676195294</v>
      </c>
      <c r="R313">
        <f t="shared" si="966"/>
        <v>-14225637.586404698</v>
      </c>
      <c r="S313">
        <f t="shared" si="967"/>
        <v>-142.25637586404699</v>
      </c>
      <c r="T313">
        <f t="shared" si="968"/>
        <v>-0.14225637586404699</v>
      </c>
    </row>
    <row r="314" spans="1:20" x14ac:dyDescent="0.25">
      <c r="A314" s="5">
        <v>44279</v>
      </c>
      <c r="B314">
        <v>7.0979999999999999</v>
      </c>
      <c r="C314">
        <v>7.3330000000000002</v>
      </c>
      <c r="D314">
        <v>6.3</v>
      </c>
      <c r="E314">
        <v>6.3150000000000004</v>
      </c>
      <c r="F314">
        <v>1383803.0490000001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-0.97095837366892435</v>
      </c>
      <c r="Q314">
        <f t="shared" si="965"/>
        <v>-1343615.157935139</v>
      </c>
      <c r="R314">
        <f t="shared" si="966"/>
        <v>-13963263.019642744</v>
      </c>
      <c r="S314">
        <f t="shared" si="967"/>
        <v>-139.63263019642744</v>
      </c>
      <c r="T314">
        <f t="shared" si="968"/>
        <v>-0.13963263019642744</v>
      </c>
    </row>
    <row r="315" spans="1:20" x14ac:dyDescent="0.25">
      <c r="A315" s="5">
        <v>44278</v>
      </c>
      <c r="B315">
        <v>7.59</v>
      </c>
      <c r="C315">
        <v>7.6920000000000002</v>
      </c>
      <c r="D315">
        <v>6.5</v>
      </c>
      <c r="E315">
        <v>7.1020000000000003</v>
      </c>
      <c r="F315">
        <v>827157.99300000002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1.0067114093960111E-2</v>
      </c>
      <c r="Q315">
        <f t="shared" si="965"/>
        <v>8327.0938892620579</v>
      </c>
      <c r="R315">
        <f t="shared" si="966"/>
        <v>-12619647.861707605</v>
      </c>
      <c r="S315">
        <f t="shared" si="967"/>
        <v>-126.19647861707605</v>
      </c>
      <c r="T315">
        <f t="shared" si="968"/>
        <v>-0.12619647861707606</v>
      </c>
    </row>
    <row r="316" spans="1:20" x14ac:dyDescent="0.25">
      <c r="A316" s="5">
        <v>44277</v>
      </c>
      <c r="B316">
        <v>8.0069999999999997</v>
      </c>
      <c r="C316">
        <v>8.64</v>
      </c>
      <c r="D316">
        <v>7.5510000000000002</v>
      </c>
      <c r="E316">
        <v>7.601</v>
      </c>
      <c r="F316">
        <v>1091718.3419999999</v>
      </c>
      <c r="G316">
        <v>0</v>
      </c>
      <c r="L316" t="s">
        <v>8</v>
      </c>
      <c r="M316" t="s">
        <v>7</v>
      </c>
      <c r="N316" t="s">
        <v>8</v>
      </c>
      <c r="P316">
        <f t="shared" si="964"/>
        <v>-0.90817263544536309</v>
      </c>
      <c r="Q316">
        <f t="shared" si="965"/>
        <v>-991468.72381818213</v>
      </c>
      <c r="R316">
        <f t="shared" si="966"/>
        <v>-12627974.955596868</v>
      </c>
      <c r="S316">
        <f t="shared" si="967"/>
        <v>-126.27974955596868</v>
      </c>
      <c r="T316">
        <f t="shared" si="968"/>
        <v>-0.12627974955596868</v>
      </c>
    </row>
    <row r="317" spans="1:20" x14ac:dyDescent="0.25">
      <c r="A317" s="5">
        <v>44276</v>
      </c>
      <c r="B317">
        <v>8.5090000000000003</v>
      </c>
      <c r="C317">
        <v>9</v>
      </c>
      <c r="D317">
        <v>7.6529999999999996</v>
      </c>
      <c r="E317">
        <v>8.0039999999999996</v>
      </c>
      <c r="F317">
        <v>1184122.2520000001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-0.47884187082405366</v>
      </c>
      <c r="Q317">
        <f t="shared" si="965"/>
        <v>-567007.31443207152</v>
      </c>
      <c r="R317">
        <f t="shared" si="966"/>
        <v>-11636506.231778685</v>
      </c>
      <c r="S317">
        <f t="shared" si="967"/>
        <v>-116.36506231778685</v>
      </c>
      <c r="T317">
        <f t="shared" si="968"/>
        <v>-0.11636506231778686</v>
      </c>
    </row>
    <row r="318" spans="1:20" x14ac:dyDescent="0.25">
      <c r="A318" s="5">
        <v>44275</v>
      </c>
      <c r="B318">
        <v>9.61</v>
      </c>
      <c r="C318">
        <v>10.1</v>
      </c>
      <c r="D318">
        <v>8.48</v>
      </c>
      <c r="E318">
        <v>8.5039999999999996</v>
      </c>
      <c r="F318">
        <v>2192529.6970000002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-0.97037037037037144</v>
      </c>
      <c r="Q318">
        <f t="shared" si="965"/>
        <v>-2127565.8541259286</v>
      </c>
      <c r="R318">
        <f t="shared" si="966"/>
        <v>-11069498.917346613</v>
      </c>
      <c r="S318">
        <f t="shared" si="967"/>
        <v>-110.69498917346614</v>
      </c>
      <c r="T318">
        <f t="shared" si="968"/>
        <v>-0.11069498917346614</v>
      </c>
    </row>
    <row r="319" spans="1:20" x14ac:dyDescent="0.25">
      <c r="A319" s="5">
        <v>44274</v>
      </c>
      <c r="B319">
        <v>9.3800000000000008</v>
      </c>
      <c r="C319">
        <v>17.600000000000001</v>
      </c>
      <c r="D319">
        <v>9.3800000000000008</v>
      </c>
      <c r="E319">
        <v>9.6129999999999995</v>
      </c>
      <c r="F319">
        <v>9479325.4810000006</v>
      </c>
      <c r="G319">
        <v>0</v>
      </c>
      <c r="P319">
        <f t="shared" si="964"/>
        <v>-0.94330900243309035</v>
      </c>
      <c r="Q319">
        <f t="shared" si="965"/>
        <v>-8941933.0632206853</v>
      </c>
      <c r="R319">
        <f t="shared" si="966"/>
        <v>-8941933.0632206853</v>
      </c>
      <c r="S319">
        <f t="shared" si="967"/>
        <v>-89.419330632206851</v>
      </c>
      <c r="T319">
        <f t="shared" si="968"/>
        <v>-8.9419330632206848E-2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M498" sqref="FM49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$A$497</v>
      </c>
      <c r="D111" s="1" t="str">
        <f>ADDRESS(C121-1,D121,1,1)</f>
        <v>$FM$497</v>
      </c>
      <c r="E111"/>
    </row>
    <row r="112" spans="1:5" x14ac:dyDescent="0.25">
      <c r="A112" s="7">
        <v>12164.144957890772</v>
      </c>
      <c r="C112" s="1" t="str">
        <f>ADDRESS(C121,1,1,1)</f>
        <v>$A$498</v>
      </c>
      <c r="D112" s="1" t="str">
        <f>ADDRESS(C121,D121-1,1,1)</f>
        <v>$FL$498</v>
      </c>
      <c r="E112"/>
    </row>
    <row r="113" spans="1:5" x14ac:dyDescent="0.25">
      <c r="A113" s="7">
        <v>11925.63231165762</v>
      </c>
      <c r="C113" s="1" t="str">
        <f>ADDRESS(C121+1,1,1,1)</f>
        <v>$A$499</v>
      </c>
      <c r="D113" s="1" t="str">
        <f>ADDRESS(C121-1,D121+1,1,1)</f>
        <v>$FN$497</v>
      </c>
    </row>
    <row r="114" spans="1:5" x14ac:dyDescent="0.25">
      <c r="A114" s="7">
        <v>11691.796383978059</v>
      </c>
      <c r="C114" s="1" t="str">
        <f>ADDRESS(C121,D121,1,1)</f>
        <v>$FM$498</v>
      </c>
      <c r="D114" s="1" t="str">
        <f>ADDRESS(C121+1,D121+1,1,1)</f>
        <v>$FN$499</v>
      </c>
    </row>
    <row r="115" spans="1:5" x14ac:dyDescent="0.25">
      <c r="A115" s="7">
        <v>11462.545474488292</v>
      </c>
      <c r="C115" s="1" t="str">
        <f>ADDRESS(C121+1,D121,1,1)</f>
        <v>$FM$499</v>
      </c>
    </row>
    <row r="116" spans="1:5" x14ac:dyDescent="0.25">
      <c r="A116" s="7">
        <v>11237.789680870874</v>
      </c>
      <c r="C116" s="1">
        <f>C117-1</f>
        <v>497</v>
      </c>
    </row>
    <row r="117" spans="1:5" x14ac:dyDescent="0.25">
      <c r="A117" s="7">
        <v>11017.440863598895</v>
      </c>
      <c r="C117" s="1">
        <f>C121</f>
        <v>498</v>
      </c>
      <c r="D117" s="1">
        <f>D121</f>
        <v>169</v>
      </c>
    </row>
    <row r="118" spans="1:5" x14ac:dyDescent="0.25">
      <c r="A118" s="7">
        <v>10801.412611371465</v>
      </c>
      <c r="C118" s="1">
        <f>C117+1</f>
        <v>499</v>
      </c>
      <c r="D118" s="1">
        <f>D117+1</f>
        <v>170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498</v>
      </c>
      <c r="D121" s="19">
        <v>169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R498</v>
      </c>
      <c r="D123" s="1" t="str">
        <f>"C"&amp;D121</f>
        <v>C169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5.8266011042210337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100" x14ac:dyDescent="0.25">
      <c r="A417" s="7">
        <v>28.975383953883185</v>
      </c>
      <c r="B417"/>
      <c r="C417"/>
      <c r="D417"/>
      <c r="E417"/>
    </row>
    <row r="418" spans="1:100" x14ac:dyDescent="0.25">
      <c r="A418" s="7">
        <v>28.407239170473709</v>
      </c>
      <c r="B418"/>
      <c r="C418"/>
      <c r="D418"/>
      <c r="E418"/>
    </row>
    <row r="419" spans="1:100" x14ac:dyDescent="0.25">
      <c r="A419" s="7">
        <v>27.850234480856578</v>
      </c>
      <c r="B419"/>
      <c r="C419"/>
      <c r="D419"/>
      <c r="E419"/>
    </row>
    <row r="420" spans="1:100" x14ac:dyDescent="0.25">
      <c r="A420" s="7">
        <v>27.304151451820175</v>
      </c>
      <c r="B420"/>
      <c r="C420"/>
      <c r="D420"/>
      <c r="E420"/>
    </row>
    <row r="421" spans="1:100" x14ac:dyDescent="0.25">
      <c r="A421" s="7">
        <v>26.768775933157034</v>
      </c>
      <c r="B421"/>
      <c r="C421"/>
      <c r="D421"/>
      <c r="E421"/>
    </row>
    <row r="422" spans="1:100" x14ac:dyDescent="0.25">
      <c r="A422" s="7">
        <v>26.243897973683367</v>
      </c>
      <c r="B422"/>
      <c r="C422"/>
      <c r="D422"/>
      <c r="E422"/>
    </row>
    <row r="423" spans="1:100" x14ac:dyDescent="0.25">
      <c r="A423" s="7">
        <v>25.729311738905263</v>
      </c>
      <c r="B423"/>
      <c r="C423"/>
      <c r="D423"/>
      <c r="E423"/>
      <c r="CO423" s="27" t="s">
        <v>8</v>
      </c>
    </row>
    <row r="424" spans="1:100" x14ac:dyDescent="0.25">
      <c r="A424" s="7">
        <v>25.224815430299277</v>
      </c>
      <c r="B424"/>
      <c r="C424"/>
      <c r="D424"/>
      <c r="E424"/>
      <c r="CO424" s="27" t="s">
        <v>8</v>
      </c>
      <c r="CP424" s="27" t="s">
        <v>7</v>
      </c>
    </row>
    <row r="425" spans="1:100" x14ac:dyDescent="0.25">
      <c r="A425" s="7">
        <v>24.73021120617576</v>
      </c>
      <c r="B425"/>
      <c r="C425"/>
      <c r="D425"/>
      <c r="E425"/>
      <c r="CO425" s="27" t="s">
        <v>8</v>
      </c>
      <c r="CP425" s="27" t="s">
        <v>7</v>
      </c>
    </row>
    <row r="426" spans="1:100" x14ac:dyDescent="0.25">
      <c r="A426" s="7">
        <v>24.24530510409388</v>
      </c>
      <c r="B426"/>
      <c r="C426"/>
      <c r="D426"/>
      <c r="E426"/>
      <c r="CO426" s="27" t="s">
        <v>8</v>
      </c>
      <c r="CP426" s="27" t="s">
        <v>7</v>
      </c>
    </row>
    <row r="427" spans="1:100" x14ac:dyDescent="0.25">
      <c r="A427" s="7">
        <v>23.769906964797922</v>
      </c>
      <c r="B427"/>
      <c r="C427"/>
      <c r="D427"/>
      <c r="E427"/>
      <c r="CO427" s="27" t="s">
        <v>8</v>
      </c>
      <c r="CP427" s="27" t="s">
        <v>7</v>
      </c>
    </row>
    <row r="428" spans="1:100" x14ac:dyDescent="0.25">
      <c r="A428" s="7">
        <v>23.303830357645023</v>
      </c>
      <c r="B428"/>
      <c r="C428"/>
      <c r="D428"/>
      <c r="E428"/>
      <c r="CO428" s="27" t="s">
        <v>8</v>
      </c>
      <c r="CP428" s="27" t="s">
        <v>7</v>
      </c>
    </row>
    <row r="429" spans="1:100" x14ac:dyDescent="0.25">
      <c r="A429" s="7">
        <v>22.84689250749512</v>
      </c>
      <c r="B429"/>
      <c r="C429"/>
      <c r="D429"/>
      <c r="E429"/>
      <c r="CO429" s="27" t="s">
        <v>8</v>
      </c>
      <c r="CP429" s="27" t="s">
        <v>7</v>
      </c>
      <c r="CU429" s="27" t="s">
        <v>8</v>
      </c>
    </row>
    <row r="430" spans="1:100" x14ac:dyDescent="0.25">
      <c r="A430" s="7">
        <v>22.398914223034431</v>
      </c>
      <c r="B430"/>
      <c r="C430"/>
      <c r="D430"/>
      <c r="E430"/>
      <c r="CO430" s="27" t="s">
        <v>8</v>
      </c>
      <c r="CP430" s="27" t="s">
        <v>7</v>
      </c>
      <c r="CS430" s="27" t="s">
        <v>8</v>
      </c>
      <c r="CU430" s="27" t="s">
        <v>8</v>
      </c>
      <c r="CV430" s="27" t="s">
        <v>7</v>
      </c>
    </row>
    <row r="431" spans="1:100" x14ac:dyDescent="0.25">
      <c r="A431" s="7">
        <v>21.959719826504344</v>
      </c>
      <c r="B431"/>
      <c r="C431"/>
      <c r="D431"/>
      <c r="E431"/>
      <c r="CO431" s="27" t="s">
        <v>8</v>
      </c>
      <c r="CP431" s="27" t="s">
        <v>7</v>
      </c>
      <c r="CS431" s="27" t="s">
        <v>8</v>
      </c>
      <c r="CT431" s="27" t="s">
        <v>7</v>
      </c>
      <c r="CU431" s="27" t="s">
        <v>8</v>
      </c>
      <c r="CV431" s="27" t="s">
        <v>7</v>
      </c>
    </row>
    <row r="432" spans="1:100" x14ac:dyDescent="0.25">
      <c r="A432" s="7">
        <v>21.52913708480818</v>
      </c>
      <c r="B432"/>
      <c r="C432"/>
      <c r="D432"/>
      <c r="E432"/>
      <c r="CO432" s="27" t="s">
        <v>8</v>
      </c>
      <c r="CP432" s="27" t="s">
        <v>7</v>
      </c>
      <c r="CS432" s="27" t="s">
        <v>8</v>
      </c>
      <c r="CT432" s="27" t="s">
        <v>7</v>
      </c>
      <c r="CU432" s="27" t="s">
        <v>8</v>
      </c>
      <c r="CV432" s="27" t="s">
        <v>7</v>
      </c>
    </row>
    <row r="433" spans="1:139" x14ac:dyDescent="0.25">
      <c r="A433" s="7">
        <v>21.106997141968804</v>
      </c>
      <c r="B433"/>
      <c r="C433"/>
      <c r="D433"/>
      <c r="E433"/>
      <c r="CO433" s="27" t="s">
        <v>8</v>
      </c>
      <c r="CP433" s="27" t="s">
        <v>7</v>
      </c>
      <c r="CQ433" s="27" t="s">
        <v>8</v>
      </c>
      <c r="CS433" s="27" t="s">
        <v>8</v>
      </c>
      <c r="CT433" s="27" t="s">
        <v>7</v>
      </c>
      <c r="CU433" s="27" t="s">
        <v>8</v>
      </c>
      <c r="CV433" s="27" t="s">
        <v>7</v>
      </c>
    </row>
    <row r="434" spans="1:139" x14ac:dyDescent="0.25">
      <c r="A434" s="7">
        <v>20.693134452910591</v>
      </c>
      <c r="B434"/>
      <c r="C434"/>
      <c r="D434"/>
      <c r="E434"/>
      <c r="CO434" s="27" t="s">
        <v>8</v>
      </c>
      <c r="CP434" s="27" t="s">
        <v>7</v>
      </c>
      <c r="CQ434" s="27" t="s">
        <v>8</v>
      </c>
      <c r="CR434" s="27" t="s">
        <v>7</v>
      </c>
      <c r="CS434" s="27" t="s">
        <v>8</v>
      </c>
      <c r="CT434" s="27" t="s">
        <v>7</v>
      </c>
      <c r="CU434" s="27" t="s">
        <v>8</v>
      </c>
      <c r="CV434" s="27" t="s">
        <v>7</v>
      </c>
    </row>
    <row r="435" spans="1:139" x14ac:dyDescent="0.25">
      <c r="A435" s="7">
        <v>20.287386718539796</v>
      </c>
      <c r="B435"/>
      <c r="C435"/>
      <c r="D435"/>
      <c r="E435"/>
      <c r="CO435" s="27" t="s">
        <v>8</v>
      </c>
      <c r="CP435" s="27" t="s">
        <v>7</v>
      </c>
      <c r="CQ435" s="27" t="s">
        <v>8</v>
      </c>
      <c r="CR435" s="27" t="s">
        <v>7</v>
      </c>
      <c r="CS435" s="27" t="s">
        <v>8</v>
      </c>
      <c r="CT435" s="27" t="s">
        <v>7</v>
      </c>
      <c r="CU435" s="27" t="s">
        <v>8</v>
      </c>
      <c r="CV435" s="27" t="s">
        <v>7</v>
      </c>
    </row>
    <row r="436" spans="1:139" x14ac:dyDescent="0.25">
      <c r="A436" s="7">
        <v>19.889594822097838</v>
      </c>
      <c r="B436"/>
      <c r="C436"/>
      <c r="D436"/>
      <c r="E436"/>
      <c r="CK436" s="27" t="s">
        <v>8</v>
      </c>
      <c r="CO436" s="27" t="s">
        <v>8</v>
      </c>
      <c r="CP436" s="27" t="s">
        <v>7</v>
      </c>
      <c r="CQ436" s="27" t="s">
        <v>8</v>
      </c>
      <c r="CR436" s="27" t="s">
        <v>7</v>
      </c>
      <c r="CS436" s="27" t="s">
        <v>8</v>
      </c>
      <c r="CT436" s="27" t="s">
        <v>7</v>
      </c>
      <c r="CU436" s="27" t="s">
        <v>8</v>
      </c>
      <c r="CV436" s="27" t="s">
        <v>7</v>
      </c>
      <c r="DU436" s="27" t="s">
        <v>8</v>
      </c>
    </row>
    <row r="437" spans="1:139" x14ac:dyDescent="0.25">
      <c r="A437" s="7">
        <v>19.499602766762585</v>
      </c>
      <c r="B437"/>
      <c r="C437"/>
      <c r="D437"/>
      <c r="E437"/>
      <c r="CK437" s="27" t="s">
        <v>8</v>
      </c>
      <c r="CL437" s="27" t="s">
        <v>7</v>
      </c>
      <c r="CO437" s="27" t="s">
        <v>8</v>
      </c>
      <c r="CP437" s="27" t="s">
        <v>7</v>
      </c>
      <c r="CQ437" s="27" t="s">
        <v>8</v>
      </c>
      <c r="CR437" s="27" t="s">
        <v>7</v>
      </c>
      <c r="CS437" s="27" t="s">
        <v>8</v>
      </c>
      <c r="CT437" s="27" t="s">
        <v>7</v>
      </c>
      <c r="CU437" s="27" t="s">
        <v>8</v>
      </c>
      <c r="CV437" s="27" t="s">
        <v>7</v>
      </c>
      <c r="DS437" s="27" t="s">
        <v>8</v>
      </c>
      <c r="DU437" s="27" t="s">
        <v>8</v>
      </c>
      <c r="DV437" s="27" t="s">
        <v>7</v>
      </c>
    </row>
    <row r="438" spans="1:139" x14ac:dyDescent="0.25">
      <c r="A438" s="7">
        <v>19.117257614473122</v>
      </c>
      <c r="B438"/>
      <c r="C438"/>
      <c r="D438"/>
      <c r="E438"/>
      <c r="CK438" s="27" t="s">
        <v>8</v>
      </c>
      <c r="CL438" s="27" t="s">
        <v>7</v>
      </c>
      <c r="CO438" s="27" t="s">
        <v>8</v>
      </c>
      <c r="CP438" s="27" t="s">
        <v>7</v>
      </c>
      <c r="CR438" s="27" t="s">
        <v>7</v>
      </c>
      <c r="CS438" s="27" t="s">
        <v>8</v>
      </c>
      <c r="CT438" s="27" t="s">
        <v>7</v>
      </c>
      <c r="CV438" s="27" t="s">
        <v>7</v>
      </c>
      <c r="DQ438" s="27" t="s">
        <v>8</v>
      </c>
      <c r="DS438" s="27" t="s">
        <v>8</v>
      </c>
      <c r="DT438" s="27" t="s">
        <v>7</v>
      </c>
      <c r="DU438" s="27" t="s">
        <v>8</v>
      </c>
      <c r="DV438" s="27" t="s">
        <v>7</v>
      </c>
    </row>
    <row r="439" spans="1:139" x14ac:dyDescent="0.25">
      <c r="A439" s="7">
        <v>18.74240942595404</v>
      </c>
      <c r="B439"/>
      <c r="C439"/>
      <c r="D439"/>
      <c r="E439"/>
      <c r="CK439" s="27" t="s">
        <v>8</v>
      </c>
      <c r="CL439" s="27" t="s">
        <v>7</v>
      </c>
      <c r="CO439" s="27" t="s">
        <v>8</v>
      </c>
      <c r="CR439" s="27" t="s">
        <v>7</v>
      </c>
      <c r="CS439" s="27" t="s">
        <v>8</v>
      </c>
      <c r="CV439" s="27" t="s">
        <v>7</v>
      </c>
      <c r="DE439" s="27" t="s">
        <v>8</v>
      </c>
      <c r="DQ439" s="27" t="s">
        <v>8</v>
      </c>
      <c r="DR439" s="27" t="s">
        <v>7</v>
      </c>
      <c r="DS439" s="27" t="s">
        <v>8</v>
      </c>
      <c r="DT439" s="27" t="s">
        <v>7</v>
      </c>
      <c r="DU439" s="27" t="s">
        <v>8</v>
      </c>
      <c r="DV439" s="27" t="s">
        <v>7</v>
      </c>
      <c r="EE439" s="27" t="s">
        <v>8</v>
      </c>
    </row>
    <row r="440" spans="1:139" x14ac:dyDescent="0.25">
      <c r="A440" s="7">
        <v>18.374911201915726</v>
      </c>
      <c r="B440"/>
      <c r="C440"/>
      <c r="D440"/>
      <c r="E440"/>
      <c r="CK440" s="27" t="s">
        <v>8</v>
      </c>
      <c r="CL440" s="27" t="s">
        <v>7</v>
      </c>
      <c r="CM440" s="27" t="s">
        <v>8</v>
      </c>
      <c r="CO440" s="27" t="s">
        <v>8</v>
      </c>
      <c r="CR440" s="27" t="s">
        <v>7</v>
      </c>
      <c r="CV440" s="27" t="s">
        <v>7</v>
      </c>
      <c r="CY440" s="27" t="s">
        <v>8</v>
      </c>
      <c r="DE440" s="27" t="s">
        <v>8</v>
      </c>
      <c r="DF440" s="27" t="s">
        <v>7</v>
      </c>
      <c r="DQ440" s="27" t="s">
        <v>8</v>
      </c>
      <c r="DR440" s="27" t="s">
        <v>7</v>
      </c>
      <c r="DS440" s="27" t="s">
        <v>8</v>
      </c>
      <c r="DT440" s="27" t="s">
        <v>7</v>
      </c>
      <c r="DU440" s="27" t="s">
        <v>8</v>
      </c>
      <c r="DV440" s="27" t="s">
        <v>7</v>
      </c>
      <c r="EC440" s="27" t="s">
        <v>8</v>
      </c>
      <c r="EE440" s="27" t="s">
        <v>8</v>
      </c>
      <c r="EF440" s="27" t="s">
        <v>7</v>
      </c>
      <c r="EG440" s="27" t="s">
        <v>8</v>
      </c>
    </row>
    <row r="441" spans="1:139" x14ac:dyDescent="0.25">
      <c r="A441" s="7">
        <v>18.014618825407574</v>
      </c>
      <c r="B441"/>
      <c r="C441"/>
      <c r="D441"/>
      <c r="E441"/>
      <c r="CK441" s="27" t="s">
        <v>8</v>
      </c>
      <c r="CL441" s="27" t="s">
        <v>7</v>
      </c>
      <c r="CM441" s="27" t="s">
        <v>8</v>
      </c>
      <c r="CN441" s="27" t="s">
        <v>7</v>
      </c>
      <c r="CO441" s="27" t="s">
        <v>8</v>
      </c>
      <c r="CV441" s="27" t="s">
        <v>7</v>
      </c>
      <c r="CY441" s="27" t="s">
        <v>8</v>
      </c>
      <c r="CZ441" s="27" t="s">
        <v>7</v>
      </c>
      <c r="DE441" s="27" t="s">
        <v>8</v>
      </c>
      <c r="DF441" s="27" t="s">
        <v>7</v>
      </c>
      <c r="DQ441" s="27" t="s">
        <v>8</v>
      </c>
      <c r="DR441" s="27" t="s">
        <v>7</v>
      </c>
      <c r="DS441" s="27" t="s">
        <v>8</v>
      </c>
      <c r="DT441" s="27" t="s">
        <v>7</v>
      </c>
      <c r="DU441" s="27" t="s">
        <v>8</v>
      </c>
      <c r="DV441" s="27" t="s">
        <v>7</v>
      </c>
      <c r="DY441" s="27" t="s">
        <v>8</v>
      </c>
      <c r="EC441" s="27" t="s">
        <v>8</v>
      </c>
      <c r="ED441" s="27" t="s">
        <v>7</v>
      </c>
      <c r="EE441" s="27" t="s">
        <v>8</v>
      </c>
      <c r="EF441" s="27" t="s">
        <v>7</v>
      </c>
      <c r="EG441" s="27" t="s">
        <v>8</v>
      </c>
      <c r="EH441" s="27" t="s">
        <v>7</v>
      </c>
    </row>
    <row r="442" spans="1:139" x14ac:dyDescent="0.25">
      <c r="A442" s="7">
        <v>17.661391005301542</v>
      </c>
      <c r="B442"/>
      <c r="C442"/>
      <c r="D442"/>
      <c r="E442"/>
      <c r="CA442" s="27" t="s">
        <v>8</v>
      </c>
      <c r="CK442" s="27" t="s">
        <v>8</v>
      </c>
      <c r="CL442" s="27" t="s">
        <v>7</v>
      </c>
      <c r="CM442" s="27" t="s">
        <v>8</v>
      </c>
      <c r="CN442" s="27" t="s">
        <v>7</v>
      </c>
      <c r="CO442" s="27" t="s">
        <v>8</v>
      </c>
      <c r="CV442" s="27" t="s">
        <v>7</v>
      </c>
      <c r="CY442" s="27" t="s">
        <v>8</v>
      </c>
      <c r="CZ442" s="27" t="s">
        <v>7</v>
      </c>
      <c r="DE442" s="27" t="s">
        <v>8</v>
      </c>
      <c r="DF442" s="27" t="s">
        <v>7</v>
      </c>
      <c r="DQ442" s="27" t="s">
        <v>8</v>
      </c>
      <c r="DR442" s="27" t="s">
        <v>7</v>
      </c>
      <c r="DS442" s="27" t="s">
        <v>8</v>
      </c>
      <c r="DT442" s="27" t="s">
        <v>7</v>
      </c>
      <c r="DU442" s="27" t="s">
        <v>8</v>
      </c>
      <c r="DV442" s="27" t="s">
        <v>7</v>
      </c>
      <c r="DY442" s="27" t="s">
        <v>8</v>
      </c>
      <c r="DZ442" s="27" t="s">
        <v>7</v>
      </c>
      <c r="EC442" s="27" t="s">
        <v>8</v>
      </c>
      <c r="ED442" s="27" t="s">
        <v>7</v>
      </c>
      <c r="EE442" s="27" t="s">
        <v>8</v>
      </c>
      <c r="EF442" s="27" t="s">
        <v>7</v>
      </c>
      <c r="EG442" s="27" t="s">
        <v>8</v>
      </c>
      <c r="EH442" s="27" t="s">
        <v>7</v>
      </c>
    </row>
    <row r="443" spans="1:139" x14ac:dyDescent="0.25">
      <c r="A443" s="7">
        <v>17.315089220883866</v>
      </c>
      <c r="B443"/>
      <c r="C443"/>
      <c r="D443"/>
      <c r="E443"/>
      <c r="CA443" s="27" t="s">
        <v>8</v>
      </c>
      <c r="CB443" s="27" t="s">
        <v>7</v>
      </c>
      <c r="CK443" s="27" t="s">
        <v>8</v>
      </c>
      <c r="CL443" s="27" t="s">
        <v>7</v>
      </c>
      <c r="CM443" s="27" t="s">
        <v>8</v>
      </c>
      <c r="CN443" s="27" t="s">
        <v>7</v>
      </c>
      <c r="CO443" s="27" t="s">
        <v>8</v>
      </c>
      <c r="CV443" s="27" t="s">
        <v>7</v>
      </c>
      <c r="CY443" s="27" t="s">
        <v>8</v>
      </c>
      <c r="CZ443" s="27" t="s">
        <v>7</v>
      </c>
      <c r="DE443" s="27" t="s">
        <v>8</v>
      </c>
      <c r="DF443" s="27" t="s">
        <v>7</v>
      </c>
      <c r="DQ443" s="27" t="s">
        <v>8</v>
      </c>
      <c r="DR443" s="27" t="s">
        <v>7</v>
      </c>
      <c r="DS443" s="27" t="s">
        <v>8</v>
      </c>
      <c r="DT443" s="27" t="s">
        <v>7</v>
      </c>
      <c r="DU443" s="27" t="s">
        <v>8</v>
      </c>
      <c r="DV443" s="27" t="s">
        <v>7</v>
      </c>
      <c r="DY443" s="27" t="s">
        <v>8</v>
      </c>
      <c r="DZ443" s="27" t="s">
        <v>7</v>
      </c>
      <c r="EA443" s="27" t="s">
        <v>8</v>
      </c>
      <c r="EC443" s="27" t="s">
        <v>8</v>
      </c>
      <c r="ED443" s="27" t="s">
        <v>7</v>
      </c>
      <c r="EE443" s="27" t="s">
        <v>8</v>
      </c>
      <c r="EF443" s="27" t="s">
        <v>7</v>
      </c>
      <c r="EG443" s="27" t="s">
        <v>8</v>
      </c>
      <c r="EH443" s="27" t="s">
        <v>7</v>
      </c>
    </row>
    <row r="444" spans="1:139" x14ac:dyDescent="0.25">
      <c r="A444" s="7">
        <v>16.975577667533202</v>
      </c>
      <c r="B444"/>
      <c r="C444"/>
      <c r="D444"/>
      <c r="E444"/>
      <c r="CA444" s="27" t="s">
        <v>8</v>
      </c>
      <c r="CB444" s="27" t="s">
        <v>7</v>
      </c>
      <c r="CE444" s="27" t="s">
        <v>8</v>
      </c>
      <c r="CI444" s="27" t="s">
        <v>8</v>
      </c>
      <c r="CK444" s="27" t="s">
        <v>8</v>
      </c>
      <c r="CL444" s="27" t="s">
        <v>7</v>
      </c>
      <c r="CM444" s="27" t="s">
        <v>8</v>
      </c>
      <c r="CN444" s="27" t="s">
        <v>7</v>
      </c>
      <c r="CO444" s="27" t="s">
        <v>8</v>
      </c>
      <c r="CV444" s="27" t="s">
        <v>7</v>
      </c>
      <c r="CY444" s="27" t="s">
        <v>8</v>
      </c>
      <c r="CZ444" s="27" t="s">
        <v>7</v>
      </c>
      <c r="DE444" s="27" t="s">
        <v>8</v>
      </c>
      <c r="DF444" s="27" t="s">
        <v>7</v>
      </c>
      <c r="DQ444" s="27" t="s">
        <v>8</v>
      </c>
      <c r="DR444" s="27" t="s">
        <v>7</v>
      </c>
      <c r="DS444" s="27" t="s">
        <v>8</v>
      </c>
      <c r="DT444" s="27" t="s">
        <v>7</v>
      </c>
      <c r="DU444" s="27" t="s">
        <v>8</v>
      </c>
      <c r="DV444" s="27" t="s">
        <v>7</v>
      </c>
      <c r="DY444" s="27" t="s">
        <v>8</v>
      </c>
      <c r="DZ444" s="27" t="s">
        <v>7</v>
      </c>
      <c r="EA444" s="27" t="s">
        <v>8</v>
      </c>
      <c r="EB444" s="27" t="s">
        <v>7</v>
      </c>
      <c r="EC444" s="27" t="s">
        <v>8</v>
      </c>
      <c r="ED444" s="27" t="s">
        <v>7</v>
      </c>
      <c r="EE444" s="27" t="s">
        <v>8</v>
      </c>
      <c r="EF444" s="27" t="s">
        <v>7</v>
      </c>
      <c r="EG444" s="27" t="s">
        <v>8</v>
      </c>
      <c r="EH444" s="27" t="s">
        <v>7</v>
      </c>
    </row>
    <row r="445" spans="1:139" x14ac:dyDescent="0.25">
      <c r="A445" s="7">
        <v>16.642723203463923</v>
      </c>
      <c r="B445"/>
      <c r="C445"/>
      <c r="D445"/>
      <c r="E445"/>
      <c r="CA445" s="27" t="s">
        <v>8</v>
      </c>
      <c r="CB445" s="27" t="s">
        <v>7</v>
      </c>
      <c r="CC445" s="27" t="s">
        <v>8</v>
      </c>
      <c r="CE445" s="27" t="s">
        <v>8</v>
      </c>
      <c r="CF445" s="27" t="s">
        <v>7</v>
      </c>
      <c r="CI445" s="27" t="s">
        <v>8</v>
      </c>
      <c r="CJ445" s="27" t="s">
        <v>7</v>
      </c>
      <c r="CK445" s="27" t="s">
        <v>8</v>
      </c>
      <c r="CL445" s="27" t="s">
        <v>7</v>
      </c>
      <c r="CM445" s="27" t="s">
        <v>8</v>
      </c>
      <c r="CN445" s="27" t="s">
        <v>7</v>
      </c>
      <c r="CO445" s="27" t="s">
        <v>8</v>
      </c>
      <c r="CV445" s="27" t="s">
        <v>7</v>
      </c>
      <c r="CY445" s="27" t="s">
        <v>8</v>
      </c>
      <c r="CZ445" s="27" t="s">
        <v>7</v>
      </c>
      <c r="DE445" s="27" t="s">
        <v>8</v>
      </c>
      <c r="DF445" s="27" t="s">
        <v>7</v>
      </c>
      <c r="DG445" s="27" t="s">
        <v>8</v>
      </c>
      <c r="DO445" s="27" t="s">
        <v>8</v>
      </c>
      <c r="DQ445" s="27" t="s">
        <v>8</v>
      </c>
      <c r="DR445" s="27" t="s">
        <v>7</v>
      </c>
      <c r="DT445" s="27" t="s">
        <v>7</v>
      </c>
      <c r="DV445" s="27" t="s">
        <v>7</v>
      </c>
      <c r="DW445" s="27" t="s">
        <v>8</v>
      </c>
      <c r="DY445" s="27" t="s">
        <v>8</v>
      </c>
      <c r="DZ445" s="27" t="s">
        <v>7</v>
      </c>
      <c r="EA445" s="27" t="s">
        <v>8</v>
      </c>
      <c r="EB445" s="27" t="s">
        <v>7</v>
      </c>
      <c r="EC445" s="27" t="s">
        <v>8</v>
      </c>
      <c r="ED445" s="27" t="s">
        <v>7</v>
      </c>
      <c r="EE445" s="27" t="s">
        <v>8</v>
      </c>
      <c r="EF445" s="27" t="s">
        <v>7</v>
      </c>
      <c r="EG445" s="27" t="s">
        <v>8</v>
      </c>
      <c r="EH445" s="27" t="s">
        <v>7</v>
      </c>
    </row>
    <row r="446" spans="1:139" x14ac:dyDescent="0.25">
      <c r="A446" s="7">
        <v>16.316395297513651</v>
      </c>
      <c r="B446"/>
      <c r="C446"/>
      <c r="D446"/>
      <c r="E446"/>
      <c r="CA446" s="27" t="s">
        <v>8</v>
      </c>
      <c r="CB446" s="27" t="s">
        <v>7</v>
      </c>
      <c r="CC446" s="27" t="s">
        <v>8</v>
      </c>
      <c r="CD446" s="27" t="s">
        <v>7</v>
      </c>
      <c r="CE446" s="27" t="s">
        <v>8</v>
      </c>
      <c r="CF446" s="27" t="s">
        <v>7</v>
      </c>
      <c r="CI446" s="27" t="s">
        <v>8</v>
      </c>
      <c r="CJ446" s="27" t="s">
        <v>7</v>
      </c>
      <c r="CK446" s="27" t="s">
        <v>8</v>
      </c>
      <c r="CL446" s="27" t="s">
        <v>7</v>
      </c>
      <c r="CM446" s="27" t="s">
        <v>8</v>
      </c>
      <c r="CN446" s="27" t="s">
        <v>7</v>
      </c>
      <c r="CO446" s="27" t="s">
        <v>8</v>
      </c>
      <c r="CV446" s="27" t="s">
        <v>7</v>
      </c>
      <c r="CW446" s="27" t="s">
        <v>8</v>
      </c>
      <c r="CY446" s="27" t="s">
        <v>8</v>
      </c>
      <c r="CZ446" s="27" t="s">
        <v>7</v>
      </c>
      <c r="DE446" s="27" t="s">
        <v>8</v>
      </c>
      <c r="DF446" s="27" t="s">
        <v>7</v>
      </c>
      <c r="DG446" s="27" t="s">
        <v>8</v>
      </c>
      <c r="DH446" s="27" t="s">
        <v>7</v>
      </c>
      <c r="DI446" s="27" t="s">
        <v>8</v>
      </c>
      <c r="DO446" s="27" t="s">
        <v>8</v>
      </c>
      <c r="DP446" s="27" t="s">
        <v>7</v>
      </c>
      <c r="DQ446" s="27" t="s">
        <v>8</v>
      </c>
      <c r="DV446" s="27" t="s">
        <v>7</v>
      </c>
      <c r="DW446" s="27" t="s">
        <v>8</v>
      </c>
      <c r="DX446" s="27" t="s">
        <v>7</v>
      </c>
      <c r="DY446" s="27" t="s">
        <v>8</v>
      </c>
      <c r="DZ446" s="27" t="s">
        <v>7</v>
      </c>
      <c r="EA446" s="27" t="s">
        <v>8</v>
      </c>
      <c r="EB446" s="27" t="s">
        <v>7</v>
      </c>
      <c r="EC446" s="27" t="s">
        <v>8</v>
      </c>
      <c r="ED446" s="27" t="s">
        <v>7</v>
      </c>
      <c r="EF446" s="27" t="s">
        <v>7</v>
      </c>
      <c r="EG446" s="27" t="s">
        <v>8</v>
      </c>
      <c r="EH446" s="27" t="s">
        <v>7</v>
      </c>
    </row>
    <row r="447" spans="1:139" x14ac:dyDescent="0.25">
      <c r="A447" s="7">
        <v>15.996465977954561</v>
      </c>
      <c r="B447"/>
      <c r="C447"/>
      <c r="D447"/>
      <c r="E447"/>
      <c r="BY447" s="27" t="s">
        <v>8</v>
      </c>
      <c r="CA447" s="27" t="s">
        <v>8</v>
      </c>
      <c r="CB447" s="27" t="s">
        <v>7</v>
      </c>
      <c r="CC447" s="27" t="s">
        <v>8</v>
      </c>
      <c r="CD447" s="27" t="s">
        <v>7</v>
      </c>
      <c r="CE447" s="27" t="s">
        <v>8</v>
      </c>
      <c r="CF447" s="27" t="s">
        <v>7</v>
      </c>
      <c r="CG447" s="27" t="s">
        <v>8</v>
      </c>
      <c r="CI447" s="27" t="s">
        <v>8</v>
      </c>
      <c r="CJ447" s="27" t="s">
        <v>7</v>
      </c>
      <c r="CK447" s="27" t="s">
        <v>8</v>
      </c>
      <c r="CL447" s="27" t="s">
        <v>7</v>
      </c>
      <c r="CM447" s="27" t="s">
        <v>8</v>
      </c>
      <c r="CN447" s="27" t="s">
        <v>7</v>
      </c>
      <c r="CO447" s="27" t="s">
        <v>8</v>
      </c>
      <c r="CV447" s="27" t="s">
        <v>7</v>
      </c>
      <c r="CW447" s="27" t="s">
        <v>8</v>
      </c>
      <c r="CX447" s="27" t="s">
        <v>7</v>
      </c>
      <c r="CY447" s="27" t="s">
        <v>8</v>
      </c>
      <c r="CZ447" s="27" t="s">
        <v>7</v>
      </c>
      <c r="DE447" s="27" t="s">
        <v>8</v>
      </c>
      <c r="DF447" s="27" t="s">
        <v>7</v>
      </c>
      <c r="DG447" s="27" t="s">
        <v>8</v>
      </c>
      <c r="DH447" s="27" t="s">
        <v>7</v>
      </c>
      <c r="DI447" s="27" t="s">
        <v>8</v>
      </c>
      <c r="DJ447" s="27" t="s">
        <v>7</v>
      </c>
      <c r="DO447" s="27" t="s">
        <v>8</v>
      </c>
      <c r="DP447" s="27" t="s">
        <v>7</v>
      </c>
      <c r="DQ447" s="27" t="s">
        <v>8</v>
      </c>
      <c r="DV447" s="27" t="s">
        <v>7</v>
      </c>
      <c r="DW447" s="27" t="s">
        <v>8</v>
      </c>
      <c r="DX447" s="27" t="s">
        <v>7</v>
      </c>
      <c r="DY447" s="27" t="s">
        <v>8</v>
      </c>
      <c r="DZ447" s="27" t="s">
        <v>7</v>
      </c>
      <c r="EA447" s="27" t="s">
        <v>8</v>
      </c>
      <c r="EB447" s="27" t="s">
        <v>7</v>
      </c>
      <c r="EC447" s="27" t="s">
        <v>8</v>
      </c>
      <c r="EF447" s="27" t="s">
        <v>7</v>
      </c>
      <c r="EH447" s="27" t="s">
        <v>7</v>
      </c>
    </row>
    <row r="448" spans="1:139" x14ac:dyDescent="0.25">
      <c r="A448" s="7">
        <v>15.682809782308393</v>
      </c>
      <c r="B448"/>
      <c r="C448"/>
      <c r="D448"/>
      <c r="E448"/>
      <c r="BY448" s="27" t="s">
        <v>8</v>
      </c>
      <c r="BZ448" s="27" t="s">
        <v>7</v>
      </c>
      <c r="CA448" s="27" t="s">
        <v>8</v>
      </c>
      <c r="CB448" s="27" t="s">
        <v>7</v>
      </c>
      <c r="CC448" s="27" t="s">
        <v>8</v>
      </c>
      <c r="CD448" s="27" t="s">
        <v>7</v>
      </c>
      <c r="CE448" s="27" t="s">
        <v>8</v>
      </c>
      <c r="CF448" s="27" t="s">
        <v>7</v>
      </c>
      <c r="CG448" s="27" t="s">
        <v>8</v>
      </c>
      <c r="CH448" s="27" t="s">
        <v>7</v>
      </c>
      <c r="CI448" s="27" t="s">
        <v>8</v>
      </c>
      <c r="CJ448" s="27" t="s">
        <v>7</v>
      </c>
      <c r="CK448" s="27" t="s">
        <v>8</v>
      </c>
      <c r="CL448" s="27" t="s">
        <v>7</v>
      </c>
      <c r="CN448" s="27" t="s">
        <v>7</v>
      </c>
      <c r="CO448" s="27" t="s">
        <v>8</v>
      </c>
      <c r="CV448" s="27" t="s">
        <v>7</v>
      </c>
      <c r="CW448" s="27" t="s">
        <v>8</v>
      </c>
      <c r="CX448" s="27" t="s">
        <v>7</v>
      </c>
      <c r="CY448" s="27" t="s">
        <v>8</v>
      </c>
      <c r="CZ448" s="27" t="s">
        <v>7</v>
      </c>
      <c r="DA448" s="27" t="s">
        <v>8</v>
      </c>
      <c r="DE448" s="27" t="s">
        <v>8</v>
      </c>
      <c r="DF448" s="27" t="s">
        <v>7</v>
      </c>
      <c r="DG448" s="27" t="s">
        <v>8</v>
      </c>
      <c r="DH448" s="27" t="s">
        <v>7</v>
      </c>
      <c r="DI448" s="27" t="s">
        <v>8</v>
      </c>
      <c r="DJ448" s="27" t="s">
        <v>7</v>
      </c>
      <c r="DO448" s="27" t="s">
        <v>8</v>
      </c>
      <c r="DP448" s="27" t="s">
        <v>7</v>
      </c>
      <c r="DQ448" s="27" t="s">
        <v>8</v>
      </c>
      <c r="DV448" s="27" t="s">
        <v>7</v>
      </c>
      <c r="DW448" s="27" t="s">
        <v>8</v>
      </c>
      <c r="DX448" s="27" t="s">
        <v>7</v>
      </c>
      <c r="DZ448" s="27" t="s">
        <v>7</v>
      </c>
      <c r="EA448" s="27" t="s">
        <v>8</v>
      </c>
      <c r="EB448" s="27" t="s">
        <v>7</v>
      </c>
      <c r="EH448" s="27" t="s">
        <v>7</v>
      </c>
      <c r="EI448" s="27" t="s">
        <v>8</v>
      </c>
    </row>
    <row r="449" spans="1:148" x14ac:dyDescent="0.25">
      <c r="A449" s="7">
        <v>15.375303708145482</v>
      </c>
      <c r="B449"/>
      <c r="C449"/>
      <c r="D449"/>
      <c r="E449"/>
      <c r="BY449" s="27" t="s">
        <v>8</v>
      </c>
      <c r="BZ449" s="27" t="s">
        <v>7</v>
      </c>
      <c r="CA449" s="27" t="s">
        <v>8</v>
      </c>
      <c r="CB449" s="27" t="s">
        <v>7</v>
      </c>
      <c r="CC449" s="27" t="s">
        <v>8</v>
      </c>
      <c r="CD449" s="27" t="s">
        <v>7</v>
      </c>
      <c r="CE449" s="27" t="s">
        <v>8</v>
      </c>
      <c r="CF449" s="27" t="s">
        <v>7</v>
      </c>
      <c r="CG449" s="27" t="s">
        <v>8</v>
      </c>
      <c r="CH449" s="27" t="s">
        <v>7</v>
      </c>
      <c r="CI449" s="27" t="s">
        <v>8</v>
      </c>
      <c r="CJ449" s="27" t="s">
        <v>7</v>
      </c>
      <c r="CK449" s="27" t="s">
        <v>8</v>
      </c>
      <c r="CN449" s="27" t="s">
        <v>7</v>
      </c>
      <c r="CO449" s="27" t="s">
        <v>8</v>
      </c>
      <c r="CV449" s="27" t="s">
        <v>7</v>
      </c>
      <c r="CX449" s="27" t="s">
        <v>7</v>
      </c>
      <c r="CY449" s="27" t="s">
        <v>8</v>
      </c>
      <c r="CZ449" s="27" t="s">
        <v>7</v>
      </c>
      <c r="DA449" s="27" t="s">
        <v>8</v>
      </c>
      <c r="DB449" s="27" t="s">
        <v>7</v>
      </c>
      <c r="DC449" s="27" t="s">
        <v>8</v>
      </c>
      <c r="DE449" s="27" t="s">
        <v>8</v>
      </c>
      <c r="DF449" s="27" t="s">
        <v>7</v>
      </c>
      <c r="DG449" s="27" t="s">
        <v>8</v>
      </c>
      <c r="DH449" s="27" t="s">
        <v>7</v>
      </c>
      <c r="DI449" s="27" t="s">
        <v>8</v>
      </c>
      <c r="DJ449" s="27" t="s">
        <v>7</v>
      </c>
      <c r="DO449" s="27" t="s">
        <v>8</v>
      </c>
      <c r="DP449" s="27" t="s">
        <v>7</v>
      </c>
      <c r="DQ449" s="27" t="s">
        <v>8</v>
      </c>
      <c r="DV449" s="27" t="s">
        <v>7</v>
      </c>
      <c r="DZ449" s="27" t="s">
        <v>7</v>
      </c>
      <c r="EH449" s="27" t="s">
        <v>7</v>
      </c>
      <c r="EI449" s="27" t="s">
        <v>8</v>
      </c>
      <c r="EJ449" s="27" t="s">
        <v>7</v>
      </c>
    </row>
    <row r="450" spans="1:148" x14ac:dyDescent="0.25">
      <c r="A450" s="7">
        <v>15.073827164848511</v>
      </c>
      <c r="B450"/>
      <c r="C450"/>
      <c r="D450"/>
      <c r="E450"/>
      <c r="BY450" s="27" t="s">
        <v>8</v>
      </c>
      <c r="BZ450" s="27" t="s">
        <v>7</v>
      </c>
      <c r="CA450" s="27" t="s">
        <v>8</v>
      </c>
      <c r="CB450" s="27" t="s">
        <v>7</v>
      </c>
      <c r="CD450" s="27" t="s">
        <v>7</v>
      </c>
      <c r="CE450" s="27" t="s">
        <v>8</v>
      </c>
      <c r="CF450" s="27" t="s">
        <v>7</v>
      </c>
      <c r="CG450" s="27" t="s">
        <v>8</v>
      </c>
      <c r="CH450" s="27" t="s">
        <v>7</v>
      </c>
      <c r="CI450" s="27" t="s">
        <v>8</v>
      </c>
      <c r="CJ450" s="27" t="s">
        <v>7</v>
      </c>
      <c r="CK450" s="27" t="s">
        <v>8</v>
      </c>
      <c r="CN450" s="27" t="s">
        <v>7</v>
      </c>
      <c r="CX450" s="27" t="s">
        <v>7</v>
      </c>
      <c r="CY450" s="27" t="s">
        <v>8</v>
      </c>
      <c r="CZ450" s="27" t="s">
        <v>7</v>
      </c>
      <c r="DA450" s="27" t="s">
        <v>8</v>
      </c>
      <c r="DB450" s="27" t="s">
        <v>7</v>
      </c>
      <c r="DC450" s="27" t="s">
        <v>8</v>
      </c>
      <c r="DD450" s="27" t="s">
        <v>7</v>
      </c>
      <c r="DE450" s="27" t="s">
        <v>8</v>
      </c>
      <c r="DF450" s="27" t="s">
        <v>7</v>
      </c>
      <c r="DG450" s="27" t="s">
        <v>8</v>
      </c>
      <c r="DH450" s="27" t="s">
        <v>7</v>
      </c>
      <c r="DI450" s="27" t="s">
        <v>8</v>
      </c>
      <c r="DJ450" s="27" t="s">
        <v>7</v>
      </c>
      <c r="DO450" s="27" t="s">
        <v>8</v>
      </c>
      <c r="DP450" s="27" t="s">
        <v>7</v>
      </c>
      <c r="DQ450" s="27" t="s">
        <v>8</v>
      </c>
      <c r="EH450" s="27" t="s">
        <v>7</v>
      </c>
      <c r="EI450" s="27" t="s">
        <v>8</v>
      </c>
      <c r="EJ450" s="27" t="s">
        <v>7</v>
      </c>
    </row>
    <row r="451" spans="1:148" x14ac:dyDescent="0.25">
      <c r="A451" s="7">
        <v>14.77826192632207</v>
      </c>
      <c r="B451"/>
      <c r="C451"/>
      <c r="D451"/>
      <c r="E451"/>
      <c r="BY451" s="27" t="s">
        <v>8</v>
      </c>
      <c r="BZ451" s="27" t="s">
        <v>7</v>
      </c>
      <c r="CA451" s="27" t="s">
        <v>8</v>
      </c>
      <c r="CD451" s="27" t="s">
        <v>7</v>
      </c>
      <c r="CE451" s="27" t="s">
        <v>8</v>
      </c>
      <c r="CF451" s="27" t="s">
        <v>7</v>
      </c>
      <c r="CG451" s="27" t="s">
        <v>8</v>
      </c>
      <c r="CH451" s="27" t="s">
        <v>7</v>
      </c>
      <c r="CI451" s="27" t="s">
        <v>8</v>
      </c>
      <c r="CJ451" s="27" t="s">
        <v>7</v>
      </c>
      <c r="CK451" s="27" t="s">
        <v>8</v>
      </c>
      <c r="CX451" s="27" t="s">
        <v>7</v>
      </c>
      <c r="CY451" s="27" t="s">
        <v>8</v>
      </c>
      <c r="CZ451" s="27" t="s">
        <v>7</v>
      </c>
      <c r="DB451" s="27" t="s">
        <v>7</v>
      </c>
      <c r="DC451" s="27" t="s">
        <v>8</v>
      </c>
      <c r="DD451" s="27" t="s">
        <v>7</v>
      </c>
      <c r="DE451" s="27" t="s">
        <v>8</v>
      </c>
      <c r="DF451" s="27" t="s">
        <v>7</v>
      </c>
      <c r="DG451" s="27" t="s">
        <v>8</v>
      </c>
      <c r="DH451" s="27" t="s">
        <v>7</v>
      </c>
      <c r="DI451" s="27" t="s">
        <v>8</v>
      </c>
      <c r="DJ451" s="27" t="s">
        <v>7</v>
      </c>
      <c r="DO451" s="27" t="s">
        <v>8</v>
      </c>
      <c r="DP451" s="27" t="s">
        <v>7</v>
      </c>
      <c r="DQ451" s="27" t="s">
        <v>8</v>
      </c>
      <c r="EH451" s="27" t="s">
        <v>7</v>
      </c>
      <c r="EI451" s="27" t="s">
        <v>8</v>
      </c>
      <c r="EJ451" s="27" t="s">
        <v>7</v>
      </c>
    </row>
    <row r="452" spans="1:148" x14ac:dyDescent="0.25">
      <c r="A452" s="7">
        <v>14.488492084629481</v>
      </c>
      <c r="B452"/>
      <c r="C452"/>
      <c r="D452"/>
      <c r="E452"/>
      <c r="AS452" s="27" t="s">
        <v>8</v>
      </c>
      <c r="BY452" s="27" t="s">
        <v>8</v>
      </c>
      <c r="BZ452" s="27" t="s">
        <v>7</v>
      </c>
      <c r="CA452" s="27" t="s">
        <v>8</v>
      </c>
      <c r="CD452" s="27" t="s">
        <v>7</v>
      </c>
      <c r="CE452" s="27" t="s">
        <v>8</v>
      </c>
      <c r="CF452" s="27" t="s">
        <v>7</v>
      </c>
      <c r="CG452" s="27" t="s">
        <v>8</v>
      </c>
      <c r="CH452" s="27" t="s">
        <v>7</v>
      </c>
      <c r="CI452" s="27" t="s">
        <v>8</v>
      </c>
      <c r="CJ452" s="27" t="s">
        <v>7</v>
      </c>
      <c r="CK452" s="27" t="s">
        <v>8</v>
      </c>
      <c r="CX452" s="27" t="s">
        <v>7</v>
      </c>
      <c r="CY452" s="27" t="s">
        <v>8</v>
      </c>
      <c r="DB452" s="27" t="s">
        <v>7</v>
      </c>
      <c r="DC452" s="27" t="s">
        <v>8</v>
      </c>
      <c r="DD452" s="27" t="s">
        <v>7</v>
      </c>
      <c r="DE452" s="27" t="s">
        <v>8</v>
      </c>
      <c r="DF452" s="27" t="s">
        <v>7</v>
      </c>
      <c r="DG452" s="27" t="s">
        <v>8</v>
      </c>
      <c r="DH452" s="27" t="s">
        <v>7</v>
      </c>
      <c r="DI452" s="27" t="s">
        <v>8</v>
      </c>
      <c r="DJ452" s="27" t="s">
        <v>7</v>
      </c>
      <c r="DK452" s="27" t="s">
        <v>8</v>
      </c>
      <c r="DO452" s="27" t="s">
        <v>8</v>
      </c>
      <c r="DP452" s="27" t="s">
        <v>7</v>
      </c>
      <c r="DQ452" s="27" t="s">
        <v>8</v>
      </c>
      <c r="EH452" s="27" t="s">
        <v>7</v>
      </c>
      <c r="EI452" s="27" t="s">
        <v>8</v>
      </c>
      <c r="EJ452" s="27" t="s">
        <v>7</v>
      </c>
    </row>
    <row r="453" spans="1:148" x14ac:dyDescent="0.25">
      <c r="A453" s="7">
        <v>14.204404004538707</v>
      </c>
      <c r="B453"/>
      <c r="C453"/>
      <c r="D453"/>
      <c r="E453"/>
      <c r="AS453" s="27" t="s">
        <v>8</v>
      </c>
      <c r="AT453" s="27" t="s">
        <v>7</v>
      </c>
      <c r="BY453" s="27" t="s">
        <v>8</v>
      </c>
      <c r="BZ453" s="27" t="s">
        <v>7</v>
      </c>
      <c r="CA453" s="27" t="s">
        <v>8</v>
      </c>
      <c r="CD453" s="27" t="s">
        <v>7</v>
      </c>
      <c r="CE453" s="27" t="s">
        <v>8</v>
      </c>
      <c r="CF453" s="27" t="s">
        <v>7</v>
      </c>
      <c r="CH453" s="27" t="s">
        <v>7</v>
      </c>
      <c r="CI453" s="27" t="s">
        <v>8</v>
      </c>
      <c r="CJ453" s="27" t="s">
        <v>7</v>
      </c>
      <c r="CX453" s="27" t="s">
        <v>7</v>
      </c>
      <c r="CY453" s="27" t="s">
        <v>8</v>
      </c>
      <c r="DB453" s="27" t="s">
        <v>7</v>
      </c>
      <c r="DC453" s="27" t="s">
        <v>8</v>
      </c>
      <c r="DD453" s="27" t="s">
        <v>7</v>
      </c>
      <c r="DE453" s="27" t="s">
        <v>8</v>
      </c>
      <c r="DF453" s="27" t="s">
        <v>7</v>
      </c>
      <c r="DG453" s="27" t="s">
        <v>8</v>
      </c>
      <c r="DH453" s="27" t="s">
        <v>7</v>
      </c>
      <c r="DI453" s="27" t="s">
        <v>8</v>
      </c>
      <c r="DJ453" s="27" t="s">
        <v>7</v>
      </c>
      <c r="DK453" s="27" t="s">
        <v>8</v>
      </c>
      <c r="DL453" s="27" t="s">
        <v>7</v>
      </c>
      <c r="DM453" s="27" t="s">
        <v>8</v>
      </c>
      <c r="DO453" s="27" t="s">
        <v>8</v>
      </c>
      <c r="DP453" s="27" t="s">
        <v>7</v>
      </c>
      <c r="EH453" s="27" t="s">
        <v>7</v>
      </c>
      <c r="EI453" s="27" t="s">
        <v>8</v>
      </c>
      <c r="EJ453" s="27" t="s">
        <v>7</v>
      </c>
    </row>
    <row r="454" spans="1:148" x14ac:dyDescent="0.25">
      <c r="A454" s="7">
        <v>13.925886278959517</v>
      </c>
      <c r="B454"/>
      <c r="C454"/>
      <c r="D454"/>
      <c r="E454"/>
      <c r="AS454" s="27" t="s">
        <v>8</v>
      </c>
      <c r="AT454" s="27" t="s">
        <v>7</v>
      </c>
      <c r="BY454" s="27" t="s">
        <v>8</v>
      </c>
      <c r="BZ454" s="27" t="s">
        <v>7</v>
      </c>
      <c r="CD454" s="27" t="s">
        <v>7</v>
      </c>
      <c r="CE454" s="27" t="s">
        <v>8</v>
      </c>
      <c r="CH454" s="27" t="s">
        <v>7</v>
      </c>
      <c r="CI454" s="27" t="s">
        <v>8</v>
      </c>
      <c r="CX454" s="27" t="s">
        <v>7</v>
      </c>
      <c r="CY454" s="27" t="s">
        <v>8</v>
      </c>
      <c r="DB454" s="27" t="s">
        <v>7</v>
      </c>
      <c r="DC454" s="27" t="s">
        <v>8</v>
      </c>
      <c r="DD454" s="27" t="s">
        <v>7</v>
      </c>
      <c r="DE454" s="27" t="s">
        <v>8</v>
      </c>
      <c r="DF454" s="27" t="s">
        <v>7</v>
      </c>
      <c r="DG454" s="27" t="s">
        <v>8</v>
      </c>
      <c r="DH454" s="27" t="s">
        <v>7</v>
      </c>
      <c r="DJ454" s="27" t="s">
        <v>7</v>
      </c>
      <c r="DK454" s="27" t="s">
        <v>8</v>
      </c>
      <c r="DL454" s="27" t="s">
        <v>7</v>
      </c>
      <c r="DM454" s="27" t="s">
        <v>8</v>
      </c>
      <c r="DN454" s="27" t="s">
        <v>7</v>
      </c>
      <c r="DO454" s="27" t="s">
        <v>8</v>
      </c>
      <c r="EH454" s="27" t="s">
        <v>7</v>
      </c>
      <c r="EI454" s="27" t="s">
        <v>8</v>
      </c>
      <c r="EJ454" s="27" t="s">
        <v>7</v>
      </c>
    </row>
    <row r="455" spans="1:148" x14ac:dyDescent="0.25">
      <c r="A455" s="7">
        <v>13.652829685254428</v>
      </c>
      <c r="B455"/>
      <c r="C455"/>
      <c r="D455"/>
      <c r="E455"/>
      <c r="AS455" s="27" t="s">
        <v>8</v>
      </c>
      <c r="AT455" s="27" t="s">
        <v>7</v>
      </c>
      <c r="BY455" s="27" t="s">
        <v>8</v>
      </c>
      <c r="CD455" s="27" t="s">
        <v>7</v>
      </c>
      <c r="CH455" s="27" t="s">
        <v>7</v>
      </c>
      <c r="CX455" s="27" t="s">
        <v>7</v>
      </c>
      <c r="DB455" s="27" t="s">
        <v>7</v>
      </c>
      <c r="DC455" s="27" t="s">
        <v>8</v>
      </c>
      <c r="DD455" s="27" t="s">
        <v>7</v>
      </c>
      <c r="DE455" s="27" t="s">
        <v>8</v>
      </c>
      <c r="DF455" s="27" t="s">
        <v>7</v>
      </c>
      <c r="DJ455" s="27" t="s">
        <v>7</v>
      </c>
      <c r="DK455" s="27" t="s">
        <v>8</v>
      </c>
      <c r="DL455" s="27" t="s">
        <v>7</v>
      </c>
      <c r="DM455" s="27" t="s">
        <v>8</v>
      </c>
      <c r="DN455" s="27" t="s">
        <v>7</v>
      </c>
      <c r="DO455" s="27" t="s">
        <v>8</v>
      </c>
      <c r="EH455" s="27" t="s">
        <v>7</v>
      </c>
      <c r="EJ455" s="27" t="s">
        <v>7</v>
      </c>
    </row>
    <row r="456" spans="1:148" x14ac:dyDescent="0.25">
      <c r="A456" s="7">
        <v>13.385127142406303</v>
      </c>
      <c r="B456"/>
      <c r="C456"/>
      <c r="D456"/>
      <c r="E456"/>
      <c r="AS456" s="27" t="s">
        <v>8</v>
      </c>
      <c r="AT456" s="27" t="s">
        <v>7</v>
      </c>
      <c r="BY456" s="27" t="s">
        <v>8</v>
      </c>
      <c r="DB456" s="27" t="s">
        <v>7</v>
      </c>
      <c r="DC456" s="27" t="s">
        <v>8</v>
      </c>
      <c r="DD456" s="27" t="s">
        <v>7</v>
      </c>
      <c r="DE456" s="27" t="s">
        <v>8</v>
      </c>
      <c r="DJ456" s="27" t="s">
        <v>7</v>
      </c>
      <c r="DK456" s="27" t="s">
        <v>8</v>
      </c>
      <c r="DL456" s="27" t="s">
        <v>7</v>
      </c>
      <c r="DN456" s="27" t="s">
        <v>7</v>
      </c>
      <c r="EJ456" s="27" t="s">
        <v>7</v>
      </c>
      <c r="EK456" s="27" t="s">
        <v>8</v>
      </c>
      <c r="EM456" s="27" t="s">
        <v>8</v>
      </c>
    </row>
    <row r="457" spans="1:148" x14ac:dyDescent="0.25">
      <c r="A457" s="7">
        <v>13.122673669025787</v>
      </c>
      <c r="B457"/>
      <c r="C457"/>
      <c r="D457"/>
      <c r="E457"/>
      <c r="AS457" s="27" t="s">
        <v>8</v>
      </c>
      <c r="AT457" s="27" t="s">
        <v>7</v>
      </c>
      <c r="BY457" s="27" t="s">
        <v>8</v>
      </c>
      <c r="DB457" s="27" t="s">
        <v>7</v>
      </c>
      <c r="DC457" s="27" t="s">
        <v>8</v>
      </c>
      <c r="DD457" s="27" t="s">
        <v>7</v>
      </c>
      <c r="DE457" s="27" t="s">
        <v>8</v>
      </c>
      <c r="DJ457" s="27" t="s">
        <v>7</v>
      </c>
      <c r="DK457" s="27" t="s">
        <v>8</v>
      </c>
      <c r="EJ457" s="27" t="s">
        <v>7</v>
      </c>
      <c r="EK457" s="27" t="s">
        <v>8</v>
      </c>
      <c r="EL457" s="27" t="s">
        <v>7</v>
      </c>
      <c r="EM457" s="27" t="s">
        <v>8</v>
      </c>
      <c r="EN457" s="27" t="s">
        <v>7</v>
      </c>
    </row>
    <row r="458" spans="1:148" x14ac:dyDescent="0.25">
      <c r="A458" s="7">
        <v>12.865366342182144</v>
      </c>
      <c r="B458"/>
      <c r="C458"/>
      <c r="D458"/>
      <c r="E458"/>
      <c r="AS458" s="27" t="s">
        <v>8</v>
      </c>
      <c r="AT458" s="27" t="s">
        <v>7</v>
      </c>
      <c r="BY458" s="27" t="s">
        <v>8</v>
      </c>
      <c r="DB458" s="27" t="s">
        <v>7</v>
      </c>
      <c r="DC458" s="27" t="s">
        <v>8</v>
      </c>
      <c r="DD458" s="27" t="s">
        <v>7</v>
      </c>
      <c r="DE458" s="27" t="s">
        <v>8</v>
      </c>
      <c r="DJ458" s="27" t="s">
        <v>7</v>
      </c>
      <c r="DK458" s="27" t="s">
        <v>8</v>
      </c>
      <c r="EJ458" s="27" t="s">
        <v>7</v>
      </c>
      <c r="EK458" s="27" t="s">
        <v>8</v>
      </c>
      <c r="EL458" s="27" t="s">
        <v>7</v>
      </c>
      <c r="EM458" s="27" t="s">
        <v>8</v>
      </c>
      <c r="EN458" s="27" t="s">
        <v>7</v>
      </c>
    </row>
    <row r="459" spans="1:148" x14ac:dyDescent="0.25">
      <c r="A459" s="7">
        <v>12.613104257041318</v>
      </c>
      <c r="B459"/>
      <c r="C459"/>
      <c r="D459"/>
      <c r="E459"/>
      <c r="AO459" s="27" t="s">
        <v>8</v>
      </c>
      <c r="AS459" s="27" t="s">
        <v>8</v>
      </c>
      <c r="AT459" s="27" t="s">
        <v>7</v>
      </c>
      <c r="BY459" s="27" t="s">
        <v>8</v>
      </c>
      <c r="DB459" s="27" t="s">
        <v>7</v>
      </c>
      <c r="DC459" s="27" t="s">
        <v>8</v>
      </c>
      <c r="DD459" s="27" t="s">
        <v>7</v>
      </c>
      <c r="DE459" s="27" t="s">
        <v>8</v>
      </c>
      <c r="DJ459" s="27" t="s">
        <v>7</v>
      </c>
      <c r="EJ459" s="27" t="s">
        <v>7</v>
      </c>
      <c r="EK459" s="27" t="s">
        <v>8</v>
      </c>
      <c r="EL459" s="27" t="s">
        <v>7</v>
      </c>
      <c r="EN459" s="27" t="s">
        <v>7</v>
      </c>
    </row>
    <row r="460" spans="1:148" x14ac:dyDescent="0.25">
      <c r="A460" s="7">
        <v>12.36578848729541</v>
      </c>
      <c r="B460"/>
      <c r="C460"/>
      <c r="D460"/>
      <c r="E460"/>
      <c r="AO460" s="27" t="s">
        <v>8</v>
      </c>
      <c r="AP460" s="27" t="s">
        <v>7</v>
      </c>
      <c r="AQ460" s="27" t="s">
        <v>8</v>
      </c>
      <c r="AS460" s="27" t="s">
        <v>8</v>
      </c>
      <c r="AT460" s="27" t="s">
        <v>7</v>
      </c>
      <c r="BY460" s="27" t="s">
        <v>8</v>
      </c>
      <c r="DB460" s="27" t="s">
        <v>7</v>
      </c>
      <c r="DC460" s="27" t="s">
        <v>8</v>
      </c>
      <c r="DD460" s="27" t="s">
        <v>7</v>
      </c>
      <c r="DE460" s="27" t="s">
        <v>8</v>
      </c>
      <c r="EJ460" s="27" t="s">
        <v>7</v>
      </c>
      <c r="EK460" s="27" t="s">
        <v>8</v>
      </c>
      <c r="EN460" s="27" t="s">
        <v>7</v>
      </c>
    </row>
    <row r="461" spans="1:148" x14ac:dyDescent="0.25">
      <c r="A461" s="7">
        <v>12.123322046368049</v>
      </c>
      <c r="B461"/>
      <c r="C461"/>
      <c r="D461"/>
      <c r="E461"/>
      <c r="AO461" s="27" t="s">
        <v>8</v>
      </c>
      <c r="AP461" s="27" t="s">
        <v>7</v>
      </c>
      <c r="AQ461" s="27" t="s">
        <v>8</v>
      </c>
      <c r="AR461" s="27" t="s">
        <v>7</v>
      </c>
      <c r="AS461" s="27" t="s">
        <v>8</v>
      </c>
      <c r="AT461" s="27" t="s">
        <v>7</v>
      </c>
      <c r="BY461" s="27" t="s">
        <v>8</v>
      </c>
      <c r="DB461" s="27" t="s">
        <v>7</v>
      </c>
      <c r="DC461" s="27" t="s">
        <v>8</v>
      </c>
      <c r="DD461" s="27" t="s">
        <v>7</v>
      </c>
      <c r="DE461" s="27" t="s">
        <v>8</v>
      </c>
      <c r="EJ461" s="27" t="s">
        <v>7</v>
      </c>
      <c r="EK461" s="27" t="s">
        <v>8</v>
      </c>
      <c r="EN461" s="27" t="s">
        <v>7</v>
      </c>
    </row>
    <row r="462" spans="1:148" x14ac:dyDescent="0.25">
      <c r="A462" s="7">
        <v>11.88560984938044</v>
      </c>
      <c r="B462"/>
      <c r="C462"/>
      <c r="D462"/>
      <c r="E462"/>
      <c r="AO462" s="27" t="s">
        <v>8</v>
      </c>
      <c r="AP462" s="27" t="s">
        <v>7</v>
      </c>
      <c r="AQ462" s="27" t="s">
        <v>8</v>
      </c>
      <c r="AR462" s="27" t="s">
        <v>7</v>
      </c>
      <c r="AS462" s="27" t="s">
        <v>8</v>
      </c>
      <c r="AT462" s="27" t="s">
        <v>7</v>
      </c>
      <c r="BI462" s="27" t="s">
        <v>8</v>
      </c>
      <c r="BY462" s="27" t="s">
        <v>8</v>
      </c>
      <c r="DB462" s="27" t="s">
        <v>7</v>
      </c>
      <c r="DC462" s="27" t="s">
        <v>8</v>
      </c>
      <c r="DD462" s="27" t="s">
        <v>7</v>
      </c>
      <c r="DE462" s="27" t="s">
        <v>8</v>
      </c>
      <c r="EJ462" s="27" t="s">
        <v>7</v>
      </c>
      <c r="EK462" s="27" t="s">
        <v>8</v>
      </c>
      <c r="EN462" s="27" t="s">
        <v>7</v>
      </c>
      <c r="EO462" s="27" t="s">
        <v>8</v>
      </c>
    </row>
    <row r="463" spans="1:148" x14ac:dyDescent="0.25">
      <c r="A463" s="7">
        <v>11.652558675863176</v>
      </c>
      <c r="B463"/>
      <c r="C463"/>
      <c r="D463"/>
      <c r="E463"/>
      <c r="AO463" s="27" t="s">
        <v>8</v>
      </c>
      <c r="AP463" s="27" t="s">
        <v>7</v>
      </c>
      <c r="AQ463" s="27" t="s">
        <v>8</v>
      </c>
      <c r="AR463" s="27" t="s">
        <v>7</v>
      </c>
      <c r="AS463" s="27" t="s">
        <v>8</v>
      </c>
      <c r="AT463" s="27" t="s">
        <v>7</v>
      </c>
      <c r="BI463" s="27" t="s">
        <v>8</v>
      </c>
      <c r="BJ463" s="27" t="s">
        <v>7</v>
      </c>
      <c r="BY463" s="27" t="s">
        <v>8</v>
      </c>
      <c r="DB463" s="27" t="s">
        <v>7</v>
      </c>
      <c r="DC463" s="27" t="s">
        <v>8</v>
      </c>
      <c r="DD463" s="27" t="s">
        <v>7</v>
      </c>
      <c r="DE463" s="27" t="s">
        <v>8</v>
      </c>
      <c r="EJ463" s="27" t="s">
        <v>7</v>
      </c>
      <c r="EK463" s="27" t="s">
        <v>8</v>
      </c>
      <c r="EN463" s="27" t="s">
        <v>7</v>
      </c>
      <c r="EO463" s="27" t="s">
        <v>8</v>
      </c>
      <c r="EP463" s="27" t="s">
        <v>7</v>
      </c>
      <c r="EQ463" s="27" t="s">
        <v>8</v>
      </c>
    </row>
    <row r="464" spans="1:148" x14ac:dyDescent="0.25">
      <c r="A464" s="7">
        <v>11.424077133199193</v>
      </c>
      <c r="B464"/>
      <c r="C464"/>
      <c r="D464"/>
      <c r="E464"/>
      <c r="AO464" s="27" t="s">
        <v>8</v>
      </c>
      <c r="AP464" s="27" t="s">
        <v>7</v>
      </c>
      <c r="AQ464" s="27" t="s">
        <v>8</v>
      </c>
      <c r="AR464" s="27" t="s">
        <v>7</v>
      </c>
      <c r="AS464" s="27" t="s">
        <v>8</v>
      </c>
      <c r="AT464" s="27" t="s">
        <v>7</v>
      </c>
      <c r="AU464" s="27" t="s">
        <v>8</v>
      </c>
      <c r="AW464" s="27" t="s">
        <v>8</v>
      </c>
      <c r="BI464" s="27" t="s">
        <v>8</v>
      </c>
      <c r="BJ464" s="27" t="s">
        <v>7</v>
      </c>
      <c r="BY464" s="27" t="s">
        <v>8</v>
      </c>
      <c r="DB464" s="27" t="s">
        <v>7</v>
      </c>
      <c r="DC464" s="27" t="s">
        <v>8</v>
      </c>
      <c r="DD464" s="27" t="s">
        <v>7</v>
      </c>
      <c r="DE464" s="27" t="s">
        <v>8</v>
      </c>
      <c r="EJ464" s="27" t="s">
        <v>7</v>
      </c>
      <c r="EN464" s="27" t="s">
        <v>7</v>
      </c>
      <c r="EO464" s="27" t="s">
        <v>8</v>
      </c>
      <c r="EP464" s="27" t="s">
        <v>7</v>
      </c>
      <c r="EQ464" s="27" t="s">
        <v>8</v>
      </c>
      <c r="ER464" s="27" t="s">
        <v>7</v>
      </c>
    </row>
    <row r="465" spans="1:164" x14ac:dyDescent="0.25">
      <c r="A465" s="7">
        <v>11.200075620783522</v>
      </c>
      <c r="B465"/>
      <c r="C465"/>
      <c r="D465"/>
      <c r="E465"/>
      <c r="AO465" s="27" t="s">
        <v>8</v>
      </c>
      <c r="AP465" s="27" t="s">
        <v>7</v>
      </c>
      <c r="AQ465" s="27" t="s">
        <v>8</v>
      </c>
      <c r="AR465" s="27" t="s">
        <v>7</v>
      </c>
      <c r="AS465" s="27" t="s">
        <v>8</v>
      </c>
      <c r="AT465" s="27" t="s">
        <v>7</v>
      </c>
      <c r="AU465" s="27" t="s">
        <v>8</v>
      </c>
      <c r="AV465" s="27" t="s">
        <v>7</v>
      </c>
      <c r="AW465" s="27" t="s">
        <v>8</v>
      </c>
      <c r="AX465" s="27" t="s">
        <v>7</v>
      </c>
      <c r="AY465" s="27" t="s">
        <v>8</v>
      </c>
      <c r="BI465" s="27" t="s">
        <v>8</v>
      </c>
      <c r="BJ465" s="27" t="s">
        <v>7</v>
      </c>
      <c r="BW465" s="27" t="s">
        <v>8</v>
      </c>
      <c r="BY465" s="27" t="s">
        <v>8</v>
      </c>
      <c r="DB465" s="27" t="s">
        <v>7</v>
      </c>
      <c r="DC465" s="27" t="s">
        <v>8</v>
      </c>
      <c r="DD465" s="27" t="s">
        <v>7</v>
      </c>
      <c r="EN465" s="27" t="s">
        <v>7</v>
      </c>
      <c r="EO465" s="27" t="s">
        <v>8</v>
      </c>
      <c r="EP465" s="27" t="s">
        <v>7</v>
      </c>
      <c r="EQ465" s="27" t="s">
        <v>8</v>
      </c>
      <c r="ER465" s="27" t="s">
        <v>7</v>
      </c>
    </row>
    <row r="466" spans="1:164" x14ac:dyDescent="0.25">
      <c r="A466" s="7">
        <v>10.980466294885806</v>
      </c>
      <c r="B466"/>
      <c r="C466"/>
      <c r="D466"/>
      <c r="E466"/>
      <c r="AO466" s="27" t="s">
        <v>8</v>
      </c>
      <c r="AP466" s="27" t="s">
        <v>7</v>
      </c>
      <c r="AQ466" s="27" t="s">
        <v>8</v>
      </c>
      <c r="AR466" s="27" t="s">
        <v>7</v>
      </c>
      <c r="AS466" s="27" t="s">
        <v>8</v>
      </c>
      <c r="AT466" s="27" t="s">
        <v>7</v>
      </c>
      <c r="AU466" s="27" t="s">
        <v>8</v>
      </c>
      <c r="AV466" s="27" t="s">
        <v>7</v>
      </c>
      <c r="AW466" s="27" t="s">
        <v>8</v>
      </c>
      <c r="AX466" s="27" t="s">
        <v>7</v>
      </c>
      <c r="AY466" s="27" t="s">
        <v>8</v>
      </c>
      <c r="AZ466" s="27" t="s">
        <v>7</v>
      </c>
      <c r="BI466" s="27" t="s">
        <v>8</v>
      </c>
      <c r="BJ466" s="27" t="s">
        <v>7</v>
      </c>
      <c r="BW466" s="27" t="s">
        <v>8</v>
      </c>
      <c r="BX466" s="27" t="s">
        <v>7</v>
      </c>
      <c r="BY466" s="27" t="s">
        <v>8</v>
      </c>
      <c r="DB466" s="27" t="s">
        <v>7</v>
      </c>
      <c r="EN466" s="27" t="s">
        <v>7</v>
      </c>
      <c r="EO466" s="27" t="s">
        <v>8</v>
      </c>
      <c r="EP466" s="27" t="s">
        <v>7</v>
      </c>
      <c r="EQ466" s="27" t="s">
        <v>8</v>
      </c>
      <c r="ER466" s="27" t="s">
        <v>7</v>
      </c>
    </row>
    <row r="467" spans="1:164" x14ac:dyDescent="0.25">
      <c r="A467" s="7">
        <v>10.765163034201771</v>
      </c>
      <c r="B467"/>
      <c r="C467"/>
      <c r="D467"/>
      <c r="E467"/>
      <c r="O467" s="27" t="s">
        <v>8</v>
      </c>
      <c r="AO467" s="27" t="s">
        <v>8</v>
      </c>
      <c r="AP467" s="27" t="s">
        <v>7</v>
      </c>
      <c r="AQ467" s="27" t="s">
        <v>8</v>
      </c>
      <c r="AR467" s="27" t="s">
        <v>7</v>
      </c>
      <c r="AS467" s="27" t="s">
        <v>8</v>
      </c>
      <c r="AT467" s="27" t="s">
        <v>7</v>
      </c>
      <c r="AU467" s="27" t="s">
        <v>8</v>
      </c>
      <c r="AV467" s="27" t="s">
        <v>7</v>
      </c>
      <c r="AW467" s="27" t="s">
        <v>8</v>
      </c>
      <c r="AX467" s="27" t="s">
        <v>7</v>
      </c>
      <c r="AY467" s="27" t="s">
        <v>8</v>
      </c>
      <c r="AZ467" s="27" t="s">
        <v>7</v>
      </c>
      <c r="BI467" s="27" t="s">
        <v>8</v>
      </c>
      <c r="BJ467" s="27" t="s">
        <v>7</v>
      </c>
      <c r="BW467" s="27" t="s">
        <v>8</v>
      </c>
      <c r="BX467" s="27" t="s">
        <v>7</v>
      </c>
      <c r="BY467" s="27" t="s">
        <v>8</v>
      </c>
      <c r="EN467" s="27" t="s">
        <v>7</v>
      </c>
      <c r="EO467" s="27" t="s">
        <v>8</v>
      </c>
      <c r="EP467" s="27" t="s">
        <v>7</v>
      </c>
      <c r="EQ467" s="27" t="s">
        <v>8</v>
      </c>
      <c r="ER467" s="27" t="s">
        <v>7</v>
      </c>
    </row>
    <row r="468" spans="1:164" x14ac:dyDescent="0.25">
      <c r="A468" s="7">
        <v>10.554081406080169</v>
      </c>
      <c r="B468"/>
      <c r="C468"/>
      <c r="D468"/>
      <c r="E468"/>
      <c r="O468" s="27" t="s">
        <v>8</v>
      </c>
      <c r="P468" s="27" t="s">
        <v>7</v>
      </c>
      <c r="AO468" s="27" t="s">
        <v>8</v>
      </c>
      <c r="AP468" s="27" t="s">
        <v>7</v>
      </c>
      <c r="AQ468" s="27" t="s">
        <v>8</v>
      </c>
      <c r="AR468" s="27" t="s">
        <v>7</v>
      </c>
      <c r="AS468" s="27" t="s">
        <v>8</v>
      </c>
      <c r="AT468" s="27" t="s">
        <v>7</v>
      </c>
      <c r="AU468" s="27" t="s">
        <v>8</v>
      </c>
      <c r="AV468" s="27" t="s">
        <v>7</v>
      </c>
      <c r="AW468" s="27" t="s">
        <v>8</v>
      </c>
      <c r="AX468" s="27" t="s">
        <v>7</v>
      </c>
      <c r="AY468" s="27" t="s">
        <v>8</v>
      </c>
      <c r="AZ468" s="27" t="s">
        <v>7</v>
      </c>
      <c r="BI468" s="27" t="s">
        <v>8</v>
      </c>
      <c r="BJ468" s="27" t="s">
        <v>7</v>
      </c>
      <c r="BW468" s="27" t="s">
        <v>8</v>
      </c>
      <c r="BX468" s="27" t="s">
        <v>7</v>
      </c>
      <c r="BY468" s="27" t="s">
        <v>8</v>
      </c>
      <c r="EN468" s="27" t="s">
        <v>7</v>
      </c>
      <c r="EP468" s="27" t="s">
        <v>7</v>
      </c>
      <c r="EQ468" s="27" t="s">
        <v>8</v>
      </c>
      <c r="ER468" s="27" t="s">
        <v>7</v>
      </c>
    </row>
    <row r="469" spans="1:164" x14ac:dyDescent="0.25">
      <c r="A469" s="7">
        <v>10.34713863341193</v>
      </c>
      <c r="B469"/>
      <c r="C469"/>
      <c r="D469"/>
      <c r="E469"/>
      <c r="O469" s="27" t="s">
        <v>8</v>
      </c>
      <c r="P469" s="27" t="s">
        <v>7</v>
      </c>
      <c r="AO469" s="27" t="s">
        <v>8</v>
      </c>
      <c r="AP469" s="27" t="s">
        <v>7</v>
      </c>
      <c r="AQ469" s="27" t="s">
        <v>8</v>
      </c>
      <c r="AR469" s="27" t="s">
        <v>7</v>
      </c>
      <c r="AS469" s="27" t="s">
        <v>8</v>
      </c>
      <c r="AT469" s="27" t="s">
        <v>7</v>
      </c>
      <c r="AU469" s="27" t="s">
        <v>8</v>
      </c>
      <c r="AV469" s="27" t="s">
        <v>7</v>
      </c>
      <c r="AW469" s="27" t="s">
        <v>8</v>
      </c>
      <c r="AX469" s="27" t="s">
        <v>7</v>
      </c>
      <c r="AY469" s="27" t="s">
        <v>8</v>
      </c>
      <c r="AZ469" s="27" t="s">
        <v>7</v>
      </c>
      <c r="BI469" s="27" t="s">
        <v>8</v>
      </c>
      <c r="BJ469" s="27" t="s">
        <v>7</v>
      </c>
      <c r="BW469" s="27" t="s">
        <v>8</v>
      </c>
      <c r="BX469" s="27" t="s">
        <v>7</v>
      </c>
      <c r="BY469" s="27" t="s">
        <v>8</v>
      </c>
      <c r="EP469" s="27" t="s">
        <v>7</v>
      </c>
      <c r="ER469" s="27" t="s">
        <v>7</v>
      </c>
    </row>
    <row r="470" spans="1:164" x14ac:dyDescent="0.25">
      <c r="A470" s="7">
        <v>10.14425356216856</v>
      </c>
      <c r="B470"/>
      <c r="C470"/>
      <c r="D470"/>
      <c r="E470"/>
      <c r="O470" s="27" t="s">
        <v>8</v>
      </c>
      <c r="P470" s="27" t="s">
        <v>7</v>
      </c>
      <c r="AO470" s="27" t="s">
        <v>8</v>
      </c>
      <c r="AP470" s="27" t="s">
        <v>7</v>
      </c>
      <c r="AQ470" s="27" t="s">
        <v>8</v>
      </c>
      <c r="AR470" s="27" t="s">
        <v>7</v>
      </c>
      <c r="AS470" s="27" t="s">
        <v>8</v>
      </c>
      <c r="AT470" s="27" t="s">
        <v>7</v>
      </c>
      <c r="AU470" s="27" t="s">
        <v>8</v>
      </c>
      <c r="AV470" s="27" t="s">
        <v>7</v>
      </c>
      <c r="AW470" s="27" t="s">
        <v>8</v>
      </c>
      <c r="AX470" s="27" t="s">
        <v>7</v>
      </c>
      <c r="AY470" s="27" t="s">
        <v>8</v>
      </c>
      <c r="AZ470" s="27" t="s">
        <v>7</v>
      </c>
      <c r="BI470" s="27" t="s">
        <v>8</v>
      </c>
      <c r="BJ470" s="27" t="s">
        <v>7</v>
      </c>
      <c r="BW470" s="27" t="s">
        <v>8</v>
      </c>
      <c r="BX470" s="27" t="s">
        <v>7</v>
      </c>
      <c r="BY470" s="27" t="s">
        <v>8</v>
      </c>
      <c r="ER470" s="27" t="s">
        <v>7</v>
      </c>
      <c r="EW470" s="27" t="s">
        <v>8</v>
      </c>
    </row>
    <row r="471" spans="1:164" x14ac:dyDescent="0.25">
      <c r="A471" s="7">
        <v>9.9453466295770188</v>
      </c>
      <c r="B471"/>
      <c r="C471"/>
      <c r="D471"/>
      <c r="E471" t="s">
        <v>8</v>
      </c>
      <c r="O471" s="27" t="s">
        <v>8</v>
      </c>
      <c r="P471" s="27" t="s">
        <v>7</v>
      </c>
      <c r="AO471" s="27" t="s">
        <v>8</v>
      </c>
      <c r="AP471" s="27" t="s">
        <v>7</v>
      </c>
      <c r="AQ471" s="27" t="s">
        <v>8</v>
      </c>
      <c r="AR471" s="27" t="s">
        <v>7</v>
      </c>
      <c r="AS471" s="27" t="s">
        <v>8</v>
      </c>
      <c r="AT471" s="27" t="s">
        <v>7</v>
      </c>
      <c r="AU471" s="27" t="s">
        <v>8</v>
      </c>
      <c r="AV471" s="27" t="s">
        <v>7</v>
      </c>
      <c r="AW471" s="27" t="s">
        <v>8</v>
      </c>
      <c r="AX471" s="27" t="s">
        <v>7</v>
      </c>
      <c r="AY471" s="27" t="s">
        <v>8</v>
      </c>
      <c r="AZ471" s="27" t="s">
        <v>7</v>
      </c>
      <c r="BI471" s="27" t="s">
        <v>8</v>
      </c>
      <c r="BJ471" s="27" t="s">
        <v>7</v>
      </c>
      <c r="BW471" s="27" t="s">
        <v>8</v>
      </c>
      <c r="BX471" s="27" t="s">
        <v>7</v>
      </c>
      <c r="BY471" s="27" t="s">
        <v>8</v>
      </c>
      <c r="ER471" s="27" t="s">
        <v>7</v>
      </c>
      <c r="EW471" s="27" t="s">
        <v>8</v>
      </c>
      <c r="EX471" s="27" t="s">
        <v>7</v>
      </c>
      <c r="EY471" s="27" t="s">
        <v>8</v>
      </c>
    </row>
    <row r="472" spans="1:164" x14ac:dyDescent="0.25">
      <c r="A472" s="7">
        <v>9.7503398329186464</v>
      </c>
      <c r="B472"/>
      <c r="C472"/>
      <c r="D472"/>
      <c r="E472" t="s">
        <v>8</v>
      </c>
      <c r="F472" s="27" t="s">
        <v>7</v>
      </c>
      <c r="O472" s="27" t="s">
        <v>8</v>
      </c>
      <c r="P472" s="27" t="s">
        <v>7</v>
      </c>
      <c r="AO472" s="27" t="s">
        <v>8</v>
      </c>
      <c r="AP472" s="27" t="s">
        <v>7</v>
      </c>
      <c r="AQ472" s="27" t="s">
        <v>8</v>
      </c>
      <c r="AR472" s="27" t="s">
        <v>7</v>
      </c>
      <c r="AS472" s="27" t="s">
        <v>8</v>
      </c>
      <c r="AT472" s="27" t="s">
        <v>7</v>
      </c>
      <c r="AU472" s="27" t="s">
        <v>8</v>
      </c>
      <c r="AV472" s="27" t="s">
        <v>7</v>
      </c>
      <c r="AW472" s="27" t="s">
        <v>8</v>
      </c>
      <c r="AX472" s="27" t="s">
        <v>7</v>
      </c>
      <c r="AY472" s="27" t="s">
        <v>8</v>
      </c>
      <c r="AZ472" s="27" t="s">
        <v>7</v>
      </c>
      <c r="BC472" s="27" t="s">
        <v>8</v>
      </c>
      <c r="BI472" s="27" t="s">
        <v>8</v>
      </c>
      <c r="BJ472" s="27" t="s">
        <v>7</v>
      </c>
      <c r="BU472" s="27" t="s">
        <v>8</v>
      </c>
      <c r="BW472" s="27" t="s">
        <v>8</v>
      </c>
      <c r="BX472" s="27" t="s">
        <v>7</v>
      </c>
      <c r="BY472" s="27" t="s">
        <v>8</v>
      </c>
      <c r="ER472" s="27" t="s">
        <v>7</v>
      </c>
      <c r="EW472" s="27" t="s">
        <v>8</v>
      </c>
      <c r="EX472" s="27" t="s">
        <v>7</v>
      </c>
      <c r="EY472" s="27" t="s">
        <v>8</v>
      </c>
      <c r="EZ472" s="27" t="s">
        <v>7</v>
      </c>
      <c r="FE472" s="27" t="s">
        <v>8</v>
      </c>
      <c r="FG472" s="27" t="s">
        <v>8</v>
      </c>
    </row>
    <row r="473" spans="1:164" x14ac:dyDescent="0.25">
      <c r="A473" s="7">
        <v>9.5591566989398498</v>
      </c>
      <c r="B473"/>
      <c r="C473"/>
      <c r="D473"/>
      <c r="E473" t="s">
        <v>8</v>
      </c>
      <c r="F473" s="27" t="s">
        <v>7</v>
      </c>
      <c r="O473" s="27" t="s">
        <v>8</v>
      </c>
      <c r="P473" s="27" t="s">
        <v>7</v>
      </c>
      <c r="AO473" s="27" t="s">
        <v>8</v>
      </c>
      <c r="AP473" s="27" t="s">
        <v>7</v>
      </c>
      <c r="AQ473" s="27" t="s">
        <v>8</v>
      </c>
      <c r="AR473" s="27" t="s">
        <v>7</v>
      </c>
      <c r="AS473" s="27" t="s">
        <v>8</v>
      </c>
      <c r="AT473" s="27" t="s">
        <v>7</v>
      </c>
      <c r="AU473" s="27" t="s">
        <v>8</v>
      </c>
      <c r="AV473" s="27" t="s">
        <v>7</v>
      </c>
      <c r="AW473" s="27" t="s">
        <v>8</v>
      </c>
      <c r="AX473" s="27" t="s">
        <v>7</v>
      </c>
      <c r="AZ473" s="27" t="s">
        <v>7</v>
      </c>
      <c r="BC473" s="27" t="s">
        <v>8</v>
      </c>
      <c r="BD473" s="27" t="s">
        <v>7</v>
      </c>
      <c r="BI473" s="27" t="s">
        <v>8</v>
      </c>
      <c r="BJ473" s="27" t="s">
        <v>7</v>
      </c>
      <c r="BU473" s="27" t="s">
        <v>8</v>
      </c>
      <c r="BV473" s="27" t="s">
        <v>7</v>
      </c>
      <c r="BW473" s="27" t="s">
        <v>8</v>
      </c>
      <c r="BX473" s="27" t="s">
        <v>7</v>
      </c>
      <c r="BY473" s="27" t="s">
        <v>8</v>
      </c>
      <c r="ER473" s="27" t="s">
        <v>7</v>
      </c>
      <c r="ES473" s="27" t="s">
        <v>8</v>
      </c>
      <c r="EW473" s="27" t="s">
        <v>8</v>
      </c>
      <c r="EX473" s="27" t="s">
        <v>7</v>
      </c>
      <c r="EY473" s="27" t="s">
        <v>8</v>
      </c>
      <c r="EZ473" s="27" t="s">
        <v>7</v>
      </c>
      <c r="FA473" s="27" t="s">
        <v>8</v>
      </c>
      <c r="FC473" s="27" t="s">
        <v>8</v>
      </c>
      <c r="FE473" s="27" t="s">
        <v>8</v>
      </c>
      <c r="FF473" s="27" t="s">
        <v>7</v>
      </c>
      <c r="FG473" s="27" t="s">
        <v>8</v>
      </c>
      <c r="FH473" s="27" t="s">
        <v>7</v>
      </c>
    </row>
    <row r="474" spans="1:164" x14ac:dyDescent="0.25">
      <c r="A474" s="7">
        <v>9.3717222538625968</v>
      </c>
      <c r="B474"/>
      <c r="C474"/>
      <c r="D474"/>
      <c r="E474" t="s">
        <v>8</v>
      </c>
      <c r="F474" s="27" t="s">
        <v>7</v>
      </c>
      <c r="O474" s="27" t="s">
        <v>8</v>
      </c>
      <c r="P474" s="27" t="s">
        <v>7</v>
      </c>
      <c r="AO474" s="27" t="s">
        <v>8</v>
      </c>
      <c r="AP474" s="27" t="s">
        <v>7</v>
      </c>
      <c r="AQ474" s="27" t="s">
        <v>8</v>
      </c>
      <c r="AR474" s="27" t="s">
        <v>7</v>
      </c>
      <c r="AS474" s="27" t="s">
        <v>8</v>
      </c>
      <c r="AT474" s="27" t="s">
        <v>7</v>
      </c>
      <c r="AU474" s="27" t="s">
        <v>8</v>
      </c>
      <c r="AV474" s="27" t="s">
        <v>7</v>
      </c>
      <c r="AW474" s="27" t="s">
        <v>8</v>
      </c>
      <c r="AZ474" s="27" t="s">
        <v>7</v>
      </c>
      <c r="BC474" s="27" t="s">
        <v>8</v>
      </c>
      <c r="BD474" s="27" t="s">
        <v>7</v>
      </c>
      <c r="BI474" s="27" t="s">
        <v>8</v>
      </c>
      <c r="BJ474" s="27" t="s">
        <v>7</v>
      </c>
      <c r="BK474" s="27" t="s">
        <v>8</v>
      </c>
      <c r="BM474" s="27" t="s">
        <v>8</v>
      </c>
      <c r="BU474" s="27" t="s">
        <v>8</v>
      </c>
      <c r="BV474" s="27" t="s">
        <v>7</v>
      </c>
      <c r="BW474" s="27" t="s">
        <v>8</v>
      </c>
      <c r="BX474" s="27" t="s">
        <v>7</v>
      </c>
      <c r="BY474" s="27" t="s">
        <v>8</v>
      </c>
      <c r="ER474" s="27" t="s">
        <v>7</v>
      </c>
      <c r="ES474" s="27" t="s">
        <v>8</v>
      </c>
      <c r="ET474" s="27" t="s">
        <v>7</v>
      </c>
      <c r="EW474" s="27" t="s">
        <v>8</v>
      </c>
      <c r="EX474" s="27" t="s">
        <v>7</v>
      </c>
      <c r="EY474" s="27" t="s">
        <v>8</v>
      </c>
      <c r="EZ474" s="27" t="s">
        <v>7</v>
      </c>
      <c r="FA474" s="27" t="s">
        <v>8</v>
      </c>
      <c r="FB474" s="27" t="s">
        <v>7</v>
      </c>
      <c r="FC474" s="27" t="s">
        <v>8</v>
      </c>
      <c r="FD474" s="27" t="s">
        <v>7</v>
      </c>
      <c r="FE474" s="27" t="s">
        <v>8</v>
      </c>
      <c r="FF474" s="27" t="s">
        <v>7</v>
      </c>
      <c r="FG474" s="27" t="s">
        <v>8</v>
      </c>
      <c r="FH474" s="27" t="s">
        <v>7</v>
      </c>
    </row>
    <row r="475" spans="1:164" x14ac:dyDescent="0.25">
      <c r="A475" s="7">
        <v>9.1879629939829375</v>
      </c>
      <c r="B475"/>
      <c r="C475"/>
      <c r="D475"/>
      <c r="E475" t="s">
        <v>8</v>
      </c>
      <c r="F475" s="27" t="s">
        <v>7</v>
      </c>
      <c r="O475" s="27" t="s">
        <v>8</v>
      </c>
      <c r="P475" s="27" t="s">
        <v>7</v>
      </c>
      <c r="AO475" s="27" t="s">
        <v>8</v>
      </c>
      <c r="AP475" s="27" t="s">
        <v>7</v>
      </c>
      <c r="AQ475" s="27" t="s">
        <v>8</v>
      </c>
      <c r="AR475" s="27" t="s">
        <v>7</v>
      </c>
      <c r="AS475" s="27" t="s">
        <v>8</v>
      </c>
      <c r="AT475" s="27" t="s">
        <v>7</v>
      </c>
      <c r="AU475" s="27" t="s">
        <v>8</v>
      </c>
      <c r="AV475" s="27" t="s">
        <v>7</v>
      </c>
      <c r="AW475" s="27" t="s">
        <v>8</v>
      </c>
      <c r="AZ475" s="27" t="s">
        <v>7</v>
      </c>
      <c r="BC475" s="27" t="s">
        <v>8</v>
      </c>
      <c r="BD475" s="27" t="s">
        <v>7</v>
      </c>
      <c r="BI475" s="27" t="s">
        <v>8</v>
      </c>
      <c r="BJ475" s="27" t="s">
        <v>7</v>
      </c>
      <c r="BK475" s="27" t="s">
        <v>8</v>
      </c>
      <c r="BL475" s="27" t="s">
        <v>7</v>
      </c>
      <c r="BM475" s="27" t="s">
        <v>8</v>
      </c>
      <c r="BN475" s="27" t="s">
        <v>7</v>
      </c>
      <c r="BU475" s="27" t="s">
        <v>8</v>
      </c>
      <c r="BV475" s="27" t="s">
        <v>7</v>
      </c>
      <c r="BW475" s="27" t="s">
        <v>8</v>
      </c>
      <c r="BX475" s="27" t="s">
        <v>7</v>
      </c>
      <c r="BY475" s="27" t="s">
        <v>8</v>
      </c>
      <c r="ER475" s="27" t="s">
        <v>7</v>
      </c>
      <c r="ES475" s="27" t="s">
        <v>8</v>
      </c>
      <c r="ET475" s="27" t="s">
        <v>7</v>
      </c>
      <c r="EU475" s="27" t="s">
        <v>8</v>
      </c>
      <c r="EW475" s="27" t="s">
        <v>8</v>
      </c>
      <c r="EX475" s="27" t="s">
        <v>7</v>
      </c>
      <c r="EY475" s="27" t="s">
        <v>8</v>
      </c>
      <c r="EZ475" s="27" t="s">
        <v>7</v>
      </c>
      <c r="FA475" s="27" t="s">
        <v>8</v>
      </c>
      <c r="FB475" s="27" t="s">
        <v>7</v>
      </c>
      <c r="FC475" s="27" t="s">
        <v>8</v>
      </c>
      <c r="FD475" s="27" t="s">
        <v>7</v>
      </c>
      <c r="FE475" s="27" t="s">
        <v>8</v>
      </c>
      <c r="FF475" s="27" t="s">
        <v>7</v>
      </c>
      <c r="FG475" s="27" t="s">
        <v>8</v>
      </c>
      <c r="FH475" s="27" t="s">
        <v>7</v>
      </c>
    </row>
    <row r="476" spans="1:164" x14ac:dyDescent="0.25">
      <c r="A476" s="7">
        <v>9.0078068568460168</v>
      </c>
      <c r="B476"/>
      <c r="C476"/>
      <c r="D476"/>
      <c r="E476" t="s">
        <v>8</v>
      </c>
      <c r="F476" s="27" t="s">
        <v>7</v>
      </c>
      <c r="M476" s="27" t="s">
        <v>8</v>
      </c>
      <c r="O476" s="27" t="s">
        <v>8</v>
      </c>
      <c r="P476" s="27" t="s">
        <v>7</v>
      </c>
      <c r="Q476" s="27" t="s">
        <v>8</v>
      </c>
      <c r="AI476" s="27" t="s">
        <v>8</v>
      </c>
      <c r="AO476" s="27" t="s">
        <v>8</v>
      </c>
      <c r="AP476" s="27" t="s">
        <v>7</v>
      </c>
      <c r="AQ476" s="27" t="s">
        <v>8</v>
      </c>
      <c r="AR476" s="27" t="s">
        <v>7</v>
      </c>
      <c r="AS476" s="27" t="s">
        <v>8</v>
      </c>
      <c r="AT476" s="27" t="s">
        <v>7</v>
      </c>
      <c r="AU476" s="27" t="s">
        <v>8</v>
      </c>
      <c r="AV476" s="27" t="s">
        <v>7</v>
      </c>
      <c r="AW476" s="27" t="s">
        <v>8</v>
      </c>
      <c r="AZ476" s="27" t="s">
        <v>7</v>
      </c>
      <c r="BA476" s="27" t="s">
        <v>8</v>
      </c>
      <c r="BC476" s="27" t="s">
        <v>8</v>
      </c>
      <c r="BD476" s="27" t="s">
        <v>7</v>
      </c>
      <c r="BG476" s="27" t="s">
        <v>8</v>
      </c>
      <c r="BI476" s="27" t="s">
        <v>8</v>
      </c>
      <c r="BJ476" s="27" t="s">
        <v>7</v>
      </c>
      <c r="BK476" s="27" t="s">
        <v>8</v>
      </c>
      <c r="BL476" s="27" t="s">
        <v>7</v>
      </c>
      <c r="BM476" s="27" t="s">
        <v>8</v>
      </c>
      <c r="BN476" s="27" t="s">
        <v>7</v>
      </c>
      <c r="BU476" s="27" t="s">
        <v>8</v>
      </c>
      <c r="BV476" s="27" t="s">
        <v>7</v>
      </c>
      <c r="BW476" s="27" t="s">
        <v>8</v>
      </c>
      <c r="BX476" s="27" t="s">
        <v>7</v>
      </c>
      <c r="ER476" s="27" t="s">
        <v>7</v>
      </c>
      <c r="ET476" s="27" t="s">
        <v>7</v>
      </c>
      <c r="EU476" s="27" t="s">
        <v>8</v>
      </c>
      <c r="EV476" s="27" t="s">
        <v>7</v>
      </c>
      <c r="EW476" s="27" t="s">
        <v>8</v>
      </c>
      <c r="EX476" s="27" t="s">
        <v>7</v>
      </c>
      <c r="EZ476" s="27" t="s">
        <v>7</v>
      </c>
      <c r="FA476" s="27" t="s">
        <v>8</v>
      </c>
      <c r="FB476" s="27" t="s">
        <v>7</v>
      </c>
      <c r="FC476" s="27" t="s">
        <v>8</v>
      </c>
      <c r="FD476" s="27" t="s">
        <v>7</v>
      </c>
      <c r="FE476" s="27" t="s">
        <v>8</v>
      </c>
      <c r="FF476" s="27" t="s">
        <v>7</v>
      </c>
      <c r="FG476" s="27" t="s">
        <v>8</v>
      </c>
      <c r="FH476" s="27" t="s">
        <v>7</v>
      </c>
    </row>
    <row r="477" spans="1:164" x14ac:dyDescent="0.25">
      <c r="A477" s="7">
        <v>8.8311831929862912</v>
      </c>
      <c r="B477"/>
      <c r="C477"/>
      <c r="D477"/>
      <c r="E477" t="s">
        <v>8</v>
      </c>
      <c r="F477" s="27" t="s">
        <v>7</v>
      </c>
      <c r="M477" s="27" t="s">
        <v>8</v>
      </c>
      <c r="N477" s="27" t="s">
        <v>7</v>
      </c>
      <c r="O477" s="27" t="s">
        <v>8</v>
      </c>
      <c r="P477" s="27" t="s">
        <v>7</v>
      </c>
      <c r="Q477" s="27" t="s">
        <v>8</v>
      </c>
      <c r="R477" s="27" t="s">
        <v>7</v>
      </c>
      <c r="AG477" s="27" t="s">
        <v>8</v>
      </c>
      <c r="AI477" s="27" t="s">
        <v>8</v>
      </c>
      <c r="AJ477" s="27" t="s">
        <v>7</v>
      </c>
      <c r="AO477" s="27" t="s">
        <v>8</v>
      </c>
      <c r="AP477" s="27" t="s">
        <v>7</v>
      </c>
      <c r="AQ477" s="27" t="s">
        <v>8</v>
      </c>
      <c r="AR477" s="27" t="s">
        <v>7</v>
      </c>
      <c r="AS477" s="27" t="s">
        <v>8</v>
      </c>
      <c r="AT477" s="27" t="s">
        <v>7</v>
      </c>
      <c r="AU477" s="27" t="s">
        <v>8</v>
      </c>
      <c r="AV477" s="27" t="s">
        <v>7</v>
      </c>
      <c r="AW477" s="27" t="s">
        <v>8</v>
      </c>
      <c r="AZ477" s="27" t="s">
        <v>7</v>
      </c>
      <c r="BA477" s="27" t="s">
        <v>8</v>
      </c>
      <c r="BB477" s="27" t="s">
        <v>7</v>
      </c>
      <c r="BC477" s="27" t="s">
        <v>8</v>
      </c>
      <c r="BD477" s="27" t="s">
        <v>7</v>
      </c>
      <c r="BG477" s="27" t="s">
        <v>8</v>
      </c>
      <c r="BH477" s="27" t="s">
        <v>7</v>
      </c>
      <c r="BI477" s="27" t="s">
        <v>8</v>
      </c>
      <c r="BJ477" s="27" t="s">
        <v>7</v>
      </c>
      <c r="BK477" s="27" t="s">
        <v>8</v>
      </c>
      <c r="BL477" s="27" t="s">
        <v>7</v>
      </c>
      <c r="BM477" s="27" t="s">
        <v>8</v>
      </c>
      <c r="BN477" s="27" t="s">
        <v>7</v>
      </c>
      <c r="BU477" s="27" t="s">
        <v>8</v>
      </c>
      <c r="BV477" s="27" t="s">
        <v>7</v>
      </c>
      <c r="BW477" s="27" t="s">
        <v>8</v>
      </c>
      <c r="ET477" s="27" t="s">
        <v>7</v>
      </c>
      <c r="EU477" s="27" t="s">
        <v>8</v>
      </c>
      <c r="EV477" s="27" t="s">
        <v>7</v>
      </c>
      <c r="EW477" s="27" t="s">
        <v>8</v>
      </c>
      <c r="EZ477" s="27" t="s">
        <v>7</v>
      </c>
      <c r="FA477" s="27" t="s">
        <v>8</v>
      </c>
      <c r="FB477" s="27" t="s">
        <v>7</v>
      </c>
      <c r="FC477" s="27" t="s">
        <v>8</v>
      </c>
      <c r="FD477" s="27" t="s">
        <v>7</v>
      </c>
      <c r="FE477" s="27" t="s">
        <v>8</v>
      </c>
      <c r="FF477" s="27" t="s">
        <v>7</v>
      </c>
      <c r="FG477" s="27" t="s">
        <v>8</v>
      </c>
      <c r="FH477" s="27" t="s">
        <v>7</v>
      </c>
    </row>
    <row r="478" spans="1:164" x14ac:dyDescent="0.25">
      <c r="A478" s="7">
        <v>8.6580227382218542</v>
      </c>
      <c r="B478"/>
      <c r="C478"/>
      <c r="D478"/>
      <c r="E478" t="s">
        <v>8</v>
      </c>
      <c r="F478" s="27" t="s">
        <v>7</v>
      </c>
      <c r="M478" s="27" t="s">
        <v>8</v>
      </c>
      <c r="N478" s="27" t="s">
        <v>7</v>
      </c>
      <c r="O478" s="27" t="s">
        <v>8</v>
      </c>
      <c r="P478" s="27" t="s">
        <v>7</v>
      </c>
      <c r="Q478" s="27" t="s">
        <v>8</v>
      </c>
      <c r="R478" s="27" t="s">
        <v>7</v>
      </c>
      <c r="U478" s="27" t="s">
        <v>8</v>
      </c>
      <c r="W478" s="27" t="s">
        <v>8</v>
      </c>
      <c r="AG478" s="27" t="s">
        <v>8</v>
      </c>
      <c r="AH478" s="27" t="s">
        <v>7</v>
      </c>
      <c r="AI478" s="27" t="s">
        <v>8</v>
      </c>
      <c r="AJ478" s="27" t="s">
        <v>7</v>
      </c>
      <c r="AO478" s="27" t="s">
        <v>8</v>
      </c>
      <c r="AP478" s="27" t="s">
        <v>7</v>
      </c>
      <c r="AQ478" s="27" t="s">
        <v>8</v>
      </c>
      <c r="AR478" s="27" t="s">
        <v>7</v>
      </c>
      <c r="AS478" s="27" t="s">
        <v>8</v>
      </c>
      <c r="AT478" s="27" t="s">
        <v>7</v>
      </c>
      <c r="AU478" s="27" t="s">
        <v>8</v>
      </c>
      <c r="AV478" s="27" t="s">
        <v>7</v>
      </c>
      <c r="AW478" s="27" t="s">
        <v>8</v>
      </c>
      <c r="AZ478" s="27" t="s">
        <v>7</v>
      </c>
      <c r="BA478" s="27" t="s">
        <v>8</v>
      </c>
      <c r="BB478" s="27" t="s">
        <v>7</v>
      </c>
      <c r="BC478" s="27" t="s">
        <v>8</v>
      </c>
      <c r="BD478" s="27" t="s">
        <v>7</v>
      </c>
      <c r="BG478" s="27" t="s">
        <v>8</v>
      </c>
      <c r="BH478" s="27" t="s">
        <v>7</v>
      </c>
      <c r="BI478" s="27" t="s">
        <v>8</v>
      </c>
      <c r="BJ478" s="27" t="s">
        <v>7</v>
      </c>
      <c r="BL478" s="27" t="s">
        <v>7</v>
      </c>
      <c r="BM478" s="27" t="s">
        <v>8</v>
      </c>
      <c r="BN478" s="27" t="s">
        <v>7</v>
      </c>
      <c r="BU478" s="27" t="s">
        <v>8</v>
      </c>
      <c r="BV478" s="27" t="s">
        <v>7</v>
      </c>
      <c r="ET478" s="27" t="s">
        <v>7</v>
      </c>
      <c r="EU478" s="27" t="s">
        <v>8</v>
      </c>
      <c r="EV478" s="27" t="s">
        <v>7</v>
      </c>
      <c r="EW478" s="27" t="s">
        <v>8</v>
      </c>
      <c r="EZ478" s="27" t="s">
        <v>7</v>
      </c>
      <c r="FB478" s="27" t="s">
        <v>7</v>
      </c>
      <c r="FD478" s="27" t="s">
        <v>7</v>
      </c>
      <c r="FE478" s="27" t="s">
        <v>8</v>
      </c>
      <c r="FF478" s="27" t="s">
        <v>7</v>
      </c>
      <c r="FG478" s="27" t="s">
        <v>8</v>
      </c>
      <c r="FH478" s="27" t="s">
        <v>7</v>
      </c>
    </row>
    <row r="479" spans="1:164" x14ac:dyDescent="0.25">
      <c r="A479" s="7">
        <v>8.4882575864920131</v>
      </c>
      <c r="B479"/>
      <c r="C479"/>
      <c r="D479"/>
      <c r="E479" t="s">
        <v>8</v>
      </c>
      <c r="F479" s="27" t="s">
        <v>7</v>
      </c>
      <c r="G479" s="27" t="s">
        <v>8</v>
      </c>
      <c r="M479" s="27" t="s">
        <v>8</v>
      </c>
      <c r="N479" s="27" t="s">
        <v>7</v>
      </c>
      <c r="O479" s="27" t="s">
        <v>8</v>
      </c>
      <c r="P479" s="27" t="s">
        <v>7</v>
      </c>
      <c r="Q479" s="27" t="s">
        <v>8</v>
      </c>
      <c r="R479" s="27" t="s">
        <v>7</v>
      </c>
      <c r="U479" s="27" t="s">
        <v>8</v>
      </c>
      <c r="V479" s="27" t="s">
        <v>7</v>
      </c>
      <c r="W479" s="27" t="s">
        <v>8</v>
      </c>
      <c r="X479" s="27" t="s">
        <v>7</v>
      </c>
      <c r="AG479" s="27" t="s">
        <v>8</v>
      </c>
      <c r="AH479" s="27" t="s">
        <v>7</v>
      </c>
      <c r="AI479" s="27" t="s">
        <v>8</v>
      </c>
      <c r="AJ479" s="27" t="s">
        <v>7</v>
      </c>
      <c r="AK479" s="27" t="s">
        <v>8</v>
      </c>
      <c r="AO479" s="27" t="s">
        <v>8</v>
      </c>
      <c r="AP479" s="27" t="s">
        <v>7</v>
      </c>
      <c r="AQ479" s="27" t="s">
        <v>8</v>
      </c>
      <c r="AR479" s="27" t="s">
        <v>7</v>
      </c>
      <c r="AS479" s="27" t="s">
        <v>8</v>
      </c>
      <c r="AT479" s="27" t="s">
        <v>7</v>
      </c>
      <c r="AU479" s="27" t="s">
        <v>8</v>
      </c>
      <c r="AV479" s="27" t="s">
        <v>7</v>
      </c>
      <c r="AW479" s="27" t="s">
        <v>8</v>
      </c>
      <c r="AZ479" s="27" t="s">
        <v>7</v>
      </c>
      <c r="BA479" s="27" t="s">
        <v>8</v>
      </c>
      <c r="BB479" s="27" t="s">
        <v>7</v>
      </c>
      <c r="BC479" s="27" t="s">
        <v>8</v>
      </c>
      <c r="BD479" s="27" t="s">
        <v>7</v>
      </c>
      <c r="BG479" s="27" t="s">
        <v>8</v>
      </c>
      <c r="BH479" s="27" t="s">
        <v>7</v>
      </c>
      <c r="BI479" s="27" t="s">
        <v>8</v>
      </c>
      <c r="BL479" s="27" t="s">
        <v>7</v>
      </c>
      <c r="BM479" s="27" t="s">
        <v>8</v>
      </c>
      <c r="BN479" s="27" t="s">
        <v>7</v>
      </c>
      <c r="BO479" s="27" t="s">
        <v>8</v>
      </c>
      <c r="BQ479" s="27" t="s">
        <v>8</v>
      </c>
      <c r="BU479" s="27" t="s">
        <v>8</v>
      </c>
      <c r="ET479" s="27" t="s">
        <v>7</v>
      </c>
      <c r="EU479" s="27" t="s">
        <v>8</v>
      </c>
      <c r="EV479" s="27" t="s">
        <v>7</v>
      </c>
      <c r="EW479" s="27" t="s">
        <v>8</v>
      </c>
      <c r="FD479" s="27" t="s">
        <v>7</v>
      </c>
      <c r="FE479" s="27" t="s">
        <v>8</v>
      </c>
      <c r="FF479" s="27" t="s">
        <v>7</v>
      </c>
      <c r="FG479" s="27" t="s">
        <v>8</v>
      </c>
      <c r="FH479" s="27" t="s">
        <v>7</v>
      </c>
    </row>
    <row r="480" spans="1:164" x14ac:dyDescent="0.25">
      <c r="A480" s="7">
        <v>8.3218211632274635</v>
      </c>
      <c r="B480"/>
      <c r="C480"/>
      <c r="D480"/>
      <c r="E480" t="s">
        <v>8</v>
      </c>
      <c r="F480" s="27" t="s">
        <v>7</v>
      </c>
      <c r="G480" s="27" t="s">
        <v>8</v>
      </c>
      <c r="H480" s="27" t="s">
        <v>7</v>
      </c>
      <c r="M480" s="27" t="s">
        <v>8</v>
      </c>
      <c r="N480" s="27" t="s">
        <v>7</v>
      </c>
      <c r="O480" s="27" t="s">
        <v>8</v>
      </c>
      <c r="P480" s="27" t="s">
        <v>7</v>
      </c>
      <c r="R480" s="27" t="s">
        <v>7</v>
      </c>
      <c r="U480" s="27" t="s">
        <v>8</v>
      </c>
      <c r="V480" s="27" t="s">
        <v>7</v>
      </c>
      <c r="W480" s="27" t="s">
        <v>8</v>
      </c>
      <c r="X480" s="27" t="s">
        <v>7</v>
      </c>
      <c r="AE480" s="27" t="s">
        <v>8</v>
      </c>
      <c r="AG480" s="27" t="s">
        <v>8</v>
      </c>
      <c r="AH480" s="27" t="s">
        <v>7</v>
      </c>
      <c r="AI480" s="27" t="s">
        <v>8</v>
      </c>
      <c r="AJ480" s="27" t="s">
        <v>7</v>
      </c>
      <c r="AK480" s="27" t="s">
        <v>8</v>
      </c>
      <c r="AL480" s="27" t="s">
        <v>7</v>
      </c>
      <c r="AO480" s="27" t="s">
        <v>8</v>
      </c>
      <c r="AP480" s="27" t="s">
        <v>7</v>
      </c>
      <c r="AR480" s="27" t="s">
        <v>7</v>
      </c>
      <c r="AS480" s="27" t="s">
        <v>8</v>
      </c>
      <c r="AT480" s="27" t="s">
        <v>7</v>
      </c>
      <c r="AU480" s="27" t="s">
        <v>8</v>
      </c>
      <c r="AV480" s="27" t="s">
        <v>7</v>
      </c>
      <c r="AW480" s="27" t="s">
        <v>8</v>
      </c>
      <c r="AZ480" s="27" t="s">
        <v>7</v>
      </c>
      <c r="BA480" s="27" t="s">
        <v>8</v>
      </c>
      <c r="BB480" s="27" t="s">
        <v>7</v>
      </c>
      <c r="BC480" s="27" t="s">
        <v>8</v>
      </c>
      <c r="BD480" s="27" t="s">
        <v>7</v>
      </c>
      <c r="BG480" s="27" t="s">
        <v>8</v>
      </c>
      <c r="BH480" s="27" t="s">
        <v>7</v>
      </c>
      <c r="BI480" s="27" t="s">
        <v>8</v>
      </c>
      <c r="BL480" s="27" t="s">
        <v>7</v>
      </c>
      <c r="BN480" s="27" t="s">
        <v>7</v>
      </c>
      <c r="BO480" s="27" t="s">
        <v>8</v>
      </c>
      <c r="BP480" s="27" t="s">
        <v>7</v>
      </c>
      <c r="BQ480" s="27" t="s">
        <v>8</v>
      </c>
      <c r="BR480" s="27" t="s">
        <v>7</v>
      </c>
      <c r="BU480" s="27" t="s">
        <v>8</v>
      </c>
      <c r="ET480" s="27" t="s">
        <v>7</v>
      </c>
      <c r="EU480" s="27" t="s">
        <v>8</v>
      </c>
      <c r="EV480" s="27" t="s">
        <v>7</v>
      </c>
      <c r="FD480" s="27" t="s">
        <v>7</v>
      </c>
      <c r="FE480" s="27" t="s">
        <v>8</v>
      </c>
      <c r="FF480" s="27" t="s">
        <v>7</v>
      </c>
      <c r="FG480" s="27" t="s">
        <v>8</v>
      </c>
      <c r="FH480" s="27" t="s">
        <v>7</v>
      </c>
    </row>
    <row r="481" spans="1:168" x14ac:dyDescent="0.25">
      <c r="A481" s="7">
        <v>8.1586481992426112</v>
      </c>
      <c r="B481"/>
      <c r="C481"/>
      <c r="D481"/>
      <c r="E481" t="s">
        <v>8</v>
      </c>
      <c r="F481" s="27" t="s">
        <v>7</v>
      </c>
      <c r="G481" s="27" t="s">
        <v>8</v>
      </c>
      <c r="H481" s="27" t="s">
        <v>7</v>
      </c>
      <c r="M481" s="27" t="s">
        <v>8</v>
      </c>
      <c r="N481" s="27" t="s">
        <v>7</v>
      </c>
      <c r="R481" s="27" t="s">
        <v>7</v>
      </c>
      <c r="U481" s="27" t="s">
        <v>8</v>
      </c>
      <c r="V481" s="27" t="s">
        <v>7</v>
      </c>
      <c r="W481" s="27" t="s">
        <v>8</v>
      </c>
      <c r="X481" s="27" t="s">
        <v>7</v>
      </c>
      <c r="AE481" s="27" t="s">
        <v>8</v>
      </c>
      <c r="AF481" s="27" t="s">
        <v>7</v>
      </c>
      <c r="AG481" s="27" t="s">
        <v>8</v>
      </c>
      <c r="AH481" s="27" t="s">
        <v>7</v>
      </c>
      <c r="AJ481" s="27" t="s">
        <v>7</v>
      </c>
      <c r="AK481" s="27" t="s">
        <v>8</v>
      </c>
      <c r="AL481" s="27" t="s">
        <v>7</v>
      </c>
      <c r="AM481" s="27" t="s">
        <v>8</v>
      </c>
      <c r="AO481" s="27" t="s">
        <v>8</v>
      </c>
      <c r="AR481" s="27" t="s">
        <v>7</v>
      </c>
      <c r="AS481" s="27" t="s">
        <v>8</v>
      </c>
      <c r="AT481" s="27" t="s">
        <v>7</v>
      </c>
      <c r="AU481" s="27" t="s">
        <v>8</v>
      </c>
      <c r="AV481" s="27" t="s">
        <v>7</v>
      </c>
      <c r="AW481" s="27" t="s">
        <v>8</v>
      </c>
      <c r="AZ481" s="27" t="s">
        <v>7</v>
      </c>
      <c r="BA481" s="27" t="s">
        <v>8</v>
      </c>
      <c r="BB481" s="27" t="s">
        <v>7</v>
      </c>
      <c r="BC481" s="27" t="s">
        <v>8</v>
      </c>
      <c r="BD481" s="27" t="s">
        <v>7</v>
      </c>
      <c r="BG481" s="27" t="s">
        <v>8</v>
      </c>
      <c r="BH481" s="27" t="s">
        <v>7</v>
      </c>
      <c r="BI481" s="27" t="s">
        <v>8</v>
      </c>
      <c r="BN481" s="27" t="s">
        <v>7</v>
      </c>
      <c r="BO481" s="27" t="s">
        <v>8</v>
      </c>
      <c r="BP481" s="27" t="s">
        <v>7</v>
      </c>
      <c r="BQ481" s="27" t="s">
        <v>8</v>
      </c>
      <c r="BR481" s="27" t="s">
        <v>7</v>
      </c>
      <c r="BU481" s="27" t="s">
        <v>8</v>
      </c>
      <c r="ET481" s="27" t="s">
        <v>7</v>
      </c>
      <c r="FD481" s="27" t="s">
        <v>7</v>
      </c>
      <c r="FE481" s="27" t="s">
        <v>8</v>
      </c>
      <c r="FF481" s="27" t="s">
        <v>7</v>
      </c>
      <c r="FH481" s="27" t="s">
        <v>7</v>
      </c>
    </row>
    <row r="482" spans="1:168" x14ac:dyDescent="0.25">
      <c r="A482" s="7">
        <v>7.9986747051398144</v>
      </c>
      <c r="B482"/>
      <c r="C482"/>
      <c r="D482"/>
      <c r="E482" t="s">
        <v>8</v>
      </c>
      <c r="F482" s="27" t="s">
        <v>7</v>
      </c>
      <c r="G482" s="27" t="s">
        <v>8</v>
      </c>
      <c r="H482" s="27" t="s">
        <v>7</v>
      </c>
      <c r="M482" s="27" t="s">
        <v>8</v>
      </c>
      <c r="R482" s="27" t="s">
        <v>7</v>
      </c>
      <c r="S482" s="27" t="s">
        <v>8</v>
      </c>
      <c r="U482" s="27" t="s">
        <v>8</v>
      </c>
      <c r="V482" s="27" t="s">
        <v>7</v>
      </c>
      <c r="W482" s="27" t="s">
        <v>8</v>
      </c>
      <c r="X482" s="27" t="s">
        <v>7</v>
      </c>
      <c r="AE482" s="27" t="s">
        <v>8</v>
      </c>
      <c r="AF482" s="27" t="s">
        <v>7</v>
      </c>
      <c r="AG482" s="27" t="s">
        <v>8</v>
      </c>
      <c r="AJ482" s="27" t="s">
        <v>7</v>
      </c>
      <c r="AK482" s="27" t="s">
        <v>8</v>
      </c>
      <c r="AL482" s="27" t="s">
        <v>7</v>
      </c>
      <c r="AM482" s="27" t="s">
        <v>8</v>
      </c>
      <c r="AN482" s="27" t="s">
        <v>7</v>
      </c>
      <c r="AO482" s="27" t="s">
        <v>8</v>
      </c>
      <c r="AR482" s="27" t="s">
        <v>7</v>
      </c>
      <c r="AS482" s="27" t="s">
        <v>8</v>
      </c>
      <c r="AT482" s="27" t="s">
        <v>7</v>
      </c>
      <c r="AU482" s="27" t="s">
        <v>8</v>
      </c>
      <c r="AV482" s="27" t="s">
        <v>7</v>
      </c>
      <c r="AW482" s="27" t="s">
        <v>8</v>
      </c>
      <c r="AZ482" s="27" t="s">
        <v>7</v>
      </c>
      <c r="BA482" s="27" t="s">
        <v>8</v>
      </c>
      <c r="BB482" s="27" t="s">
        <v>7</v>
      </c>
      <c r="BC482" s="27" t="s">
        <v>8</v>
      </c>
      <c r="BD482" s="27" t="s">
        <v>7</v>
      </c>
      <c r="BG482" s="27" t="s">
        <v>8</v>
      </c>
      <c r="BH482" s="27" t="s">
        <v>7</v>
      </c>
      <c r="BI482" s="27" t="s">
        <v>8</v>
      </c>
      <c r="BN482" s="27" t="s">
        <v>7</v>
      </c>
      <c r="BO482" s="27" t="s">
        <v>8</v>
      </c>
      <c r="BP482" s="27" t="s">
        <v>7</v>
      </c>
      <c r="BQ482" s="27" t="s">
        <v>8</v>
      </c>
      <c r="BR482" s="27" t="s">
        <v>7</v>
      </c>
      <c r="BS482" s="27" t="s">
        <v>8</v>
      </c>
      <c r="BU482" s="27" t="s">
        <v>8</v>
      </c>
      <c r="FD482" s="27" t="s">
        <v>7</v>
      </c>
      <c r="FH482" s="27" t="s">
        <v>7</v>
      </c>
      <c r="FI482" s="27" t="s">
        <v>8</v>
      </c>
    </row>
    <row r="483" spans="1:168" x14ac:dyDescent="0.25">
      <c r="A483" s="7">
        <v>7.8418379462155041</v>
      </c>
      <c r="B483"/>
      <c r="C483"/>
      <c r="D483"/>
      <c r="E483" t="s">
        <v>8</v>
      </c>
      <c r="F483" s="27" t="s">
        <v>7</v>
      </c>
      <c r="G483" s="27" t="s">
        <v>8</v>
      </c>
      <c r="H483" s="27" t="s">
        <v>7</v>
      </c>
      <c r="K483" s="27" t="s">
        <v>8</v>
      </c>
      <c r="M483" s="27" t="s">
        <v>8</v>
      </c>
      <c r="R483" s="27" t="s">
        <v>7</v>
      </c>
      <c r="S483" s="27" t="s">
        <v>8</v>
      </c>
      <c r="T483" s="27" t="s">
        <v>7</v>
      </c>
      <c r="U483" s="27" t="s">
        <v>8</v>
      </c>
      <c r="V483" s="27" t="s">
        <v>7</v>
      </c>
      <c r="X483" s="27" t="s">
        <v>7</v>
      </c>
      <c r="AE483" s="27" t="s">
        <v>8</v>
      </c>
      <c r="AF483" s="27" t="s">
        <v>7</v>
      </c>
      <c r="AG483" s="27" t="s">
        <v>8</v>
      </c>
      <c r="AJ483" s="27" t="s">
        <v>7</v>
      </c>
      <c r="AL483" s="27" t="s">
        <v>7</v>
      </c>
      <c r="AM483" s="27" t="s">
        <v>8</v>
      </c>
      <c r="AN483" s="27" t="s">
        <v>7</v>
      </c>
      <c r="AO483" s="27" t="s">
        <v>8</v>
      </c>
      <c r="AR483" s="27" t="s">
        <v>7</v>
      </c>
      <c r="AS483" s="27" t="s">
        <v>8</v>
      </c>
      <c r="AT483" s="27" t="s">
        <v>7</v>
      </c>
      <c r="AU483" s="27" t="s">
        <v>8</v>
      </c>
      <c r="AV483" s="27" t="s">
        <v>7</v>
      </c>
      <c r="AW483" s="27" t="s">
        <v>8</v>
      </c>
      <c r="AZ483" s="27" t="s">
        <v>7</v>
      </c>
      <c r="BB483" s="27" t="s">
        <v>7</v>
      </c>
      <c r="BC483" s="27" t="s">
        <v>8</v>
      </c>
      <c r="BD483" s="27" t="s">
        <v>7</v>
      </c>
      <c r="BG483" s="27" t="s">
        <v>8</v>
      </c>
      <c r="BH483" s="27" t="s">
        <v>7</v>
      </c>
      <c r="BI483" s="27" t="s">
        <v>8</v>
      </c>
      <c r="BN483" s="27" t="s">
        <v>7</v>
      </c>
      <c r="BO483" s="27" t="s">
        <v>8</v>
      </c>
      <c r="BP483" s="27" t="s">
        <v>7</v>
      </c>
      <c r="BQ483" s="27" t="s">
        <v>8</v>
      </c>
      <c r="BR483" s="27" t="s">
        <v>7</v>
      </c>
      <c r="BS483" s="27" t="s">
        <v>8</v>
      </c>
      <c r="BT483" s="27" t="s">
        <v>7</v>
      </c>
      <c r="BU483" s="27" t="s">
        <v>8</v>
      </c>
      <c r="FH483" s="27" t="s">
        <v>7</v>
      </c>
      <c r="FI483" s="27" t="s">
        <v>8</v>
      </c>
      <c r="FJ483" s="27" t="s">
        <v>7</v>
      </c>
    </row>
    <row r="484" spans="1:168" x14ac:dyDescent="0.25">
      <c r="A484" s="7">
        <v>7.688076417858337</v>
      </c>
      <c r="B484"/>
      <c r="C484"/>
      <c r="D484"/>
      <c r="E484" t="s">
        <v>8</v>
      </c>
      <c r="F484" s="27" t="s">
        <v>7</v>
      </c>
      <c r="H484" s="27" t="s">
        <v>7</v>
      </c>
      <c r="K484" s="27" t="s">
        <v>8</v>
      </c>
      <c r="L484" s="27" t="s">
        <v>7</v>
      </c>
      <c r="M484" s="27" t="s">
        <v>8</v>
      </c>
      <c r="R484" s="27" t="s">
        <v>7</v>
      </c>
      <c r="S484" s="27" t="s">
        <v>8</v>
      </c>
      <c r="T484" s="27" t="s">
        <v>7</v>
      </c>
      <c r="U484" s="27" t="s">
        <v>8</v>
      </c>
      <c r="X484" s="27" t="s">
        <v>7</v>
      </c>
      <c r="AE484" s="27" t="s">
        <v>8</v>
      </c>
      <c r="AF484" s="27" t="s">
        <v>7</v>
      </c>
      <c r="AL484" s="27" t="s">
        <v>7</v>
      </c>
      <c r="AM484" s="27" t="s">
        <v>8</v>
      </c>
      <c r="AN484" s="27" t="s">
        <v>7</v>
      </c>
      <c r="AO484" s="27" t="s">
        <v>8</v>
      </c>
      <c r="AR484" s="27" t="s">
        <v>7</v>
      </c>
      <c r="AS484" s="27" t="s">
        <v>8</v>
      </c>
      <c r="AT484" s="27" t="s">
        <v>7</v>
      </c>
      <c r="AU484" s="27" t="s">
        <v>8</v>
      </c>
      <c r="AV484" s="27" t="s">
        <v>7</v>
      </c>
      <c r="AW484" s="27" t="s">
        <v>8</v>
      </c>
      <c r="BB484" s="27" t="s">
        <v>7</v>
      </c>
      <c r="BC484" s="27" t="s">
        <v>8</v>
      </c>
      <c r="BD484" s="27" t="s">
        <v>7</v>
      </c>
      <c r="BG484" s="27" t="s">
        <v>8</v>
      </c>
      <c r="BH484" s="27" t="s">
        <v>7</v>
      </c>
      <c r="BI484" s="27" t="s">
        <v>8</v>
      </c>
      <c r="BN484" s="27" t="s">
        <v>7</v>
      </c>
      <c r="BO484" s="27" t="s">
        <v>8</v>
      </c>
      <c r="BP484" s="27" t="s">
        <v>7</v>
      </c>
      <c r="BQ484" s="27" t="s">
        <v>8</v>
      </c>
      <c r="BR484" s="27" t="s">
        <v>7</v>
      </c>
      <c r="BS484" s="27" t="s">
        <v>8</v>
      </c>
      <c r="BT484" s="27" t="s">
        <v>7</v>
      </c>
      <c r="BU484" s="27" t="s">
        <v>8</v>
      </c>
      <c r="FH484" s="27" t="s">
        <v>7</v>
      </c>
      <c r="FI484" s="27" t="s">
        <v>8</v>
      </c>
      <c r="FJ484" s="27" t="s">
        <v>7</v>
      </c>
    </row>
    <row r="485" spans="1:168" x14ac:dyDescent="0.25">
      <c r="A485" s="7">
        <v>7.5373298214297417</v>
      </c>
      <c r="B485"/>
      <c r="C485"/>
      <c r="D485"/>
      <c r="E485" t="s">
        <v>8</v>
      </c>
      <c r="H485" s="27" t="s">
        <v>7</v>
      </c>
      <c r="K485" s="27" t="s">
        <v>8</v>
      </c>
      <c r="L485" s="27" t="s">
        <v>7</v>
      </c>
      <c r="M485" s="27" t="s">
        <v>8</v>
      </c>
      <c r="R485" s="27" t="s">
        <v>7</v>
      </c>
      <c r="S485" s="27" t="s">
        <v>8</v>
      </c>
      <c r="T485" s="27" t="s">
        <v>7</v>
      </c>
      <c r="U485" s="27" t="s">
        <v>8</v>
      </c>
      <c r="X485" s="27" t="s">
        <v>7</v>
      </c>
      <c r="AC485" s="27" t="s">
        <v>8</v>
      </c>
      <c r="AE485" s="27" t="s">
        <v>8</v>
      </c>
      <c r="AL485" s="27" t="s">
        <v>7</v>
      </c>
      <c r="AM485" s="27" t="s">
        <v>8</v>
      </c>
      <c r="AN485" s="27" t="s">
        <v>7</v>
      </c>
      <c r="AO485" s="27" t="s">
        <v>8</v>
      </c>
      <c r="AR485" s="27" t="s">
        <v>7</v>
      </c>
      <c r="AT485" s="27" t="s">
        <v>7</v>
      </c>
      <c r="AU485" s="27" t="s">
        <v>8</v>
      </c>
      <c r="AV485" s="27" t="s">
        <v>7</v>
      </c>
      <c r="AW485" s="27" t="s">
        <v>8</v>
      </c>
      <c r="BB485" s="27" t="s">
        <v>7</v>
      </c>
      <c r="BC485" s="27" t="s">
        <v>8</v>
      </c>
      <c r="BD485" s="27" t="s">
        <v>7</v>
      </c>
      <c r="BG485" s="27" t="s">
        <v>8</v>
      </c>
      <c r="BH485" s="27" t="s">
        <v>7</v>
      </c>
      <c r="BI485" s="27" t="s">
        <v>8</v>
      </c>
      <c r="BN485" s="27" t="s">
        <v>7</v>
      </c>
      <c r="BO485" s="27" t="s">
        <v>8</v>
      </c>
      <c r="BP485" s="27" t="s">
        <v>7</v>
      </c>
      <c r="BQ485" s="27" t="s">
        <v>8</v>
      </c>
      <c r="BR485" s="27" t="s">
        <v>7</v>
      </c>
      <c r="BS485" s="27" t="s">
        <v>8</v>
      </c>
      <c r="BT485" s="27" t="s">
        <v>7</v>
      </c>
      <c r="BU485" s="27" t="s">
        <v>8</v>
      </c>
      <c r="FH485" s="27" t="s">
        <v>7</v>
      </c>
      <c r="FI485" s="27" t="s">
        <v>8</v>
      </c>
      <c r="FJ485" s="27" t="s">
        <v>7</v>
      </c>
    </row>
    <row r="486" spans="1:168" x14ac:dyDescent="0.25">
      <c r="A486" s="7">
        <v>7.389539040617394</v>
      </c>
      <c r="B486"/>
      <c r="C486"/>
      <c r="D486"/>
      <c r="E486" t="s">
        <v>8</v>
      </c>
      <c r="H486" s="27" t="s">
        <v>7</v>
      </c>
      <c r="K486" s="27" t="s">
        <v>8</v>
      </c>
      <c r="L486" s="27" t="s">
        <v>7</v>
      </c>
      <c r="M486" s="27" t="s">
        <v>8</v>
      </c>
      <c r="R486" s="27" t="s">
        <v>7</v>
      </c>
      <c r="S486" s="27" t="s">
        <v>8</v>
      </c>
      <c r="T486" s="27" t="s">
        <v>7</v>
      </c>
      <c r="X486" s="27" t="s">
        <v>7</v>
      </c>
      <c r="AC486" s="27" t="s">
        <v>8</v>
      </c>
      <c r="AD486" s="27" t="s">
        <v>7</v>
      </c>
      <c r="AE486" s="27" t="s">
        <v>8</v>
      </c>
      <c r="AL486" s="27" t="s">
        <v>7</v>
      </c>
      <c r="AN486" s="27" t="s">
        <v>7</v>
      </c>
      <c r="AO486" s="27" t="s">
        <v>8</v>
      </c>
      <c r="AT486" s="27" t="s">
        <v>7</v>
      </c>
      <c r="AU486" s="27" t="s">
        <v>8</v>
      </c>
      <c r="AV486" s="27" t="s">
        <v>7</v>
      </c>
      <c r="AW486" s="27" t="s">
        <v>8</v>
      </c>
      <c r="BB486" s="27" t="s">
        <v>7</v>
      </c>
      <c r="BC486" s="27" t="s">
        <v>8</v>
      </c>
      <c r="BD486" s="27" t="s">
        <v>7</v>
      </c>
      <c r="BG486" s="27" t="s">
        <v>8</v>
      </c>
      <c r="BH486" s="27" t="s">
        <v>7</v>
      </c>
      <c r="BI486" s="27" t="s">
        <v>8</v>
      </c>
      <c r="BN486" s="27" t="s">
        <v>7</v>
      </c>
      <c r="BO486" s="27" t="s">
        <v>8</v>
      </c>
      <c r="BP486" s="27" t="s">
        <v>7</v>
      </c>
      <c r="BQ486" s="27" t="s">
        <v>8</v>
      </c>
      <c r="BR486" s="27" t="s">
        <v>7</v>
      </c>
      <c r="BS486" s="27" t="s">
        <v>8</v>
      </c>
      <c r="BT486" s="27" t="s">
        <v>7</v>
      </c>
      <c r="FH486" s="27" t="s">
        <v>7</v>
      </c>
      <c r="FJ486" s="27" t="s">
        <v>7</v>
      </c>
    </row>
    <row r="487" spans="1:168" x14ac:dyDescent="0.25">
      <c r="A487" s="7">
        <v>7.2446461182523469</v>
      </c>
      <c r="B487"/>
      <c r="C487"/>
      <c r="D487"/>
      <c r="E487" t="s">
        <v>8</v>
      </c>
      <c r="H487" s="27" t="s">
        <v>7</v>
      </c>
      <c r="K487" s="27" t="s">
        <v>8</v>
      </c>
      <c r="L487" s="27" t="s">
        <v>7</v>
      </c>
      <c r="R487" s="27" t="s">
        <v>7</v>
      </c>
      <c r="X487" s="27" t="s">
        <v>7</v>
      </c>
      <c r="AC487" s="27" t="s">
        <v>8</v>
      </c>
      <c r="AD487" s="27" t="s">
        <v>7</v>
      </c>
      <c r="AE487" s="27" t="s">
        <v>8</v>
      </c>
      <c r="AN487" s="27" t="s">
        <v>7</v>
      </c>
      <c r="AT487" s="27" t="s">
        <v>7</v>
      </c>
      <c r="AU487" s="27" t="s">
        <v>8</v>
      </c>
      <c r="AV487" s="27" t="s">
        <v>7</v>
      </c>
      <c r="AW487" s="27" t="s">
        <v>8</v>
      </c>
      <c r="BB487" s="27" t="s">
        <v>7</v>
      </c>
      <c r="BD487" s="27" t="s">
        <v>7</v>
      </c>
      <c r="BG487" s="27" t="s">
        <v>8</v>
      </c>
      <c r="BH487" s="27" t="s">
        <v>7</v>
      </c>
      <c r="BN487" s="27" t="s">
        <v>7</v>
      </c>
      <c r="BP487" s="27" t="s">
        <v>7</v>
      </c>
      <c r="BR487" s="27" t="s">
        <v>7</v>
      </c>
      <c r="BS487" s="27" t="s">
        <v>8</v>
      </c>
      <c r="FJ487" s="27" t="s">
        <v>7</v>
      </c>
    </row>
    <row r="488" spans="1:168" x14ac:dyDescent="0.25">
      <c r="A488" s="7">
        <v>7.1025942335807324</v>
      </c>
      <c r="B488"/>
      <c r="C488"/>
      <c r="D488"/>
      <c r="E488" t="s">
        <v>8</v>
      </c>
      <c r="H488" s="27" t="s">
        <v>7</v>
      </c>
      <c r="K488" s="27" t="s">
        <v>8</v>
      </c>
      <c r="X488" s="27" t="s">
        <v>7</v>
      </c>
      <c r="AC488" s="27" t="s">
        <v>8</v>
      </c>
      <c r="AD488" s="27" t="s">
        <v>7</v>
      </c>
      <c r="AT488" s="27" t="s">
        <v>7</v>
      </c>
      <c r="AU488" s="27" t="s">
        <v>8</v>
      </c>
      <c r="AV488" s="27" t="s">
        <v>7</v>
      </c>
      <c r="AW488" s="27" t="s">
        <v>8</v>
      </c>
      <c r="BD488" s="27" t="s">
        <v>7</v>
      </c>
      <c r="BG488" s="27" t="s">
        <v>8</v>
      </c>
      <c r="BR488" s="27" t="s">
        <v>7</v>
      </c>
      <c r="BS488" s="27" t="s">
        <v>8</v>
      </c>
      <c r="FJ488" s="27" t="s">
        <v>7</v>
      </c>
    </row>
    <row r="489" spans="1:168" x14ac:dyDescent="0.25">
      <c r="A489" s="7">
        <v>6.9633276799811101</v>
      </c>
      <c r="B489"/>
      <c r="C489"/>
      <c r="D489"/>
      <c r="E489" t="s">
        <v>8</v>
      </c>
      <c r="H489" s="27" t="s">
        <v>7</v>
      </c>
      <c r="I489" s="27" t="s">
        <v>8</v>
      </c>
      <c r="K489" s="27" t="s">
        <v>8</v>
      </c>
      <c r="X489" s="27" t="s">
        <v>7</v>
      </c>
      <c r="AC489" s="27" t="s">
        <v>8</v>
      </c>
      <c r="AT489" s="27" t="s">
        <v>7</v>
      </c>
      <c r="AU489" s="27" t="s">
        <v>8</v>
      </c>
      <c r="AV489" s="27" t="s">
        <v>7</v>
      </c>
      <c r="BD489" s="27" t="s">
        <v>7</v>
      </c>
      <c r="BG489" s="27" t="s">
        <v>8</v>
      </c>
      <c r="BR489" s="27" t="s">
        <v>7</v>
      </c>
      <c r="BS489" s="27" t="s">
        <v>8</v>
      </c>
      <c r="FJ489" s="27" t="s">
        <v>7</v>
      </c>
    </row>
    <row r="490" spans="1:168" x14ac:dyDescent="0.25">
      <c r="A490" s="7">
        <v>6.8267918431187349</v>
      </c>
      <c r="B490"/>
      <c r="C490"/>
      <c r="D490"/>
      <c r="E490" t="s">
        <v>8</v>
      </c>
      <c r="H490" s="27" t="s">
        <v>7</v>
      </c>
      <c r="I490" s="27" t="s">
        <v>8</v>
      </c>
      <c r="J490" s="27" t="s">
        <v>7</v>
      </c>
      <c r="K490" s="27" t="s">
        <v>8</v>
      </c>
      <c r="X490" s="27" t="s">
        <v>7</v>
      </c>
      <c r="Y490" s="27" t="s">
        <v>8</v>
      </c>
      <c r="AC490" s="27" t="s">
        <v>8</v>
      </c>
      <c r="AT490" s="27" t="s">
        <v>7</v>
      </c>
      <c r="BD490" s="27" t="s">
        <v>7</v>
      </c>
      <c r="BG490" s="27" t="s">
        <v>8</v>
      </c>
      <c r="BR490" s="27" t="s">
        <v>7</v>
      </c>
      <c r="BS490" s="27" t="s">
        <v>8</v>
      </c>
      <c r="FJ490" s="27" t="s">
        <v>7</v>
      </c>
    </row>
    <row r="491" spans="1:168" x14ac:dyDescent="0.25">
      <c r="A491" s="7">
        <v>6.692933179528171</v>
      </c>
      <c r="B491"/>
      <c r="C491"/>
      <c r="D491"/>
      <c r="E491" t="s">
        <v>8</v>
      </c>
      <c r="H491" s="27" t="s">
        <v>7</v>
      </c>
      <c r="I491" s="27" t="s">
        <v>8</v>
      </c>
      <c r="J491" s="27" t="s">
        <v>7</v>
      </c>
      <c r="K491" s="27" t="s">
        <v>8</v>
      </c>
      <c r="X491" s="27" t="s">
        <v>7</v>
      </c>
      <c r="Y491" s="27" t="s">
        <v>8</v>
      </c>
      <c r="Z491" s="27" t="s">
        <v>7</v>
      </c>
      <c r="AA491" s="27" t="s">
        <v>8</v>
      </c>
      <c r="AC491" s="27" t="s">
        <v>8</v>
      </c>
      <c r="BD491" s="27" t="s">
        <v>7</v>
      </c>
      <c r="BG491" s="27" t="s">
        <v>8</v>
      </c>
      <c r="BR491" s="27" t="s">
        <v>7</v>
      </c>
      <c r="BS491" s="27" t="s">
        <v>8</v>
      </c>
      <c r="FJ491" s="27" t="s">
        <v>7</v>
      </c>
    </row>
    <row r="492" spans="1:168" x14ac:dyDescent="0.25">
      <c r="A492" s="7">
        <v>6.5616991956158541</v>
      </c>
      <c r="B492"/>
      <c r="C492"/>
      <c r="D492"/>
      <c r="E492" t="s">
        <v>8</v>
      </c>
      <c r="H492" s="27" t="s">
        <v>7</v>
      </c>
      <c r="I492" s="27" t="s">
        <v>8</v>
      </c>
      <c r="J492" s="27" t="s">
        <v>7</v>
      </c>
      <c r="K492" s="27" t="s">
        <v>8</v>
      </c>
      <c r="X492" s="27" t="s">
        <v>7</v>
      </c>
      <c r="Y492" s="27" t="s">
        <v>8</v>
      </c>
      <c r="Z492" s="27" t="s">
        <v>7</v>
      </c>
      <c r="AA492" s="27" t="s">
        <v>8</v>
      </c>
      <c r="AB492" s="27" t="s">
        <v>7</v>
      </c>
      <c r="AC492" s="27" t="s">
        <v>8</v>
      </c>
      <c r="BD492" s="27" t="s">
        <v>7</v>
      </c>
      <c r="BG492" s="27" t="s">
        <v>8</v>
      </c>
      <c r="BR492" s="18" t="s">
        <v>7</v>
      </c>
      <c r="BS492" s="27" t="s">
        <v>8</v>
      </c>
      <c r="FJ492" s="27" t="s">
        <v>7</v>
      </c>
    </row>
    <row r="493" spans="1:168" x14ac:dyDescent="0.25">
      <c r="A493" s="7">
        <v>6.4330384270743668</v>
      </c>
      <c r="B493"/>
      <c r="C493"/>
      <c r="D493"/>
      <c r="E493" t="s">
        <v>8</v>
      </c>
      <c r="H493" s="27" t="s">
        <v>7</v>
      </c>
      <c r="I493" s="27" t="s">
        <v>8</v>
      </c>
      <c r="J493" s="27" t="s">
        <v>7</v>
      </c>
      <c r="X493" s="27" t="s">
        <v>7</v>
      </c>
      <c r="Y493" s="27" t="s">
        <v>8</v>
      </c>
      <c r="Z493" s="27" t="s">
        <v>7</v>
      </c>
      <c r="AA493" s="27" t="s">
        <v>8</v>
      </c>
      <c r="AB493" s="27" t="s">
        <v>7</v>
      </c>
      <c r="AC493" s="27" t="s">
        <v>8</v>
      </c>
      <c r="BD493" s="27" t="s">
        <v>7</v>
      </c>
      <c r="BG493" s="27" t="s">
        <v>8</v>
      </c>
      <c r="BR493" s="27" t="s">
        <v>7</v>
      </c>
      <c r="BS493" s="27" t="s">
        <v>8</v>
      </c>
      <c r="FJ493" s="27" t="s">
        <v>7</v>
      </c>
    </row>
    <row r="494" spans="1:168" x14ac:dyDescent="0.25">
      <c r="A494" s="7">
        <v>6.3069004187003594</v>
      </c>
      <c r="B494"/>
      <c r="C494"/>
      <c r="D494"/>
      <c r="E494" t="s">
        <v>8</v>
      </c>
      <c r="H494" s="27" t="s">
        <v>7</v>
      </c>
      <c r="I494" s="27" t="s">
        <v>8</v>
      </c>
      <c r="X494" s="27" t="s">
        <v>7</v>
      </c>
      <c r="Y494" s="27" t="s">
        <v>8</v>
      </c>
      <c r="Z494" s="27" t="s">
        <v>7</v>
      </c>
      <c r="AA494" s="27" t="s">
        <v>8</v>
      </c>
      <c r="AB494" s="27" t="s">
        <v>7</v>
      </c>
      <c r="AC494" s="27" t="s">
        <v>8</v>
      </c>
      <c r="BD494" s="27" t="s">
        <v>7</v>
      </c>
      <c r="BG494" s="27" t="s">
        <v>8</v>
      </c>
      <c r="BR494" s="27" t="s">
        <v>7</v>
      </c>
      <c r="BS494" s="27" t="s">
        <v>8</v>
      </c>
      <c r="FJ494" s="27" t="s">
        <v>7</v>
      </c>
      <c r="FK494" s="27" t="s">
        <v>8</v>
      </c>
    </row>
    <row r="495" spans="1:168" x14ac:dyDescent="0.25">
      <c r="A495" s="7">
        <v>6.1832357046081956</v>
      </c>
      <c r="B495"/>
      <c r="C495"/>
      <c r="D495"/>
      <c r="E495" t="s">
        <v>8</v>
      </c>
      <c r="H495" s="27" t="s">
        <v>7</v>
      </c>
      <c r="I495" s="27" t="s">
        <v>8</v>
      </c>
      <c r="X495" s="27" t="s">
        <v>7</v>
      </c>
      <c r="Y495" s="27" t="s">
        <v>8</v>
      </c>
      <c r="Z495" s="27" t="s">
        <v>7</v>
      </c>
      <c r="AA495" s="27" t="s">
        <v>8</v>
      </c>
      <c r="AB495" s="27" t="s">
        <v>7</v>
      </c>
      <c r="AC495" s="27" t="s">
        <v>8</v>
      </c>
      <c r="BD495" s="27" t="s">
        <v>7</v>
      </c>
      <c r="BG495" s="27" t="s">
        <v>8</v>
      </c>
      <c r="BR495" s="27" t="s">
        <v>7</v>
      </c>
      <c r="FJ495" s="27" t="s">
        <v>7</v>
      </c>
      <c r="FK495" s="27" t="s">
        <v>8</v>
      </c>
      <c r="FL495" s="27" t="s">
        <v>7</v>
      </c>
    </row>
    <row r="496" spans="1:168" x14ac:dyDescent="0.25">
      <c r="A496" s="7">
        <v>6.0619957888315641</v>
      </c>
      <c r="B496"/>
      <c r="C496"/>
      <c r="D496"/>
      <c r="E496" t="s">
        <v>8</v>
      </c>
      <c r="H496" s="27" t="s">
        <v>7</v>
      </c>
      <c r="I496" s="27" t="s">
        <v>8</v>
      </c>
      <c r="X496" s="27" t="s">
        <v>7</v>
      </c>
      <c r="Y496" s="27" t="s">
        <v>8</v>
      </c>
      <c r="Z496" s="27" t="s">
        <v>7</v>
      </c>
      <c r="AA496" s="27" t="s">
        <v>8</v>
      </c>
      <c r="AB496" s="27" t="s">
        <v>7</v>
      </c>
      <c r="BD496" s="27" t="s">
        <v>7</v>
      </c>
      <c r="BG496" s="27" t="s">
        <v>8</v>
      </c>
      <c r="FJ496" s="27" t="s">
        <v>7</v>
      </c>
      <c r="FK496" s="27" t="s">
        <v>8</v>
      </c>
      <c r="FL496" s="27" t="s">
        <v>7</v>
      </c>
    </row>
    <row r="497" spans="1:169" x14ac:dyDescent="0.25">
      <c r="A497" s="7">
        <v>5.9431331263054545</v>
      </c>
      <c r="B497"/>
      <c r="C497"/>
      <c r="D497"/>
      <c r="E497" t="s">
        <v>8</v>
      </c>
      <c r="H497" s="27" t="s">
        <v>7</v>
      </c>
      <c r="I497" s="27" t="s">
        <v>8</v>
      </c>
      <c r="X497" s="27" t="s">
        <v>7</v>
      </c>
      <c r="Y497" s="27" t="s">
        <v>8</v>
      </c>
      <c r="Z497" s="27" t="s">
        <v>7</v>
      </c>
      <c r="AA497" s="27" t="s">
        <v>8</v>
      </c>
      <c r="BD497" s="27" t="s">
        <v>7</v>
      </c>
      <c r="BG497" s="27" t="s">
        <v>8</v>
      </c>
      <c r="FJ497" s="27" t="s">
        <v>7</v>
      </c>
      <c r="FK497" s="27" t="s">
        <v>8</v>
      </c>
      <c r="FL497" s="27" t="s">
        <v>7</v>
      </c>
    </row>
    <row r="498" spans="1:169" x14ac:dyDescent="0.25">
      <c r="A498" s="7">
        <v>5.8266011042210337</v>
      </c>
      <c r="B498"/>
      <c r="C498"/>
      <c r="D498"/>
      <c r="E498" t="s">
        <v>8</v>
      </c>
      <c r="H498" s="27" t="s">
        <v>7</v>
      </c>
      <c r="I498" s="27" t="s">
        <v>8</v>
      </c>
      <c r="X498" s="27" t="s">
        <v>7</v>
      </c>
      <c r="Y498" s="27" t="s">
        <v>8</v>
      </c>
      <c r="Z498" s="27" t="s">
        <v>7</v>
      </c>
      <c r="AA498" s="27" t="s">
        <v>8</v>
      </c>
      <c r="BD498" s="27" t="s">
        <v>7</v>
      </c>
      <c r="BG498" s="27" t="s">
        <v>8</v>
      </c>
      <c r="FJ498" s="27" t="s">
        <v>7</v>
      </c>
      <c r="FK498" s="27" t="s">
        <v>8</v>
      </c>
      <c r="FL498" s="27" t="s">
        <v>7</v>
      </c>
      <c r="FM498" s="27" t="s">
        <v>8</v>
      </c>
    </row>
    <row r="499" spans="1:169" x14ac:dyDescent="0.25">
      <c r="A499" s="7">
        <v>5.7123540237461112</v>
      </c>
      <c r="B499"/>
      <c r="C499"/>
      <c r="D499"/>
      <c r="E499" t="s">
        <v>8</v>
      </c>
      <c r="H499" s="27" t="s">
        <v>7</v>
      </c>
      <c r="X499" s="27" t="s">
        <v>7</v>
      </c>
      <c r="Y499" s="27" t="s">
        <v>8</v>
      </c>
      <c r="Z499" s="27" t="s">
        <v>7</v>
      </c>
      <c r="AA499" s="27" t="s">
        <v>8</v>
      </c>
      <c r="BD499" s="27" t="s">
        <v>7</v>
      </c>
      <c r="BE499" s="27" t="s">
        <v>8</v>
      </c>
      <c r="BG499" s="27" t="s">
        <v>8</v>
      </c>
      <c r="FJ499" s="27" t="s">
        <v>7</v>
      </c>
      <c r="FK499" s="27" t="s">
        <v>8</v>
      </c>
      <c r="FL499" s="27" t="s">
        <v>7</v>
      </c>
      <c r="FM499" s="27" t="s">
        <v>8</v>
      </c>
    </row>
    <row r="500" spans="1:169" x14ac:dyDescent="0.25">
      <c r="A500" s="7">
        <v>5.6003470821040304</v>
      </c>
      <c r="B500"/>
      <c r="C500"/>
      <c r="D500"/>
      <c r="E500" t="s">
        <v>8</v>
      </c>
      <c r="X500" s="27" t="s">
        <v>7</v>
      </c>
      <c r="Z500" s="27" t="s">
        <v>7</v>
      </c>
      <c r="AA500" s="27" t="s">
        <v>8</v>
      </c>
      <c r="BD500" s="27" t="s">
        <v>7</v>
      </c>
      <c r="BE500" s="27" t="s">
        <v>8</v>
      </c>
      <c r="BF500" s="27" t="s">
        <v>7</v>
      </c>
      <c r="BG500" s="27" t="s">
        <v>8</v>
      </c>
      <c r="FJ500" s="27" t="s">
        <v>7</v>
      </c>
      <c r="FL500" s="27" t="s">
        <v>7</v>
      </c>
      <c r="FM500" s="27" t="s">
        <v>8</v>
      </c>
    </row>
    <row r="501" spans="1:169" x14ac:dyDescent="0.25">
      <c r="A501" s="7">
        <v>5.4905363550039512</v>
      </c>
      <c r="B501"/>
      <c r="C501"/>
      <c r="D501"/>
      <c r="E501" t="s">
        <v>8</v>
      </c>
      <c r="Z501" s="27" t="s">
        <v>7</v>
      </c>
      <c r="AA501" s="27" t="s">
        <v>8</v>
      </c>
      <c r="BD501" s="27" t="s">
        <v>7</v>
      </c>
      <c r="BE501" s="27" t="s">
        <v>8</v>
      </c>
      <c r="BF501" s="27" t="s">
        <v>7</v>
      </c>
      <c r="BG501" s="27" t="s">
        <v>8</v>
      </c>
      <c r="FL501" s="27" t="s">
        <v>7</v>
      </c>
    </row>
    <row r="502" spans="1:169" x14ac:dyDescent="0.25">
      <c r="A502" s="7">
        <v>5.3828787794156385</v>
      </c>
      <c r="B502"/>
      <c r="C502"/>
      <c r="D502"/>
      <c r="E502" t="s">
        <v>8</v>
      </c>
      <c r="Z502" s="27" t="s">
        <v>7</v>
      </c>
      <c r="AA502" s="27" t="s">
        <v>8</v>
      </c>
      <c r="BD502" s="27" t="s">
        <v>7</v>
      </c>
      <c r="BE502" s="27" t="s">
        <v>8</v>
      </c>
      <c r="BF502" s="27" t="s">
        <v>7</v>
      </c>
      <c r="BG502" s="27" t="s">
        <v>8</v>
      </c>
    </row>
    <row r="503" spans="1:169" x14ac:dyDescent="0.25">
      <c r="A503" s="7">
        <v>5.2773321366819985</v>
      </c>
      <c r="B503"/>
      <c r="C503"/>
      <c r="D503"/>
      <c r="E503" t="s">
        <v>8</v>
      </c>
      <c r="Z503" s="27" t="s">
        <v>7</v>
      </c>
      <c r="BD503" s="27" t="s">
        <v>7</v>
      </c>
      <c r="BE503" s="27" t="s">
        <v>8</v>
      </c>
      <c r="BF503" s="27" t="s">
        <v>7</v>
      </c>
      <c r="BG503" s="27" t="s">
        <v>8</v>
      </c>
    </row>
    <row r="504" spans="1:169" x14ac:dyDescent="0.25">
      <c r="A504" s="7">
        <v>5.1738550359627435</v>
      </c>
      <c r="B504"/>
      <c r="C504"/>
      <c r="D504"/>
      <c r="E504" t="s">
        <v>8</v>
      </c>
      <c r="BD504" s="27" t="s">
        <v>7</v>
      </c>
      <c r="BE504" s="27" t="s">
        <v>8</v>
      </c>
      <c r="BF504" s="27" t="s">
        <v>7</v>
      </c>
      <c r="BG504" s="27" t="s">
        <v>8</v>
      </c>
    </row>
    <row r="505" spans="1:169" x14ac:dyDescent="0.25">
      <c r="A505" s="7">
        <v>5.07240689800269</v>
      </c>
      <c r="B505"/>
      <c r="C505"/>
      <c r="D505"/>
      <c r="E505" t="s">
        <v>8</v>
      </c>
      <c r="BD505" s="27" t="s">
        <v>7</v>
      </c>
      <c r="BE505" s="27" t="s">
        <v>8</v>
      </c>
      <c r="BF505" s="27" t="s">
        <v>7</v>
      </c>
      <c r="BG505" s="27" t="s">
        <v>8</v>
      </c>
    </row>
    <row r="506" spans="1:169" x14ac:dyDescent="0.25">
      <c r="A506" s="7">
        <v>4.9729479392183231</v>
      </c>
      <c r="B506"/>
      <c r="C506"/>
      <c r="D506"/>
      <c r="E506" t="s">
        <v>8</v>
      </c>
      <c r="BD506" s="27" t="s">
        <v>7</v>
      </c>
      <c r="BE506" s="27" t="s">
        <v>8</v>
      </c>
      <c r="BF506" s="27" t="s">
        <v>7</v>
      </c>
      <c r="BG506" s="27" t="s">
        <v>8</v>
      </c>
    </row>
    <row r="507" spans="1:169" x14ac:dyDescent="0.25">
      <c r="A507" s="7">
        <v>4.8754391560963954</v>
      </c>
      <c r="B507"/>
      <c r="C507"/>
      <c r="D507"/>
      <c r="E507" t="s">
        <v>8</v>
      </c>
      <c r="BD507" s="27" t="s">
        <v>7</v>
      </c>
      <c r="BE507" s="27" t="s">
        <v>8</v>
      </c>
      <c r="BF507" s="27" t="s">
        <v>7</v>
      </c>
      <c r="BG507" s="27" t="s">
        <v>8</v>
      </c>
    </row>
    <row r="508" spans="1:169" x14ac:dyDescent="0.25">
      <c r="A508" s="7">
        <v>4.7798423098984264</v>
      </c>
      <c r="B508"/>
      <c r="C508"/>
      <c r="D508"/>
      <c r="E508" t="s">
        <v>8</v>
      </c>
      <c r="BD508" s="27" t="s">
        <v>7</v>
      </c>
      <c r="BE508" s="27" t="s">
        <v>8</v>
      </c>
      <c r="BF508" s="27" t="s">
        <v>7</v>
      </c>
      <c r="BG508" s="27" t="s">
        <v>8</v>
      </c>
    </row>
    <row r="509" spans="1:169" x14ac:dyDescent="0.25">
      <c r="A509" s="7">
        <v>4.6861199116651235</v>
      </c>
      <c r="B509"/>
      <c r="C509"/>
      <c r="D509"/>
      <c r="E509" t="s">
        <v>8</v>
      </c>
      <c r="BD509" s="27" t="s">
        <v>7</v>
      </c>
      <c r="BE509" s="27" t="s">
        <v>8</v>
      </c>
      <c r="BF509" s="27" t="s">
        <v>7</v>
      </c>
      <c r="BG509" s="27" t="s">
        <v>8</v>
      </c>
    </row>
    <row r="510" spans="1:169" x14ac:dyDescent="0.25">
      <c r="A510" s="7">
        <v>4.5942352075148269</v>
      </c>
      <c r="B510"/>
      <c r="C510"/>
      <c r="D510"/>
      <c r="E510" t="s">
        <v>8</v>
      </c>
      <c r="BD510" s="27" t="s">
        <v>7</v>
      </c>
      <c r="BE510" s="27" t="s">
        <v>8</v>
      </c>
      <c r="BF510" s="27" t="s">
        <v>7</v>
      </c>
      <c r="BG510" s="27" t="s">
        <v>8</v>
      </c>
    </row>
    <row r="511" spans="1:169" x14ac:dyDescent="0.25">
      <c r="A511" s="7">
        <v>4.5041521642302227</v>
      </c>
      <c r="B511"/>
      <c r="C511"/>
      <c r="D511"/>
      <c r="E511" t="s">
        <v>8</v>
      </c>
      <c r="BD511" s="27" t="s">
        <v>7</v>
      </c>
      <c r="BE511" s="27" t="s">
        <v>8</v>
      </c>
      <c r="BF511" s="27" t="s">
        <v>7</v>
      </c>
      <c r="BG511" s="27" t="s">
        <v>8</v>
      </c>
    </row>
    <row r="512" spans="1:169" x14ac:dyDescent="0.25">
      <c r="A512" s="7">
        <v>4.4158354551276693</v>
      </c>
      <c r="B512"/>
      <c r="C512"/>
      <c r="D512"/>
      <c r="E512" t="s">
        <v>8</v>
      </c>
      <c r="BD512" s="27" t="s">
        <v>7</v>
      </c>
      <c r="BE512" s="27" t="s">
        <v>8</v>
      </c>
      <c r="BF512" s="27" t="s">
        <v>7</v>
      </c>
      <c r="BG512" s="27" t="s">
        <v>8</v>
      </c>
    </row>
    <row r="513" spans="1:59" x14ac:dyDescent="0.25">
      <c r="A513" s="7">
        <v>4.3292504462035977</v>
      </c>
      <c r="B513"/>
      <c r="C513"/>
      <c r="D513"/>
      <c r="E513" t="s">
        <v>8</v>
      </c>
      <c r="BD513" s="27" t="s">
        <v>7</v>
      </c>
      <c r="BE513" s="27" t="s">
        <v>8</v>
      </c>
      <c r="BF513" s="27" t="s">
        <v>7</v>
      </c>
      <c r="BG513" s="27" t="s">
        <v>8</v>
      </c>
    </row>
    <row r="514" spans="1:59" x14ac:dyDescent="0.25">
      <c r="A514" s="7">
        <v>4.2443631825525463</v>
      </c>
      <c r="B514"/>
      <c r="C514"/>
      <c r="D514"/>
      <c r="E514" t="s">
        <v>8</v>
      </c>
      <c r="BD514" s="27" t="s">
        <v>7</v>
      </c>
      <c r="BE514" s="27" t="s">
        <v>8</v>
      </c>
      <c r="BF514" s="27" t="s">
        <v>7</v>
      </c>
      <c r="BG514" s="27" t="s">
        <v>8</v>
      </c>
    </row>
    <row r="515" spans="1:59" x14ac:dyDescent="0.25">
      <c r="A515" s="7">
        <v>4.1611403750515157</v>
      </c>
      <c r="B515"/>
      <c r="C515"/>
      <c r="D515"/>
      <c r="E515" t="s">
        <v>8</v>
      </c>
      <c r="BD515" s="27" t="s">
        <v>7</v>
      </c>
      <c r="BE515" s="27" t="s">
        <v>8</v>
      </c>
      <c r="BF515" s="27" t="s">
        <v>7</v>
      </c>
      <c r="BG515" s="27" t="s">
        <v>8</v>
      </c>
    </row>
    <row r="516" spans="1:59" x14ac:dyDescent="0.25">
      <c r="A516" s="7">
        <v>4.0795493873054074</v>
      </c>
      <c r="B516"/>
      <c r="C516"/>
      <c r="D516"/>
      <c r="E516" t="s">
        <v>8</v>
      </c>
      <c r="BD516" s="27" t="s">
        <v>7</v>
      </c>
      <c r="BE516" s="27" t="s">
        <v>8</v>
      </c>
      <c r="BF516" s="27" t="s">
        <v>7</v>
      </c>
      <c r="BG516" s="27" t="s">
        <v>8</v>
      </c>
    </row>
    <row r="517" spans="1:59" x14ac:dyDescent="0.25">
      <c r="A517" s="7">
        <v>3.9995582228484383</v>
      </c>
      <c r="B517"/>
      <c r="C517"/>
      <c r="D517"/>
      <c r="E517" t="s">
        <v>8</v>
      </c>
      <c r="BD517" s="27" t="s">
        <v>7</v>
      </c>
      <c r="BE517" s="27" t="s">
        <v>8</v>
      </c>
      <c r="BF517" s="27" t="s">
        <v>7</v>
      </c>
      <c r="BG517" s="27" t="s">
        <v>8</v>
      </c>
    </row>
    <row r="518" spans="1:59" x14ac:dyDescent="0.25">
      <c r="A518" s="7">
        <v>3.9211355125965079</v>
      </c>
      <c r="B518"/>
      <c r="C518"/>
      <c r="D518"/>
      <c r="E518" t="s">
        <v>8</v>
      </c>
      <c r="BD518" s="27" t="s">
        <v>7</v>
      </c>
      <c r="BE518" s="27" t="s">
        <v>8</v>
      </c>
      <c r="BF518" s="27" t="s">
        <v>7</v>
      </c>
      <c r="BG518" s="27" t="s">
        <v>8</v>
      </c>
    </row>
    <row r="519" spans="1:59" x14ac:dyDescent="0.25">
      <c r="A519" s="7">
        <v>3.844250502545596</v>
      </c>
      <c r="B519"/>
      <c r="C519"/>
      <c r="D519"/>
      <c r="E519" t="s">
        <v>8</v>
      </c>
      <c r="BD519" s="27" t="s">
        <v>7</v>
      </c>
      <c r="BE519" s="27" t="s">
        <v>8</v>
      </c>
      <c r="BF519" s="27" t="s">
        <v>7</v>
      </c>
    </row>
    <row r="520" spans="1:59" x14ac:dyDescent="0.25">
      <c r="A520" s="7">
        <v>3.7688730417113687</v>
      </c>
      <c r="B520"/>
      <c r="C520"/>
      <c r="D520"/>
      <c r="E520" t="s">
        <v>8</v>
      </c>
      <c r="BD520" s="27" t="s">
        <v>7</v>
      </c>
      <c r="BE520" s="27" t="s">
        <v>8</v>
      </c>
    </row>
    <row r="521" spans="1:59" x14ac:dyDescent="0.25">
      <c r="A521" s="7">
        <v>3.6949735703052635</v>
      </c>
      <c r="B521"/>
      <c r="C521"/>
      <c r="D521"/>
      <c r="E521" t="s">
        <v>8</v>
      </c>
      <c r="BD521" s="27" t="s">
        <v>7</v>
      </c>
      <c r="BE521" s="27" t="s">
        <v>8</v>
      </c>
    </row>
    <row r="522" spans="1:59" x14ac:dyDescent="0.25">
      <c r="A522" s="7">
        <v>3.6225231081424152</v>
      </c>
      <c r="B522"/>
      <c r="C522"/>
      <c r="D522"/>
      <c r="E522" t="s">
        <v>8</v>
      </c>
      <c r="BD522" s="27" t="s">
        <v>7</v>
      </c>
    </row>
    <row r="523" spans="1:59" x14ac:dyDescent="0.25">
      <c r="A523" s="7">
        <v>3.5514932432768775</v>
      </c>
      <c r="B523"/>
      <c r="C523"/>
      <c r="D523"/>
      <c r="E523" t="s">
        <v>8</v>
      </c>
    </row>
    <row r="524" spans="1:59" x14ac:dyDescent="0.25">
      <c r="A524" s="7">
        <v>3.4818561208596837</v>
      </c>
      <c r="B524"/>
      <c r="C524"/>
      <c r="D524"/>
      <c r="E524" t="s">
        <v>8</v>
      </c>
    </row>
    <row r="525" spans="1:59" x14ac:dyDescent="0.25">
      <c r="A525" s="7">
        <v>3.4135844322153761</v>
      </c>
      <c r="B525"/>
      <c r="C525"/>
      <c r="D525"/>
      <c r="E525" t="s">
        <v>8</v>
      </c>
    </row>
    <row r="526" spans="1:59" x14ac:dyDescent="0.25">
      <c r="A526" s="7">
        <v>3.3466514041327216</v>
      </c>
      <c r="B526"/>
      <c r="C526"/>
      <c r="D526"/>
      <c r="E526" t="s">
        <v>8</v>
      </c>
    </row>
    <row r="527" spans="1:59" x14ac:dyDescent="0.25">
      <c r="A527" s="7">
        <v>3.2810307883654133</v>
      </c>
      <c r="B527"/>
      <c r="C527"/>
      <c r="D527"/>
      <c r="E527" t="s">
        <v>8</v>
      </c>
    </row>
    <row r="528" spans="1:59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20" operator="equal">
      <formula>$U$1</formula>
    </cfRule>
    <cfRule type="cellIs" dxfId="89" priority="721" operator="equal">
      <formula>$S$1</formula>
    </cfRule>
  </conditionalFormatting>
  <conditionalFormatting sqref="D27">
    <cfRule type="cellIs" dxfId="88" priority="718" operator="equal">
      <formula>$S$1</formula>
    </cfRule>
    <cfRule type="cellIs" dxfId="87" priority="719" operator="equal">
      <formula>$U$1</formula>
    </cfRule>
  </conditionalFormatting>
  <conditionalFormatting sqref="C164">
    <cfRule type="cellIs" dxfId="86" priority="716" operator="equal">
      <formula>$U$1</formula>
    </cfRule>
    <cfRule type="cellIs" dxfId="85" priority="717" operator="equal">
      <formula>$S$1</formula>
    </cfRule>
  </conditionalFormatting>
  <conditionalFormatting sqref="D164">
    <cfRule type="cellIs" dxfId="84" priority="714" operator="equal">
      <formula>$S$1</formula>
    </cfRule>
    <cfRule type="cellIs" dxfId="83" priority="715" operator="equal">
      <formula>$U$1</formula>
    </cfRule>
  </conditionalFormatting>
  <conditionalFormatting sqref="C55">
    <cfRule type="cellIs" dxfId="82" priority="712" operator="equal">
      <formula>$U$1</formula>
    </cfRule>
    <cfRule type="cellIs" dxfId="81" priority="713" operator="equal">
      <formula>$S$1</formula>
    </cfRule>
  </conditionalFormatting>
  <conditionalFormatting sqref="D55">
    <cfRule type="cellIs" dxfId="80" priority="710" operator="equal">
      <formula>$S$1</formula>
    </cfRule>
    <cfRule type="cellIs" dxfId="79" priority="711" operator="equal">
      <formula>$U$1</formula>
    </cfRule>
  </conditionalFormatting>
  <conditionalFormatting sqref="C89">
    <cfRule type="cellIs" dxfId="78" priority="708" operator="equal">
      <formula>$U$1</formula>
    </cfRule>
    <cfRule type="cellIs" dxfId="77" priority="709" operator="equal">
      <formula>$S$1</formula>
    </cfRule>
  </conditionalFormatting>
  <conditionalFormatting sqref="D89">
    <cfRule type="cellIs" dxfId="76" priority="706" operator="equal">
      <formula>$S$1</formula>
    </cfRule>
    <cfRule type="cellIs" dxfId="75" priority="707" operator="equal">
      <formula>$U$1</formula>
    </cfRule>
  </conditionalFormatting>
  <conditionalFormatting sqref="C136">
    <cfRule type="cellIs" dxfId="74" priority="704" operator="equal">
      <formula>$U$1</formula>
    </cfRule>
    <cfRule type="cellIs" dxfId="73" priority="705" operator="equal">
      <formula>$S$1</formula>
    </cfRule>
  </conditionalFormatting>
  <conditionalFormatting sqref="D136">
    <cfRule type="cellIs" dxfId="72" priority="702" operator="equal">
      <formula>$S$1</formula>
    </cfRule>
    <cfRule type="cellIs" dxfId="71" priority="703" operator="equal">
      <formula>$U$1</formula>
    </cfRule>
  </conditionalFormatting>
  <conditionalFormatting sqref="C1">
    <cfRule type="cellIs" dxfId="70" priority="70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71" zoomScale="90" zoomScaleNormal="90" workbookViewId="0">
      <pane xSplit="4" topLeftCell="AN1" activePane="topRight" state="frozen"/>
      <selection activeCell="A109" sqref="A109"/>
      <selection pane="topRight" activeCell="CD205" sqref="CD20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$A$204</v>
      </c>
      <c r="D111" s="1" t="str">
        <f>ADDRESS(C121-1,D121,1,1)</f>
        <v>$CD$204</v>
      </c>
      <c r="E111"/>
    </row>
    <row r="112" spans="1:5" x14ac:dyDescent="0.25">
      <c r="A112" s="30">
        <v>515.50191262726139</v>
      </c>
      <c r="C112" s="1" t="str">
        <f>ADDRESS(C121,1,1,1)</f>
        <v>$A$205</v>
      </c>
      <c r="D112" s="1" t="str">
        <f>ADDRESS(C121,D121-1,1,1)</f>
        <v>$CC$205</v>
      </c>
      <c r="E112"/>
    </row>
    <row r="113" spans="1:5" x14ac:dyDescent="0.25">
      <c r="A113" s="30">
        <v>490.95420250215363</v>
      </c>
      <c r="C113" s="1" t="str">
        <f>ADDRESS(C121+1,1,1,1)</f>
        <v>$A$206</v>
      </c>
      <c r="D113" s="1" t="str">
        <f>ADDRESS(C121-1,D121+1,1,1)</f>
        <v>$CE$204</v>
      </c>
    </row>
    <row r="114" spans="1:5" x14ac:dyDescent="0.25">
      <c r="A114" s="30">
        <v>467.57543095443202</v>
      </c>
      <c r="C114" s="1" t="str">
        <f>ADDRESS(C121,D121,1,1)</f>
        <v>$CD$205</v>
      </c>
      <c r="D114" s="1" t="str">
        <f>ADDRESS(C121+1,D121+1,1,1)</f>
        <v>$CE$206</v>
      </c>
    </row>
    <row r="115" spans="1:5" x14ac:dyDescent="0.25">
      <c r="A115" s="30">
        <v>445.30993424231622</v>
      </c>
      <c r="C115" s="1" t="str">
        <f>ADDRESS(C121+1,D121,1,1)</f>
        <v>$CD$206</v>
      </c>
    </row>
    <row r="116" spans="1:5" x14ac:dyDescent="0.25">
      <c r="A116" s="30">
        <v>424.10469927839637</v>
      </c>
      <c r="C116" s="1">
        <f>C117-1</f>
        <v>204</v>
      </c>
    </row>
    <row r="117" spans="1:5" x14ac:dyDescent="0.25">
      <c r="A117" s="30">
        <v>403.9092374079965</v>
      </c>
      <c r="C117" s="1">
        <f>C121</f>
        <v>205</v>
      </c>
      <c r="D117" s="1">
        <f>D121</f>
        <v>82</v>
      </c>
    </row>
    <row r="118" spans="1:5" x14ac:dyDescent="0.25">
      <c r="A118" s="30">
        <v>384.6754641980919</v>
      </c>
      <c r="C118" s="1">
        <f>C117+1</f>
        <v>206</v>
      </c>
      <c r="D118" s="1">
        <f>D117+1</f>
        <v>83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205</v>
      </c>
      <c r="D121" s="19">
        <v>82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R205</v>
      </c>
      <c r="D123" s="1" t="str">
        <f>"C"&amp;D121</f>
        <v>C82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5.5160153675922574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73" x14ac:dyDescent="0.25">
      <c r="A161" s="30">
        <v>47.201372444612005</v>
      </c>
      <c r="E161"/>
    </row>
    <row r="162" spans="1:73" x14ac:dyDescent="0.25">
      <c r="A162" s="30">
        <v>44.95368804248762</v>
      </c>
      <c r="E162"/>
    </row>
    <row r="163" spans="1:73" x14ac:dyDescent="0.25">
      <c r="A163" s="30">
        <v>42.81303623094059</v>
      </c>
      <c r="E163"/>
    </row>
    <row r="164" spans="1:73" x14ac:dyDescent="0.25">
      <c r="A164" s="30">
        <v>40.774320219943419</v>
      </c>
      <c r="E164"/>
    </row>
    <row r="165" spans="1:73" x14ac:dyDescent="0.25">
      <c r="A165" s="30">
        <v>38.832685923755633</v>
      </c>
      <c r="E165"/>
    </row>
    <row r="166" spans="1:73" x14ac:dyDescent="0.25">
      <c r="A166" s="30">
        <v>36.983510403576794</v>
      </c>
      <c r="E166"/>
    </row>
    <row r="167" spans="1:73" x14ac:dyDescent="0.25">
      <c r="A167" s="30">
        <v>35.222390860549325</v>
      </c>
      <c r="E167"/>
    </row>
    <row r="168" spans="1:73" x14ac:dyDescent="0.25">
      <c r="A168" s="30">
        <v>33.545134152904119</v>
      </c>
      <c r="E168"/>
    </row>
    <row r="169" spans="1:73" x14ac:dyDescent="0.25">
      <c r="A169" s="30">
        <v>31.947746812289637</v>
      </c>
      <c r="E169"/>
    </row>
    <row r="170" spans="1:73" x14ac:dyDescent="0.25">
      <c r="A170" s="30">
        <v>30.426425535513939</v>
      </c>
      <c r="E170"/>
    </row>
    <row r="171" spans="1:73" x14ac:dyDescent="0.25">
      <c r="A171" s="30">
        <v>28.977548129060892</v>
      </c>
      <c r="E171"/>
    </row>
    <row r="172" spans="1:73" x14ac:dyDescent="0.25">
      <c r="A172" s="30">
        <v>27.597664884819896</v>
      </c>
      <c r="E172"/>
    </row>
    <row r="173" spans="1:73" x14ac:dyDescent="0.25">
      <c r="A173" s="30">
        <v>26.283490366495137</v>
      </c>
      <c r="E173"/>
    </row>
    <row r="174" spans="1:73" x14ac:dyDescent="0.25">
      <c r="A174" s="30">
        <v>25.031895587138223</v>
      </c>
      <c r="E174"/>
      <c r="BA174" s="31" t="s">
        <v>8</v>
      </c>
    </row>
    <row r="175" spans="1:73" x14ac:dyDescent="0.25">
      <c r="A175" s="30">
        <v>23.839900559179259</v>
      </c>
      <c r="E175"/>
      <c r="BA175" s="27" t="s">
        <v>8</v>
      </c>
      <c r="BB175" s="31" t="s">
        <v>7</v>
      </c>
    </row>
    <row r="176" spans="1:73" x14ac:dyDescent="0.25">
      <c r="A176" s="30">
        <v>22.704667199218342</v>
      </c>
      <c r="E176"/>
      <c r="BA176" s="27" t="s">
        <v>8</v>
      </c>
      <c r="BB176" s="27" t="s">
        <v>7</v>
      </c>
      <c r="BC176" s="31" t="s">
        <v>8</v>
      </c>
      <c r="BU176" s="31" t="s">
        <v>8</v>
      </c>
    </row>
    <row r="177" spans="1:81" x14ac:dyDescent="0.25">
      <c r="A177" s="30">
        <v>21.623492570684135</v>
      </c>
      <c r="E177"/>
      <c r="BA177" s="27" t="s">
        <v>8</v>
      </c>
      <c r="BB177" s="27" t="s">
        <v>7</v>
      </c>
      <c r="BC177" s="27" t="s">
        <v>8</v>
      </c>
      <c r="BD177" s="31" t="s">
        <v>7</v>
      </c>
      <c r="BU177" s="27" t="s">
        <v>8</v>
      </c>
      <c r="BV177" s="31" t="s">
        <v>7</v>
      </c>
    </row>
    <row r="178" spans="1:81" x14ac:dyDescent="0.25">
      <c r="A178" s="30">
        <v>20.593802448270605</v>
      </c>
      <c r="C178" s="7"/>
      <c r="D178"/>
      <c r="E178"/>
      <c r="BA178" s="27" t="s">
        <v>8</v>
      </c>
      <c r="BB178" s="27" t="s">
        <v>7</v>
      </c>
      <c r="BC178" s="27" t="s">
        <v>8</v>
      </c>
      <c r="BD178" s="27" t="s">
        <v>7</v>
      </c>
      <c r="BE178" s="31"/>
      <c r="BU178" s="27" t="s">
        <v>8</v>
      </c>
      <c r="BV178" s="27" t="s">
        <v>7</v>
      </c>
      <c r="BW178" s="31"/>
    </row>
    <row r="179" spans="1:81" x14ac:dyDescent="0.25">
      <c r="A179" s="30">
        <v>19.613145188829147</v>
      </c>
      <c r="E179"/>
      <c r="AY179" s="27" t="s">
        <v>8</v>
      </c>
      <c r="BA179" s="27" t="s">
        <v>8</v>
      </c>
      <c r="BB179" s="27" t="s">
        <v>7</v>
      </c>
      <c r="BC179" s="27" t="s">
        <v>8</v>
      </c>
      <c r="BD179" s="27" t="s">
        <v>7</v>
      </c>
      <c r="BF179" s="31"/>
      <c r="BO179" s="27" t="s">
        <v>8</v>
      </c>
      <c r="BQ179" s="27" t="s">
        <v>8</v>
      </c>
      <c r="BU179" s="27" t="s">
        <v>8</v>
      </c>
      <c r="BV179" s="27" t="s">
        <v>7</v>
      </c>
      <c r="BX179" s="31"/>
    </row>
    <row r="180" spans="1:81" x14ac:dyDescent="0.25">
      <c r="A180" s="30">
        <v>18.679185894122998</v>
      </c>
      <c r="E180"/>
      <c r="AY180" s="27" t="s">
        <v>8</v>
      </c>
      <c r="AZ180" s="27" t="s">
        <v>7</v>
      </c>
      <c r="BA180" s="27" t="s">
        <v>8</v>
      </c>
      <c r="BB180" s="27" t="s">
        <v>7</v>
      </c>
      <c r="BD180" s="27" t="s">
        <v>7</v>
      </c>
      <c r="BG180" s="31"/>
      <c r="BI180" s="27" t="s">
        <v>8</v>
      </c>
      <c r="BO180" s="27" t="s">
        <v>8</v>
      </c>
      <c r="BP180" s="27" t="s">
        <v>7</v>
      </c>
      <c r="BQ180" s="27" t="s">
        <v>8</v>
      </c>
      <c r="BR180" s="27" t="s">
        <v>7</v>
      </c>
      <c r="BU180" s="27" t="s">
        <v>8</v>
      </c>
      <c r="BV180" s="27" t="s">
        <v>7</v>
      </c>
      <c r="BY180" s="31"/>
    </row>
    <row r="181" spans="1:81" x14ac:dyDescent="0.25">
      <c r="A181" s="30">
        <v>17.78970085154571</v>
      </c>
      <c r="C181"/>
      <c r="D181"/>
      <c r="E181"/>
      <c r="AS181" s="27" t="s">
        <v>8</v>
      </c>
      <c r="AY181" s="27" t="s">
        <v>8</v>
      </c>
      <c r="AZ181" s="27" t="s">
        <v>7</v>
      </c>
      <c r="BA181" s="27" t="s">
        <v>8</v>
      </c>
      <c r="BD181" s="27" t="s">
        <v>7</v>
      </c>
      <c r="BE181" s="27" t="s">
        <v>8</v>
      </c>
      <c r="BH181" s="31"/>
      <c r="BI181" s="27" t="s">
        <v>8</v>
      </c>
      <c r="BJ181" s="27" t="s">
        <v>7</v>
      </c>
      <c r="BO181" s="27" t="s">
        <v>8</v>
      </c>
      <c r="BP181" s="27" t="s">
        <v>7</v>
      </c>
      <c r="BQ181" s="27" t="s">
        <v>8</v>
      </c>
      <c r="BR181" s="27" t="s">
        <v>7</v>
      </c>
      <c r="BS181" s="27" t="s">
        <v>8</v>
      </c>
      <c r="BU181" s="27" t="s">
        <v>8</v>
      </c>
      <c r="BV181" s="27" t="s">
        <v>7</v>
      </c>
      <c r="BZ181" s="31"/>
    </row>
    <row r="182" spans="1:81" x14ac:dyDescent="0.25">
      <c r="A182" s="30">
        <v>16.942572239567344</v>
      </c>
      <c r="E182"/>
      <c r="AS182" s="27" t="s">
        <v>8</v>
      </c>
      <c r="AT182" s="27" t="s">
        <v>7</v>
      </c>
      <c r="AU182" s="27" t="s">
        <v>8</v>
      </c>
      <c r="AW182" s="27" t="s">
        <v>8</v>
      </c>
      <c r="AY182" s="27" t="s">
        <v>8</v>
      </c>
      <c r="AZ182" s="27" t="s">
        <v>7</v>
      </c>
      <c r="BA182" s="27" t="s">
        <v>8</v>
      </c>
      <c r="BD182" s="27" t="s">
        <v>7</v>
      </c>
      <c r="BE182" s="27" t="s">
        <v>8</v>
      </c>
      <c r="BF182" s="27" t="s">
        <v>7</v>
      </c>
      <c r="BI182" s="31" t="s">
        <v>8</v>
      </c>
      <c r="BJ182" s="27" t="s">
        <v>7</v>
      </c>
      <c r="BO182" s="27" t="s">
        <v>8</v>
      </c>
      <c r="BP182" s="27" t="s">
        <v>7</v>
      </c>
      <c r="BR182" s="27" t="s">
        <v>7</v>
      </c>
      <c r="BS182" s="27" t="s">
        <v>8</v>
      </c>
      <c r="BT182" s="27" t="s">
        <v>7</v>
      </c>
      <c r="BU182" s="27" t="s">
        <v>8</v>
      </c>
      <c r="BV182" s="27" t="s">
        <v>7</v>
      </c>
      <c r="CA182" s="31"/>
    </row>
    <row r="183" spans="1:81" x14ac:dyDescent="0.25">
      <c r="A183" s="30">
        <v>16.135783085302233</v>
      </c>
      <c r="E183"/>
      <c r="AQ183" s="27" t="s">
        <v>8</v>
      </c>
      <c r="AS183" s="27" t="s">
        <v>8</v>
      </c>
      <c r="AT183" s="27" t="s">
        <v>7</v>
      </c>
      <c r="AU183" s="27" t="s">
        <v>8</v>
      </c>
      <c r="AV183" s="27" t="s">
        <v>7</v>
      </c>
      <c r="AW183" s="27" t="s">
        <v>8</v>
      </c>
      <c r="AX183" s="27" t="s">
        <v>7</v>
      </c>
      <c r="AY183" s="27" t="s">
        <v>8</v>
      </c>
      <c r="AZ183" s="27" t="s">
        <v>7</v>
      </c>
      <c r="BA183" s="27" t="s">
        <v>8</v>
      </c>
      <c r="BD183" s="27" t="s">
        <v>7</v>
      </c>
      <c r="BE183" s="27" t="s">
        <v>8</v>
      </c>
      <c r="BF183" s="27" t="s">
        <v>7</v>
      </c>
      <c r="BI183" s="27" t="s">
        <v>8</v>
      </c>
      <c r="BJ183" s="27" t="s">
        <v>7</v>
      </c>
      <c r="BK183" s="27" t="s">
        <v>8</v>
      </c>
      <c r="BM183" s="27" t="s">
        <v>8</v>
      </c>
      <c r="BO183" s="27" t="s">
        <v>8</v>
      </c>
      <c r="BR183" s="27" t="s">
        <v>7</v>
      </c>
      <c r="BS183" s="27" t="s">
        <v>8</v>
      </c>
      <c r="BT183" s="27" t="s">
        <v>7</v>
      </c>
      <c r="BU183" s="27" t="s">
        <v>8</v>
      </c>
      <c r="BV183" s="27" t="s">
        <v>7</v>
      </c>
      <c r="CB183" s="31"/>
    </row>
    <row r="184" spans="1:81" x14ac:dyDescent="0.25">
      <c r="A184" s="30">
        <v>15.367412462192602</v>
      </c>
      <c r="E184"/>
      <c r="AQ184" s="27" t="s">
        <v>8</v>
      </c>
      <c r="AR184" s="27" t="s">
        <v>7</v>
      </c>
      <c r="AS184" s="27" t="s">
        <v>8</v>
      </c>
      <c r="AT184" s="27" t="s">
        <v>7</v>
      </c>
      <c r="AU184" s="27" t="s">
        <v>8</v>
      </c>
      <c r="AV184" s="27" t="s">
        <v>7</v>
      </c>
      <c r="AW184" s="27" t="s">
        <v>8</v>
      </c>
      <c r="AX184" s="27" t="s">
        <v>7</v>
      </c>
      <c r="AY184" s="27" t="s">
        <v>8</v>
      </c>
      <c r="AZ184" s="27" t="s">
        <v>7</v>
      </c>
      <c r="BD184" s="27" t="s">
        <v>7</v>
      </c>
      <c r="BE184" s="27" t="s">
        <v>8</v>
      </c>
      <c r="BF184" s="27" t="s">
        <v>7</v>
      </c>
      <c r="BG184" s="27" t="s">
        <v>8</v>
      </c>
      <c r="BI184" s="27" t="s">
        <v>8</v>
      </c>
      <c r="BJ184" s="27" t="s">
        <v>7</v>
      </c>
      <c r="BK184" s="27" t="s">
        <v>8</v>
      </c>
      <c r="BL184" s="27" t="s">
        <v>7</v>
      </c>
      <c r="BM184" s="27" t="s">
        <v>8</v>
      </c>
      <c r="BN184" s="27" t="s">
        <v>7</v>
      </c>
      <c r="BO184" s="27" t="s">
        <v>8</v>
      </c>
      <c r="BR184" s="27" t="s">
        <v>7</v>
      </c>
      <c r="BT184" s="27" t="s">
        <v>7</v>
      </c>
      <c r="BV184" s="27" t="s">
        <v>7</v>
      </c>
      <c r="CC184" s="31"/>
    </row>
    <row r="185" spans="1:81" x14ac:dyDescent="0.25">
      <c r="A185" s="30">
        <v>14.635630916373906</v>
      </c>
      <c r="C185"/>
      <c r="E185"/>
      <c r="S185" s="27" t="s">
        <v>8</v>
      </c>
      <c r="AQ185" s="27" t="s">
        <v>8</v>
      </c>
      <c r="AR185" s="27" t="s">
        <v>7</v>
      </c>
      <c r="AS185" s="27" t="s">
        <v>8</v>
      </c>
      <c r="AT185" s="27" t="s">
        <v>7</v>
      </c>
      <c r="AU185" s="27" t="s">
        <v>8</v>
      </c>
      <c r="AV185" s="27" t="s">
        <v>7</v>
      </c>
      <c r="AW185" s="27" t="s">
        <v>8</v>
      </c>
      <c r="AX185" s="27" t="s">
        <v>7</v>
      </c>
      <c r="BD185" s="27" t="s">
        <v>7</v>
      </c>
      <c r="BE185" s="27" t="s">
        <v>8</v>
      </c>
      <c r="BF185" s="27" t="s">
        <v>7</v>
      </c>
      <c r="BG185" s="27" t="s">
        <v>8</v>
      </c>
      <c r="BH185" s="27" t="s">
        <v>7</v>
      </c>
      <c r="BI185" s="27" t="s">
        <v>8</v>
      </c>
      <c r="BJ185" s="27" t="s">
        <v>7</v>
      </c>
      <c r="BK185" s="27" t="s">
        <v>8</v>
      </c>
      <c r="BL185" s="27" t="s">
        <v>7</v>
      </c>
      <c r="BM185" s="27" t="s">
        <v>8</v>
      </c>
      <c r="BN185" s="27" t="s">
        <v>7</v>
      </c>
      <c r="BO185" s="27" t="s">
        <v>8</v>
      </c>
      <c r="BV185" s="27" t="s">
        <v>7</v>
      </c>
    </row>
    <row r="186" spans="1:81" x14ac:dyDescent="0.25">
      <c r="A186" s="30">
        <v>13.938696110832291</v>
      </c>
      <c r="E186"/>
      <c r="S186" s="27" t="s">
        <v>8</v>
      </c>
      <c r="T186" s="27" t="s">
        <v>7</v>
      </c>
      <c r="AQ186" s="27" t="s">
        <v>8</v>
      </c>
      <c r="AR186" s="27" t="s">
        <v>7</v>
      </c>
      <c r="AT186" s="27" t="s">
        <v>7</v>
      </c>
      <c r="AV186" s="27" t="s">
        <v>7</v>
      </c>
      <c r="BD186" s="27" t="s">
        <v>7</v>
      </c>
      <c r="BF186" s="31" t="s">
        <v>7</v>
      </c>
      <c r="BG186" s="27" t="s">
        <v>8</v>
      </c>
      <c r="BH186" s="27" t="s">
        <v>7</v>
      </c>
      <c r="BI186" s="27" t="s">
        <v>8</v>
      </c>
      <c r="BJ186" s="27" t="s">
        <v>7</v>
      </c>
      <c r="BL186" s="27" t="s">
        <v>7</v>
      </c>
      <c r="BN186" s="27" t="s">
        <v>7</v>
      </c>
      <c r="BO186" s="27" t="s">
        <v>8</v>
      </c>
      <c r="BV186" s="27" t="s">
        <v>7</v>
      </c>
    </row>
    <row r="187" spans="1:81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S187" s="27" t="s">
        <v>8</v>
      </c>
      <c r="T187" s="27" t="s">
        <v>7</v>
      </c>
      <c r="AQ187" s="27" t="s">
        <v>8</v>
      </c>
      <c r="BE187" s="31"/>
      <c r="BF187" s="27" t="s">
        <v>7</v>
      </c>
      <c r="BG187" s="27" t="s">
        <v>8</v>
      </c>
      <c r="BH187" s="27" t="s">
        <v>7</v>
      </c>
      <c r="BI187" s="27" t="s">
        <v>8</v>
      </c>
      <c r="BN187" s="27" t="s">
        <v>7</v>
      </c>
      <c r="BO187" s="27" t="s">
        <v>8</v>
      </c>
      <c r="BV187" s="27" t="s">
        <v>7</v>
      </c>
      <c r="BW187" s="27" t="s">
        <v>8</v>
      </c>
    </row>
    <row r="188" spans="1:81" x14ac:dyDescent="0.25">
      <c r="A188" s="30">
        <v>12.64280826379346</v>
      </c>
      <c r="E188"/>
      <c r="O188" s="27" t="s">
        <v>8</v>
      </c>
      <c r="S188" s="27" t="s">
        <v>8</v>
      </c>
      <c r="T188" s="27" t="s">
        <v>7</v>
      </c>
      <c r="AQ188" s="27" t="s">
        <v>8</v>
      </c>
      <c r="BD188" s="31"/>
      <c r="BF188" s="27" t="s">
        <v>7</v>
      </c>
      <c r="BG188" s="27" t="s">
        <v>8</v>
      </c>
      <c r="BH188" s="27" t="s">
        <v>7</v>
      </c>
      <c r="BI188" s="27" t="s">
        <v>8</v>
      </c>
      <c r="BN188" s="27" t="s">
        <v>7</v>
      </c>
      <c r="BV188" s="27" t="s">
        <v>7</v>
      </c>
      <c r="BW188" s="27" t="s">
        <v>8</v>
      </c>
      <c r="BX188" s="27" t="s">
        <v>7</v>
      </c>
    </row>
    <row r="189" spans="1:81" x14ac:dyDescent="0.25">
      <c r="A189" s="30">
        <v>12.04076977504139</v>
      </c>
      <c r="E189"/>
      <c r="O189" s="27" t="s">
        <v>8</v>
      </c>
      <c r="P189" s="27" t="s">
        <v>7</v>
      </c>
      <c r="Q189" s="27" t="s">
        <v>8</v>
      </c>
      <c r="S189" s="27" t="s">
        <v>8</v>
      </c>
      <c r="T189" s="27" t="s">
        <v>7</v>
      </c>
      <c r="AQ189" s="27" t="s">
        <v>8</v>
      </c>
      <c r="BC189" s="31"/>
      <c r="BF189" s="27" t="s">
        <v>7</v>
      </c>
      <c r="BG189" s="27" t="s">
        <v>8</v>
      </c>
      <c r="BH189" s="27" t="s">
        <v>7</v>
      </c>
      <c r="BI189" s="27" t="s">
        <v>8</v>
      </c>
      <c r="BV189" s="27" t="s">
        <v>7</v>
      </c>
      <c r="BW189" s="27" t="s">
        <v>8</v>
      </c>
      <c r="BX189" s="27" t="s">
        <v>7</v>
      </c>
    </row>
    <row r="190" spans="1:81" x14ac:dyDescent="0.25">
      <c r="A190" s="30">
        <v>11.467399785753704</v>
      </c>
      <c r="E190"/>
      <c r="O190" s="27" t="s">
        <v>8</v>
      </c>
      <c r="P190" s="27" t="s">
        <v>7</v>
      </c>
      <c r="Q190" s="27" t="s">
        <v>8</v>
      </c>
      <c r="R190" s="27" t="s">
        <v>7</v>
      </c>
      <c r="S190" s="27" t="s">
        <v>8</v>
      </c>
      <c r="T190" s="27" t="s">
        <v>7</v>
      </c>
      <c r="Y190" s="27" t="s">
        <v>8</v>
      </c>
      <c r="AI190" s="27" t="s">
        <v>8</v>
      </c>
      <c r="AQ190" s="27" t="s">
        <v>8</v>
      </c>
      <c r="BB190" s="31"/>
      <c r="BF190" s="27" t="s">
        <v>7</v>
      </c>
      <c r="BG190" s="27" t="s">
        <v>8</v>
      </c>
      <c r="BH190" s="27" t="s">
        <v>7</v>
      </c>
      <c r="BI190" s="27" t="s">
        <v>8</v>
      </c>
      <c r="BV190" s="27" t="s">
        <v>7</v>
      </c>
      <c r="BX190" s="27" t="s">
        <v>7</v>
      </c>
    </row>
    <row r="191" spans="1:81" x14ac:dyDescent="0.25">
      <c r="A191" s="30">
        <v>10.921333129289241</v>
      </c>
      <c r="E191"/>
      <c r="G191" s="27" t="s">
        <v>8</v>
      </c>
      <c r="O191" s="27" t="s">
        <v>8</v>
      </c>
      <c r="P191" s="27" t="s">
        <v>7</v>
      </c>
      <c r="Q191" s="27" t="s">
        <v>8</v>
      </c>
      <c r="R191" s="27" t="s">
        <v>7</v>
      </c>
      <c r="S191" s="27" t="s">
        <v>8</v>
      </c>
      <c r="T191" s="27" t="s">
        <v>7</v>
      </c>
      <c r="W191" s="27" t="s">
        <v>8</v>
      </c>
      <c r="Y191" s="27" t="s">
        <v>8</v>
      </c>
      <c r="Z191" s="27" t="s">
        <v>7</v>
      </c>
      <c r="AI191" s="27" t="s">
        <v>8</v>
      </c>
      <c r="AJ191" s="27" t="s">
        <v>7</v>
      </c>
      <c r="AO191" s="27" t="s">
        <v>8</v>
      </c>
      <c r="AQ191" s="27" t="s">
        <v>8</v>
      </c>
      <c r="BA191" s="31"/>
      <c r="BF191" s="27" t="s">
        <v>7</v>
      </c>
      <c r="BH191" s="27" t="s">
        <v>7</v>
      </c>
      <c r="BX191" s="27" t="s">
        <v>7</v>
      </c>
    </row>
    <row r="192" spans="1:81" x14ac:dyDescent="0.25">
      <c r="A192" s="30">
        <v>10.401269646942135</v>
      </c>
      <c r="E192"/>
      <c r="G192" s="27" t="s">
        <v>8</v>
      </c>
      <c r="H192" s="27" t="s">
        <v>7</v>
      </c>
      <c r="O192" s="27" t="s">
        <v>8</v>
      </c>
      <c r="P192" s="27" t="s">
        <v>7</v>
      </c>
      <c r="Q192" s="27" t="s">
        <v>8</v>
      </c>
      <c r="R192" s="27" t="s">
        <v>7</v>
      </c>
      <c r="S192" s="27" t="s">
        <v>8</v>
      </c>
      <c r="T192" s="27" t="s">
        <v>7</v>
      </c>
      <c r="U192" s="27" t="s">
        <v>8</v>
      </c>
      <c r="W192" s="27" t="s">
        <v>8</v>
      </c>
      <c r="X192" s="27" t="s">
        <v>7</v>
      </c>
      <c r="Y192" s="27" t="s">
        <v>8</v>
      </c>
      <c r="Z192" s="27" t="s">
        <v>7</v>
      </c>
      <c r="AI192" s="27" t="s">
        <v>8</v>
      </c>
      <c r="AJ192" s="27" t="s">
        <v>7</v>
      </c>
      <c r="AO192" s="27" t="s">
        <v>8</v>
      </c>
      <c r="AP192" s="27" t="s">
        <v>7</v>
      </c>
      <c r="AQ192" s="27" t="s">
        <v>8</v>
      </c>
      <c r="AZ192" s="31"/>
      <c r="BX192" s="27" t="s">
        <v>7</v>
      </c>
    </row>
    <row r="193" spans="1:82" x14ac:dyDescent="0.25">
      <c r="A193" s="30">
        <v>9.9059710923258422</v>
      </c>
      <c r="E193" t="s">
        <v>8</v>
      </c>
      <c r="G193" s="27" t="s">
        <v>8</v>
      </c>
      <c r="H193" s="27" t="s">
        <v>7</v>
      </c>
      <c r="O193" s="27" t="s">
        <v>8</v>
      </c>
      <c r="P193" s="27" t="s">
        <v>7</v>
      </c>
      <c r="Q193" s="27" t="s">
        <v>8</v>
      </c>
      <c r="R193" s="27" t="s">
        <v>7</v>
      </c>
      <c r="S193" s="27" t="s">
        <v>8</v>
      </c>
      <c r="T193" s="27" t="s">
        <v>7</v>
      </c>
      <c r="U193" s="27" t="s">
        <v>8</v>
      </c>
      <c r="V193" s="27" t="s">
        <v>7</v>
      </c>
      <c r="W193" s="27" t="s">
        <v>8</v>
      </c>
      <c r="X193" s="27" t="s">
        <v>7</v>
      </c>
      <c r="Y193" s="27" t="s">
        <v>8</v>
      </c>
      <c r="Z193" s="27" t="s">
        <v>7</v>
      </c>
      <c r="AI193" s="27" t="s">
        <v>8</v>
      </c>
      <c r="AJ193" s="27" t="s">
        <v>7</v>
      </c>
      <c r="AO193" s="27" t="s">
        <v>8</v>
      </c>
      <c r="AP193" s="27" t="s">
        <v>7</v>
      </c>
      <c r="AQ193" s="27" t="s">
        <v>8</v>
      </c>
      <c r="AY193" s="31"/>
      <c r="BX193" s="27" t="s">
        <v>7</v>
      </c>
      <c r="BY193" s="27" t="s">
        <v>8</v>
      </c>
    </row>
    <row r="194" spans="1:82" x14ac:dyDescent="0.25">
      <c r="A194" s="30">
        <v>9.4342581831674686</v>
      </c>
      <c r="E194" t="s">
        <v>8</v>
      </c>
      <c r="F194" s="27" t="s">
        <v>7</v>
      </c>
      <c r="G194" s="27" t="s">
        <v>8</v>
      </c>
      <c r="H194" s="27" t="s">
        <v>7</v>
      </c>
      <c r="O194" s="27" t="s">
        <v>8</v>
      </c>
      <c r="P194" s="27" t="s">
        <v>7</v>
      </c>
      <c r="Q194" s="27" t="s">
        <v>8</v>
      </c>
      <c r="R194" s="27" t="s">
        <v>7</v>
      </c>
      <c r="S194" s="27" t="s">
        <v>8</v>
      </c>
      <c r="T194" s="27" t="s">
        <v>7</v>
      </c>
      <c r="U194" s="27" t="s">
        <v>8</v>
      </c>
      <c r="V194" s="27" t="s">
        <v>7</v>
      </c>
      <c r="W194" s="27" t="s">
        <v>8</v>
      </c>
      <c r="X194" s="27" t="s">
        <v>7</v>
      </c>
      <c r="Y194" s="27" t="s">
        <v>8</v>
      </c>
      <c r="Z194" s="27" t="s">
        <v>7</v>
      </c>
      <c r="AC194" s="27" t="s">
        <v>8</v>
      </c>
      <c r="AI194" s="27" t="s">
        <v>8</v>
      </c>
      <c r="AJ194" s="27" t="s">
        <v>7</v>
      </c>
      <c r="AO194" s="27" t="s">
        <v>8</v>
      </c>
      <c r="AP194" s="27" t="s">
        <v>7</v>
      </c>
      <c r="AQ194" s="27" t="s">
        <v>8</v>
      </c>
      <c r="AX194" s="31"/>
      <c r="BX194" s="27" t="s">
        <v>7</v>
      </c>
      <c r="BY194" s="27" t="s">
        <v>8</v>
      </c>
      <c r="BZ194" s="27" t="s">
        <v>7</v>
      </c>
      <c r="CA194" s="27" t="s">
        <v>8</v>
      </c>
      <c r="CC194" s="27" t="s">
        <v>8</v>
      </c>
    </row>
    <row r="195" spans="1:82" x14ac:dyDescent="0.25">
      <c r="A195" s="30">
        <v>8.9850077934928265</v>
      </c>
      <c r="E195" t="s">
        <v>8</v>
      </c>
      <c r="F195" s="27" t="s">
        <v>7</v>
      </c>
      <c r="G195" s="27" t="s">
        <v>8</v>
      </c>
      <c r="H195" s="27" t="s">
        <v>7</v>
      </c>
      <c r="M195" s="27" t="s">
        <v>8</v>
      </c>
      <c r="O195" s="27" t="s">
        <v>8</v>
      </c>
      <c r="P195" s="27" t="s">
        <v>7</v>
      </c>
      <c r="Q195" s="27" t="s">
        <v>8</v>
      </c>
      <c r="R195" s="27" t="s">
        <v>7</v>
      </c>
      <c r="S195" s="27" t="s">
        <v>8</v>
      </c>
      <c r="T195" s="27" t="s">
        <v>7</v>
      </c>
      <c r="U195" s="27" t="s">
        <v>8</v>
      </c>
      <c r="V195" s="27" t="s">
        <v>7</v>
      </c>
      <c r="X195" s="27" t="s">
        <v>7</v>
      </c>
      <c r="Y195" s="27" t="s">
        <v>8</v>
      </c>
      <c r="Z195" s="27" t="s">
        <v>7</v>
      </c>
      <c r="AA195" s="27" t="s">
        <v>8</v>
      </c>
      <c r="AC195" s="27" t="s">
        <v>8</v>
      </c>
      <c r="AD195" s="27" t="s">
        <v>7</v>
      </c>
      <c r="AG195" s="27" t="s">
        <v>8</v>
      </c>
      <c r="AI195" s="27" t="s">
        <v>8</v>
      </c>
      <c r="AJ195" s="27" t="s">
        <v>7</v>
      </c>
      <c r="AO195" s="27" t="s">
        <v>8</v>
      </c>
      <c r="AP195" s="27" t="s">
        <v>7</v>
      </c>
      <c r="AW195" s="31"/>
      <c r="BX195" s="27" t="s">
        <v>7</v>
      </c>
      <c r="BY195" s="27" t="s">
        <v>8</v>
      </c>
      <c r="BZ195" s="27" t="s">
        <v>7</v>
      </c>
      <c r="CA195" s="27" t="s">
        <v>8</v>
      </c>
      <c r="CB195" s="27" t="s">
        <v>7</v>
      </c>
      <c r="CC195" s="27" t="s">
        <v>8</v>
      </c>
      <c r="CD195" s="27" t="s">
        <v>7</v>
      </c>
    </row>
    <row r="196" spans="1:82" x14ac:dyDescent="0.25">
      <c r="A196" s="30">
        <v>8.5571502795169767</v>
      </c>
      <c r="E196" t="s">
        <v>8</v>
      </c>
      <c r="F196" s="27" t="s">
        <v>7</v>
      </c>
      <c r="G196" s="27" t="s">
        <v>8</v>
      </c>
      <c r="H196" s="27" t="s">
        <v>7</v>
      </c>
      <c r="I196" s="27" t="s">
        <v>8</v>
      </c>
      <c r="M196" s="27" t="s">
        <v>8</v>
      </c>
      <c r="N196" s="27" t="s">
        <v>7</v>
      </c>
      <c r="O196" s="27" t="s">
        <v>8</v>
      </c>
      <c r="P196" s="27" t="s">
        <v>7</v>
      </c>
      <c r="R196" s="27" t="s">
        <v>7</v>
      </c>
      <c r="S196" s="27" t="s">
        <v>8</v>
      </c>
      <c r="T196" s="27" t="s">
        <v>7</v>
      </c>
      <c r="U196" s="27" t="s">
        <v>8</v>
      </c>
      <c r="X196" s="27" t="s">
        <v>7</v>
      </c>
      <c r="Y196" s="27" t="s">
        <v>8</v>
      </c>
      <c r="Z196" s="27" t="s">
        <v>7</v>
      </c>
      <c r="AA196" s="27" t="s">
        <v>8</v>
      </c>
      <c r="AB196" s="27" t="s">
        <v>7</v>
      </c>
      <c r="AC196" s="27" t="s">
        <v>8</v>
      </c>
      <c r="AD196" s="27" t="s">
        <v>7</v>
      </c>
      <c r="AG196" s="27" t="s">
        <v>8</v>
      </c>
      <c r="AH196" s="27" t="s">
        <v>7</v>
      </c>
      <c r="AI196" s="27" t="s">
        <v>8</v>
      </c>
      <c r="AJ196" s="27" t="s">
        <v>7</v>
      </c>
      <c r="AK196" s="27" t="s">
        <v>8</v>
      </c>
      <c r="AM196" s="27" t="s">
        <v>8</v>
      </c>
      <c r="AO196" s="27" t="s">
        <v>8</v>
      </c>
      <c r="AV196" s="31"/>
      <c r="BX196" s="27" t="s">
        <v>7</v>
      </c>
      <c r="BZ196" s="27" t="s">
        <v>7</v>
      </c>
      <c r="CA196" s="27" t="s">
        <v>8</v>
      </c>
      <c r="CB196" s="27" t="s">
        <v>7</v>
      </c>
      <c r="CC196" s="27" t="s">
        <v>8</v>
      </c>
      <c r="CD196" s="27" t="s">
        <v>7</v>
      </c>
    </row>
    <row r="197" spans="1:82" x14ac:dyDescent="0.25">
      <c r="A197" s="30">
        <v>8.1496669328733109</v>
      </c>
      <c r="E197" t="s">
        <v>8</v>
      </c>
      <c r="F197" s="27" t="s">
        <v>7</v>
      </c>
      <c r="G197" s="27" t="s">
        <v>8</v>
      </c>
      <c r="H197" s="27" t="s">
        <v>7</v>
      </c>
      <c r="I197" s="27" t="s">
        <v>8</v>
      </c>
      <c r="J197" s="27" t="s">
        <v>7</v>
      </c>
      <c r="M197" s="27" t="s">
        <v>8</v>
      </c>
      <c r="N197" s="27" t="s">
        <v>7</v>
      </c>
      <c r="O197" s="27" t="s">
        <v>8</v>
      </c>
      <c r="R197" s="27" t="s">
        <v>7</v>
      </c>
      <c r="S197" s="27" t="s">
        <v>8</v>
      </c>
      <c r="T197" s="27" t="s">
        <v>7</v>
      </c>
      <c r="U197" s="27" t="s">
        <v>8</v>
      </c>
      <c r="X197" s="27" t="s">
        <v>7</v>
      </c>
      <c r="Y197" s="27" t="s">
        <v>8</v>
      </c>
      <c r="Z197" s="27" t="s">
        <v>7</v>
      </c>
      <c r="AA197" s="27" t="s">
        <v>8</v>
      </c>
      <c r="AB197" s="27" t="s">
        <v>7</v>
      </c>
      <c r="AC197" s="27" t="s">
        <v>8</v>
      </c>
      <c r="AD197" s="27" t="s">
        <v>7</v>
      </c>
      <c r="AG197" s="27" t="s">
        <v>8</v>
      </c>
      <c r="AH197" s="27" t="s">
        <v>7</v>
      </c>
      <c r="AI197" s="27" t="s">
        <v>8</v>
      </c>
      <c r="AJ197" s="27" t="s">
        <v>7</v>
      </c>
      <c r="AK197" s="27" t="s">
        <v>8</v>
      </c>
      <c r="AL197" s="27" t="s">
        <v>7</v>
      </c>
      <c r="AM197" s="27" t="s">
        <v>8</v>
      </c>
      <c r="AN197" s="27" t="s">
        <v>7</v>
      </c>
      <c r="AO197" s="27" t="s">
        <v>8</v>
      </c>
      <c r="AU197" s="31"/>
      <c r="BZ197" s="27" t="s">
        <v>7</v>
      </c>
      <c r="CB197" s="27" t="s">
        <v>7</v>
      </c>
      <c r="CD197" s="27" t="s">
        <v>7</v>
      </c>
    </row>
    <row r="198" spans="1:82" x14ac:dyDescent="0.25">
      <c r="A198" s="30">
        <v>7.7615875551174378</v>
      </c>
      <c r="E198" t="s">
        <v>8</v>
      </c>
      <c r="F198" s="27" t="s">
        <v>7</v>
      </c>
      <c r="G198" s="27" t="s">
        <v>8</v>
      </c>
      <c r="H198" s="27" t="s">
        <v>7</v>
      </c>
      <c r="I198" s="27" t="s">
        <v>8</v>
      </c>
      <c r="J198" s="27" t="s">
        <v>7</v>
      </c>
      <c r="M198" s="27" t="s">
        <v>8</v>
      </c>
      <c r="N198" s="27" t="s">
        <v>7</v>
      </c>
      <c r="O198" s="27" t="s">
        <v>8</v>
      </c>
      <c r="R198" s="27" t="s">
        <v>7</v>
      </c>
      <c r="T198" s="27" t="s">
        <v>7</v>
      </c>
      <c r="U198" s="27" t="s">
        <v>8</v>
      </c>
      <c r="X198" s="27" t="s">
        <v>7</v>
      </c>
      <c r="Y198" s="27" t="s">
        <v>8</v>
      </c>
      <c r="Z198" s="27" t="s">
        <v>7</v>
      </c>
      <c r="AB198" s="27" t="s">
        <v>7</v>
      </c>
      <c r="AC198" s="27" t="s">
        <v>8</v>
      </c>
      <c r="AD198" s="27" t="s">
        <v>7</v>
      </c>
      <c r="AG198" s="27" t="s">
        <v>8</v>
      </c>
      <c r="AH198" s="27" t="s">
        <v>7</v>
      </c>
      <c r="AI198" s="27" t="s">
        <v>8</v>
      </c>
      <c r="AJ198" s="27" t="s">
        <v>7</v>
      </c>
      <c r="AK198" s="27" t="s">
        <v>8</v>
      </c>
      <c r="AL198" s="27" t="s">
        <v>7</v>
      </c>
      <c r="AM198" s="27" t="s">
        <v>8</v>
      </c>
      <c r="AN198" s="27" t="s">
        <v>7</v>
      </c>
      <c r="AO198" s="27" t="s">
        <v>8</v>
      </c>
      <c r="AT198" s="31"/>
      <c r="CD198" s="27" t="s">
        <v>7</v>
      </c>
    </row>
    <row r="199" spans="1:82" x14ac:dyDescent="0.25">
      <c r="A199" s="30">
        <v>7.3919881477308929</v>
      </c>
      <c r="E199" t="s">
        <v>8</v>
      </c>
      <c r="F199" s="27" t="s">
        <v>7</v>
      </c>
      <c r="G199" s="27" t="s">
        <v>8</v>
      </c>
      <c r="H199" s="27" t="s">
        <v>7</v>
      </c>
      <c r="J199" s="27" t="s">
        <v>7</v>
      </c>
      <c r="M199" s="27" t="s">
        <v>8</v>
      </c>
      <c r="N199" s="27" t="s">
        <v>7</v>
      </c>
      <c r="T199" s="27" t="s">
        <v>7</v>
      </c>
      <c r="U199" s="27" t="s">
        <v>8</v>
      </c>
      <c r="X199" s="27" t="s">
        <v>7</v>
      </c>
      <c r="Y199" s="27" t="s">
        <v>8</v>
      </c>
      <c r="AB199" s="27" t="s">
        <v>7</v>
      </c>
      <c r="AD199" s="27" t="s">
        <v>7</v>
      </c>
      <c r="AG199" s="27" t="s">
        <v>8</v>
      </c>
      <c r="AH199" s="27" t="s">
        <v>7</v>
      </c>
      <c r="AJ199" s="27" t="s">
        <v>7</v>
      </c>
      <c r="AL199" s="27" t="s">
        <v>7</v>
      </c>
      <c r="AN199" s="27" t="s">
        <v>7</v>
      </c>
      <c r="AO199" s="27" t="s">
        <v>8</v>
      </c>
      <c r="AS199" s="31"/>
      <c r="CD199" s="27" t="s">
        <v>7</v>
      </c>
    </row>
    <row r="200" spans="1:82" x14ac:dyDescent="0.25">
      <c r="A200" s="30">
        <v>7.0399887121246598</v>
      </c>
      <c r="E200" t="s">
        <v>8</v>
      </c>
      <c r="F200" s="27" t="s">
        <v>7</v>
      </c>
      <c r="G200" s="27" t="s">
        <v>8</v>
      </c>
      <c r="J200" s="27" t="s">
        <v>7</v>
      </c>
      <c r="M200" s="27" t="s">
        <v>8</v>
      </c>
      <c r="T200" s="27" t="s">
        <v>7</v>
      </c>
      <c r="X200" s="27" t="s">
        <v>7</v>
      </c>
      <c r="AD200" s="27" t="s">
        <v>7</v>
      </c>
      <c r="AG200" s="27" t="s">
        <v>8</v>
      </c>
      <c r="AN200" s="27" t="s">
        <v>7</v>
      </c>
      <c r="AO200" s="27" t="s">
        <v>8</v>
      </c>
      <c r="AR200" s="31"/>
      <c r="CD200" s="27" t="s">
        <v>7</v>
      </c>
    </row>
    <row r="201" spans="1:82" x14ac:dyDescent="0.25">
      <c r="A201" s="30">
        <v>6.7047511544044376</v>
      </c>
      <c r="E201" t="s">
        <v>8</v>
      </c>
      <c r="F201" s="27" t="s">
        <v>7</v>
      </c>
      <c r="G201" s="27" t="s">
        <v>8</v>
      </c>
      <c r="J201" s="27" t="s">
        <v>7</v>
      </c>
      <c r="K201" s="27" t="s">
        <v>8</v>
      </c>
      <c r="M201" s="27" t="s">
        <v>8</v>
      </c>
      <c r="AD201" s="27" t="s">
        <v>7</v>
      </c>
      <c r="AG201" s="27" t="s">
        <v>8</v>
      </c>
      <c r="AN201" s="18" t="s">
        <v>7</v>
      </c>
      <c r="AO201" s="27" t="s">
        <v>8</v>
      </c>
      <c r="AQ201" s="31"/>
      <c r="CD201" s="27" t="s">
        <v>7</v>
      </c>
    </row>
    <row r="202" spans="1:82" x14ac:dyDescent="0.25">
      <c r="A202" s="30">
        <v>6.3854772899089882</v>
      </c>
      <c r="E202" t="s">
        <v>8</v>
      </c>
      <c r="F202" s="27" t="s">
        <v>7</v>
      </c>
      <c r="G202" s="27" t="s">
        <v>8</v>
      </c>
      <c r="J202" s="27" t="s">
        <v>7</v>
      </c>
      <c r="K202" s="27" t="s">
        <v>8</v>
      </c>
      <c r="L202" s="27" t="s">
        <v>7</v>
      </c>
      <c r="M202" s="27" t="s">
        <v>8</v>
      </c>
      <c r="AD202" s="27" t="s">
        <v>7</v>
      </c>
      <c r="AG202" s="27" t="s">
        <v>8</v>
      </c>
      <c r="AN202" s="27" t="s">
        <v>7</v>
      </c>
      <c r="AP202" s="31"/>
      <c r="CD202" s="27" t="s">
        <v>7</v>
      </c>
    </row>
    <row r="203" spans="1:82" x14ac:dyDescent="0.25">
      <c r="A203" s="30">
        <v>6.0814069427704647</v>
      </c>
      <c r="C203" s="7"/>
      <c r="D203"/>
      <c r="E203" t="s">
        <v>8</v>
      </c>
      <c r="F203" s="27" t="s">
        <v>7</v>
      </c>
      <c r="G203" s="27" t="s">
        <v>8</v>
      </c>
      <c r="J203" s="27" t="s">
        <v>7</v>
      </c>
      <c r="K203" s="27" t="s">
        <v>8</v>
      </c>
      <c r="L203" s="27" t="s">
        <v>7</v>
      </c>
      <c r="M203" s="27" t="s">
        <v>8</v>
      </c>
      <c r="AD203" s="27" t="s">
        <v>7</v>
      </c>
      <c r="AG203" s="27" t="s">
        <v>8</v>
      </c>
      <c r="AO203" s="31"/>
      <c r="CD203" s="27" t="s">
        <v>7</v>
      </c>
    </row>
    <row r="204" spans="1:82" x14ac:dyDescent="0.25">
      <c r="A204" s="30">
        <v>5.7918161359718709</v>
      </c>
      <c r="E204" t="s">
        <v>8</v>
      </c>
      <c r="F204" s="27" t="s">
        <v>7</v>
      </c>
      <c r="J204" s="27" t="s">
        <v>7</v>
      </c>
      <c r="L204" s="27" t="s">
        <v>7</v>
      </c>
      <c r="M204" s="27" t="s">
        <v>8</v>
      </c>
      <c r="AD204" s="27" t="s">
        <v>7</v>
      </c>
      <c r="AE204" s="27" t="s">
        <v>8</v>
      </c>
      <c r="AG204" s="27" t="s">
        <v>8</v>
      </c>
      <c r="AN204" s="31"/>
      <c r="CD204" s="27" t="s">
        <v>7</v>
      </c>
    </row>
    <row r="205" spans="1:82" x14ac:dyDescent="0.25">
      <c r="A205" s="30">
        <v>5.5160153675922574</v>
      </c>
      <c r="E205" t="s">
        <v>8</v>
      </c>
      <c r="L205" s="27" t="s">
        <v>7</v>
      </c>
      <c r="M205" s="27" t="s">
        <v>8</v>
      </c>
      <c r="AD205" s="27" t="s">
        <v>7</v>
      </c>
      <c r="AE205" s="27" t="s">
        <v>8</v>
      </c>
      <c r="AF205" s="27" t="s">
        <v>7</v>
      </c>
      <c r="AG205" s="27" t="s">
        <v>8</v>
      </c>
      <c r="AM205" s="31"/>
      <c r="CD205" s="27" t="s">
        <v>7</v>
      </c>
    </row>
    <row r="206" spans="1:82" x14ac:dyDescent="0.25">
      <c r="A206" s="30">
        <v>5.2533479691354827</v>
      </c>
      <c r="C206"/>
      <c r="D206"/>
      <c r="E206" t="s">
        <v>8</v>
      </c>
      <c r="L206" s="27" t="s">
        <v>7</v>
      </c>
      <c r="AD206" s="27" t="s">
        <v>7</v>
      </c>
      <c r="AE206" s="27" t="s">
        <v>8</v>
      </c>
      <c r="AF206" s="27" t="s">
        <v>7</v>
      </c>
      <c r="AG206" s="27" t="s">
        <v>8</v>
      </c>
      <c r="AL206" s="31"/>
    </row>
    <row r="207" spans="1:82" x14ac:dyDescent="0.25">
      <c r="A207" s="30">
        <v>5.0031885420337927</v>
      </c>
      <c r="E207" t="s">
        <v>8</v>
      </c>
      <c r="AD207" s="27" t="s">
        <v>7</v>
      </c>
      <c r="AE207" s="27" t="s">
        <v>8</v>
      </c>
      <c r="AF207" s="27" t="s">
        <v>7</v>
      </c>
      <c r="AG207" s="27" t="s">
        <v>8</v>
      </c>
      <c r="AK207" s="31"/>
    </row>
    <row r="208" spans="1:82" x14ac:dyDescent="0.25">
      <c r="A208" s="30">
        <v>4.7649414686036122</v>
      </c>
      <c r="E208" t="s">
        <v>8</v>
      </c>
      <c r="AD208" s="27" t="s">
        <v>7</v>
      </c>
      <c r="AE208" s="27" t="s">
        <v>8</v>
      </c>
      <c r="AF208" s="27" t="s">
        <v>7</v>
      </c>
      <c r="AG208" s="27" t="s">
        <v>8</v>
      </c>
      <c r="AJ208" s="31"/>
    </row>
    <row r="209" spans="1:35" x14ac:dyDescent="0.25">
      <c r="A209" s="30">
        <v>4.5380394939082018</v>
      </c>
      <c r="E209" t="s">
        <v>8</v>
      </c>
      <c r="AD209" s="27" t="s">
        <v>7</v>
      </c>
      <c r="AE209" s="27" t="s">
        <v>8</v>
      </c>
      <c r="AF209" s="27" t="s">
        <v>7</v>
      </c>
      <c r="AG209" s="27" t="s">
        <v>8</v>
      </c>
      <c r="AI209" s="31"/>
    </row>
    <row r="210" spans="1:35" x14ac:dyDescent="0.25">
      <c r="A210" s="30">
        <v>4.3219423751506678</v>
      </c>
      <c r="C210"/>
      <c r="E210" t="s">
        <v>8</v>
      </c>
      <c r="AD210" s="27" t="s">
        <v>7</v>
      </c>
      <c r="AE210" s="27" t="s">
        <v>8</v>
      </c>
      <c r="AF210" s="27" t="s">
        <v>7</v>
      </c>
      <c r="AG210" s="27" t="s">
        <v>8</v>
      </c>
      <c r="AH210" s="31"/>
    </row>
    <row r="211" spans="1:35" x14ac:dyDescent="0.25">
      <c r="A211" s="30">
        <v>4.1161355953815884</v>
      </c>
      <c r="E211" t="s">
        <v>8</v>
      </c>
      <c r="AD211" s="27" t="s">
        <v>7</v>
      </c>
      <c r="AE211" s="27" t="s">
        <v>8</v>
      </c>
      <c r="AF211" s="27" t="s">
        <v>7</v>
      </c>
      <c r="AG211" s="31" t="s">
        <v>8</v>
      </c>
    </row>
    <row r="212" spans="1:35" x14ac:dyDescent="0.25">
      <c r="A212" s="30">
        <v>3.9201291384586554</v>
      </c>
      <c r="E212" t="s">
        <v>8</v>
      </c>
      <c r="AD212" s="27" t="s">
        <v>7</v>
      </c>
      <c r="AE212" s="27" t="s">
        <v>8</v>
      </c>
      <c r="AF212" s="31" t="s">
        <v>7</v>
      </c>
    </row>
    <row r="213" spans="1:35" x14ac:dyDescent="0.25">
      <c r="A213" s="30">
        <v>3.7334563223415764</v>
      </c>
      <c r="E213" t="s">
        <v>8</v>
      </c>
      <c r="AD213" s="27" t="s">
        <v>7</v>
      </c>
    </row>
    <row r="214" spans="1:35" x14ac:dyDescent="0.25">
      <c r="A214" s="30">
        <v>3.5556726879443583</v>
      </c>
      <c r="E214" t="s">
        <v>8</v>
      </c>
    </row>
    <row r="215" spans="1:35" x14ac:dyDescent="0.25">
      <c r="A215" s="30">
        <v>3.3863549408993889</v>
      </c>
      <c r="E215" t="s">
        <v>8</v>
      </c>
    </row>
    <row r="216" spans="1:35" x14ac:dyDescent="0.25">
      <c r="A216" s="30">
        <v>3.2250999437137038</v>
      </c>
      <c r="E216" t="s">
        <v>8</v>
      </c>
    </row>
    <row r="217" spans="1:35" x14ac:dyDescent="0.25">
      <c r="A217" s="30">
        <v>3.0715237559178128</v>
      </c>
      <c r="E217" t="s">
        <v>8</v>
      </c>
    </row>
    <row r="218" spans="1:35" x14ac:dyDescent="0.25">
      <c r="A218" s="30">
        <v>2.9252607199217264</v>
      </c>
      <c r="E218" t="s">
        <v>8</v>
      </c>
    </row>
    <row r="219" spans="1:35" x14ac:dyDescent="0.25">
      <c r="A219" s="30">
        <v>2.7859625904016441</v>
      </c>
      <c r="E219" t="s">
        <v>8</v>
      </c>
    </row>
    <row r="220" spans="1:35" x14ac:dyDescent="0.25">
      <c r="A220" s="30">
        <v>2.6532977051444226</v>
      </c>
      <c r="E220" t="s">
        <v>8</v>
      </c>
    </row>
    <row r="221" spans="1:35" x14ac:dyDescent="0.25">
      <c r="A221" s="30">
        <v>2.5269501953756404</v>
      </c>
      <c r="E221" t="s">
        <v>8</v>
      </c>
    </row>
    <row r="222" spans="1:35" x14ac:dyDescent="0.25">
      <c r="A222" s="30">
        <v>2.4066192336910861</v>
      </c>
      <c r="E222" t="s">
        <v>8</v>
      </c>
    </row>
    <row r="223" spans="1:35" x14ac:dyDescent="0.25">
      <c r="A223" s="30">
        <v>2.2920183178010345</v>
      </c>
      <c r="E223" t="s">
        <v>8</v>
      </c>
    </row>
    <row r="224" spans="1:3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35" operator="equal">
      <formula>$U$1</formula>
    </cfRule>
    <cfRule type="cellIs" dxfId="67" priority="736" operator="equal">
      <formula>$S$1</formula>
    </cfRule>
  </conditionalFormatting>
  <conditionalFormatting sqref="D136">
    <cfRule type="cellIs" dxfId="66" priority="733" operator="equal">
      <formula>$S$1</formula>
    </cfRule>
    <cfRule type="cellIs" dxfId="65" priority="734" operator="equal">
      <formula>$U$1</formula>
    </cfRule>
  </conditionalFormatting>
  <conditionalFormatting sqref="C162">
    <cfRule type="cellIs" dxfId="64" priority="731" operator="equal">
      <formula>$U$1</formula>
    </cfRule>
    <cfRule type="cellIs" dxfId="63" priority="732" operator="equal">
      <formula>$S$1</formula>
    </cfRule>
  </conditionalFormatting>
  <conditionalFormatting sqref="D162">
    <cfRule type="cellIs" dxfId="62" priority="729" operator="equal">
      <formula>$S$1</formula>
    </cfRule>
    <cfRule type="cellIs" dxfId="61" priority="730" operator="equal">
      <formula>$U$1</formula>
    </cfRule>
  </conditionalFormatting>
  <conditionalFormatting sqref="C187">
    <cfRule type="cellIs" dxfId="60" priority="727" operator="equal">
      <formula>$U$1</formula>
    </cfRule>
    <cfRule type="cellIs" dxfId="59" priority="728" operator="equal">
      <formula>$S$1</formula>
    </cfRule>
  </conditionalFormatting>
  <conditionalFormatting sqref="D187">
    <cfRule type="cellIs" dxfId="58" priority="725" operator="equal">
      <formula>$S$1</formula>
    </cfRule>
    <cfRule type="cellIs" dxfId="57" priority="726" operator="equal">
      <formula>$U$1</formula>
    </cfRule>
  </conditionalFormatting>
  <conditionalFormatting sqref="C212">
    <cfRule type="cellIs" dxfId="56" priority="723" operator="equal">
      <formula>$U$1</formula>
    </cfRule>
    <cfRule type="cellIs" dxfId="55" priority="724" operator="equal">
      <formula>$S$1</formula>
    </cfRule>
  </conditionalFormatting>
  <conditionalFormatting sqref="D212">
    <cfRule type="cellIs" dxfId="54" priority="721" operator="equal">
      <formula>$S$1</formula>
    </cfRule>
    <cfRule type="cellIs" dxfId="53" priority="722" operator="equal">
      <formula>$U$1</formula>
    </cfRule>
  </conditionalFormatting>
  <conditionalFormatting sqref="C237">
    <cfRule type="cellIs" dxfId="52" priority="719" operator="equal">
      <formula>$U$1</formula>
    </cfRule>
    <cfRule type="cellIs" dxfId="51" priority="720" operator="equal">
      <formula>$S$1</formula>
    </cfRule>
  </conditionalFormatting>
  <conditionalFormatting sqref="D237">
    <cfRule type="cellIs" dxfId="50" priority="717" operator="equal">
      <formula>$S$1</formula>
    </cfRule>
    <cfRule type="cellIs" dxfId="49" priority="718" operator="equal">
      <formula>$U$1</formula>
    </cfRule>
  </conditionalFormatting>
  <conditionalFormatting sqref="C106">
    <cfRule type="cellIs" dxfId="48" priority="715" operator="equal">
      <formula>$U$1</formula>
    </cfRule>
    <cfRule type="cellIs" dxfId="47" priority="716" operator="equal">
      <formula>$S$1</formula>
    </cfRule>
  </conditionalFormatting>
  <conditionalFormatting sqref="D106">
    <cfRule type="cellIs" dxfId="46" priority="713" operator="equal">
      <formula>$S$1</formula>
    </cfRule>
    <cfRule type="cellIs" dxfId="45" priority="714" operator="equal">
      <formula>$U$1</formula>
    </cfRule>
  </conditionalFormatting>
  <conditionalFormatting sqref="C81">
    <cfRule type="cellIs" dxfId="44" priority="711" operator="equal">
      <formula>$U$1</formula>
    </cfRule>
    <cfRule type="cellIs" dxfId="43" priority="712" operator="equal">
      <formula>$S$1</formula>
    </cfRule>
  </conditionalFormatting>
  <conditionalFormatting sqref="D81">
    <cfRule type="cellIs" dxfId="42" priority="709" operator="equal">
      <formula>$S$1</formula>
    </cfRule>
    <cfRule type="cellIs" dxfId="41" priority="710" operator="equal">
      <formula>$U$1</formula>
    </cfRule>
  </conditionalFormatting>
  <conditionalFormatting sqref="C56">
    <cfRule type="cellIs" dxfId="40" priority="707" operator="equal">
      <formula>$U$1</formula>
    </cfRule>
    <cfRule type="cellIs" dxfId="39" priority="708" operator="equal">
      <formula>$S$1</formula>
    </cfRule>
  </conditionalFormatting>
  <conditionalFormatting sqref="D56">
    <cfRule type="cellIs" dxfId="38" priority="705" operator="equal">
      <formula>$S$1</formula>
    </cfRule>
    <cfRule type="cellIs" dxfId="37" priority="706" operator="equal">
      <formula>$U$1</formula>
    </cfRule>
  </conditionalFormatting>
  <conditionalFormatting sqref="C31">
    <cfRule type="cellIs" dxfId="36" priority="703" operator="equal">
      <formula>$U$1</formula>
    </cfRule>
    <cfRule type="cellIs" dxfId="35" priority="704" operator="equal">
      <formula>$S$1</formula>
    </cfRule>
  </conditionalFormatting>
  <conditionalFormatting sqref="D31">
    <cfRule type="cellIs" dxfId="34" priority="701" operator="equal">
      <formula>$S$1</formula>
    </cfRule>
    <cfRule type="cellIs" dxfId="33" priority="70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85" zoomScale="90" zoomScaleNormal="90" workbookViewId="0">
      <pane xSplit="4" topLeftCell="G1" activePane="topRight" state="frozen"/>
      <selection activeCell="A109" sqref="A109"/>
      <selection pane="topRight" activeCell="AD103" sqref="AD10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31" x14ac:dyDescent="0.25">
      <c r="A81" s="30">
        <v>45.259255568176073</v>
      </c>
      <c r="E81"/>
    </row>
    <row r="82" spans="1:31" x14ac:dyDescent="0.25">
      <c r="A82" s="30">
        <v>41.144777789250973</v>
      </c>
      <c r="E82"/>
    </row>
    <row r="83" spans="1:31" x14ac:dyDescent="0.25">
      <c r="A83" s="30">
        <v>37.404343444773609</v>
      </c>
      <c r="E83"/>
    </row>
    <row r="84" spans="1:31" x14ac:dyDescent="0.25">
      <c r="A84" s="30">
        <v>34.003948586157826</v>
      </c>
      <c r="E84"/>
    </row>
    <row r="85" spans="1:31" x14ac:dyDescent="0.25">
      <c r="A85" s="30">
        <v>30.912680532870748</v>
      </c>
      <c r="E85"/>
    </row>
    <row r="86" spans="1:31" x14ac:dyDescent="0.25">
      <c r="A86" s="30">
        <v>28.102436848064315</v>
      </c>
      <c r="E86"/>
    </row>
    <row r="87" spans="1:31" x14ac:dyDescent="0.25">
      <c r="A87" s="30">
        <v>25.547669861876649</v>
      </c>
      <c r="E87"/>
      <c r="Y87" s="27" t="s">
        <v>8</v>
      </c>
    </row>
    <row r="88" spans="1:31" x14ac:dyDescent="0.25">
      <c r="A88" s="30">
        <v>23.225154419887861</v>
      </c>
      <c r="E88"/>
      <c r="Y88" s="27" t="s">
        <v>8</v>
      </c>
      <c r="Z88" s="27" t="s">
        <v>7</v>
      </c>
    </row>
    <row r="89" spans="1:31" x14ac:dyDescent="0.25">
      <c r="A89" s="30">
        <v>21.113776745352599</v>
      </c>
      <c r="E89"/>
      <c r="Y89" s="27" t="s">
        <v>8</v>
      </c>
      <c r="Z89" s="27" t="s">
        <v>7</v>
      </c>
      <c r="AC89" s="31" t="s">
        <v>8</v>
      </c>
    </row>
    <row r="90" spans="1:31" x14ac:dyDescent="0.25">
      <c r="A90" s="30">
        <v>19.194342495775089</v>
      </c>
      <c r="E90"/>
      <c r="Y90" s="27" t="s">
        <v>8</v>
      </c>
      <c r="Z90" s="27" t="s">
        <v>7</v>
      </c>
      <c r="AC90" s="27" t="s">
        <v>8</v>
      </c>
      <c r="AD90" s="31" t="s">
        <v>7</v>
      </c>
    </row>
    <row r="91" spans="1:31" x14ac:dyDescent="0.25">
      <c r="A91" s="30">
        <v>17.449402268886445</v>
      </c>
      <c r="E91"/>
      <c r="Y91" s="27" t="s">
        <v>8</v>
      </c>
      <c r="Z91" s="27" t="s">
        <v>7</v>
      </c>
      <c r="AA91" s="27" t="s">
        <v>8</v>
      </c>
      <c r="AC91" s="27" t="s">
        <v>8</v>
      </c>
      <c r="AD91" s="27" t="s">
        <v>7</v>
      </c>
      <c r="AE91" s="31"/>
    </row>
    <row r="92" spans="1:31" x14ac:dyDescent="0.25">
      <c r="A92" s="30">
        <v>15.863092971714948</v>
      </c>
      <c r="C92" s="1" t="s">
        <v>15</v>
      </c>
      <c r="E92"/>
      <c r="Y92" s="27" t="s">
        <v>8</v>
      </c>
      <c r="Z92" s="27" t="s">
        <v>7</v>
      </c>
      <c r="AA92" s="27" t="s">
        <v>8</v>
      </c>
      <c r="AB92" s="27" t="s">
        <v>7</v>
      </c>
      <c r="AC92" s="27" t="s">
        <v>8</v>
      </c>
      <c r="AD92" s="27" t="s">
        <v>7</v>
      </c>
    </row>
    <row r="93" spans="1:31" x14ac:dyDescent="0.25">
      <c r="A93" s="30">
        <v>14.420993610649951</v>
      </c>
      <c r="C93" s="7">
        <v>0.11167815779424731</v>
      </c>
      <c r="D93"/>
      <c r="E93"/>
      <c r="M93" s="27" t="s">
        <v>8</v>
      </c>
      <c r="Y93" s="27" t="s">
        <v>8</v>
      </c>
      <c r="Z93" s="27" t="s">
        <v>7</v>
      </c>
      <c r="AA93" s="27" t="s">
        <v>8</v>
      </c>
      <c r="AB93" s="27" t="s">
        <v>7</v>
      </c>
      <c r="AC93" s="27" t="s">
        <v>8</v>
      </c>
      <c r="AD93" s="27" t="s">
        <v>7</v>
      </c>
    </row>
    <row r="94" spans="1:31" x14ac:dyDescent="0.25">
      <c r="A94" s="30">
        <v>13.109994191499954</v>
      </c>
      <c r="E94"/>
      <c r="M94" s="27" t="s">
        <v>8</v>
      </c>
      <c r="N94" s="27" t="s">
        <v>7</v>
      </c>
      <c r="Y94" s="27" t="s">
        <v>8</v>
      </c>
      <c r="Z94" s="27" t="s">
        <v>7</v>
      </c>
      <c r="AA94" s="27" t="s">
        <v>8</v>
      </c>
      <c r="AB94" s="27" t="s">
        <v>7</v>
      </c>
      <c r="AD94" s="27" t="s">
        <v>7</v>
      </c>
    </row>
    <row r="95" spans="1:31" x14ac:dyDescent="0.25">
      <c r="A95" s="30">
        <v>11.918176537727231</v>
      </c>
      <c r="C95" s="1" t="s">
        <v>11</v>
      </c>
      <c r="D95" s="1" t="s">
        <v>12</v>
      </c>
      <c r="E95"/>
      <c r="I95" s="27" t="s">
        <v>8</v>
      </c>
      <c r="K95" s="27" t="s">
        <v>8</v>
      </c>
      <c r="M95" s="27" t="s">
        <v>8</v>
      </c>
      <c r="N95" s="27" t="s">
        <v>7</v>
      </c>
      <c r="Y95" s="27" t="s">
        <v>8</v>
      </c>
      <c r="Z95" s="27" t="s">
        <v>7</v>
      </c>
      <c r="AA95" s="27" t="s">
        <v>8</v>
      </c>
      <c r="AD95" s="27" t="s">
        <v>7</v>
      </c>
    </row>
    <row r="96" spans="1:31" x14ac:dyDescent="0.25">
      <c r="A96" s="30">
        <v>10.834705943388391</v>
      </c>
      <c r="C96"/>
      <c r="D96"/>
      <c r="E96"/>
      <c r="G96" s="27" t="s">
        <v>8</v>
      </c>
      <c r="I96" s="27" t="s">
        <v>8</v>
      </c>
      <c r="J96" s="27" t="s">
        <v>7</v>
      </c>
      <c r="K96" s="27" t="s">
        <v>8</v>
      </c>
      <c r="L96" s="27" t="s">
        <v>7</v>
      </c>
      <c r="M96" s="27" t="s">
        <v>8</v>
      </c>
      <c r="N96" s="27" t="s">
        <v>7</v>
      </c>
      <c r="O96" s="27" t="s">
        <v>8</v>
      </c>
      <c r="Q96" s="27" t="s">
        <v>8</v>
      </c>
      <c r="W96" s="27" t="s">
        <v>8</v>
      </c>
      <c r="Y96" s="27" t="s">
        <v>8</v>
      </c>
      <c r="Z96" s="27" t="s">
        <v>7</v>
      </c>
      <c r="AD96" s="27" t="s">
        <v>7</v>
      </c>
    </row>
    <row r="97" spans="1:31" x14ac:dyDescent="0.25">
      <c r="A97" s="30">
        <v>9.849732675807628</v>
      </c>
      <c r="E97" t="s">
        <v>8</v>
      </c>
      <c r="G97" s="27" t="s">
        <v>8</v>
      </c>
      <c r="H97" s="27" t="s">
        <v>7</v>
      </c>
      <c r="I97" s="27" t="s">
        <v>8</v>
      </c>
      <c r="J97" s="27" t="s">
        <v>7</v>
      </c>
      <c r="K97" s="27" t="s">
        <v>8</v>
      </c>
      <c r="L97" s="27" t="s">
        <v>7</v>
      </c>
      <c r="M97" s="27" t="s">
        <v>8</v>
      </c>
      <c r="N97" s="27" t="s">
        <v>7</v>
      </c>
      <c r="O97" s="27" t="s">
        <v>8</v>
      </c>
      <c r="P97" s="27" t="s">
        <v>7</v>
      </c>
      <c r="Q97" s="27" t="s">
        <v>8</v>
      </c>
      <c r="R97" s="27" t="s">
        <v>7</v>
      </c>
      <c r="S97" s="27" t="s">
        <v>8</v>
      </c>
      <c r="W97" s="27" t="s">
        <v>8</v>
      </c>
      <c r="X97" s="27" t="s">
        <v>7</v>
      </c>
      <c r="Y97" s="27" t="s">
        <v>8</v>
      </c>
      <c r="AD97" s="27" t="s">
        <v>7</v>
      </c>
    </row>
    <row r="98" spans="1:31" x14ac:dyDescent="0.25">
      <c r="A98" s="30">
        <v>8.9543024325523888</v>
      </c>
      <c r="C98" s="1" t="s">
        <v>13</v>
      </c>
      <c r="E98" t="s">
        <v>8</v>
      </c>
      <c r="F98" s="27" t="s">
        <v>7</v>
      </c>
      <c r="G98" s="27" t="s">
        <v>8</v>
      </c>
      <c r="H98" s="27" t="s">
        <v>7</v>
      </c>
      <c r="I98" s="27" t="s">
        <v>8</v>
      </c>
      <c r="J98" s="27" t="s">
        <v>7</v>
      </c>
      <c r="L98" s="27" t="s">
        <v>7</v>
      </c>
      <c r="M98" s="27" t="s">
        <v>8</v>
      </c>
      <c r="N98" s="27" t="s">
        <v>7</v>
      </c>
      <c r="O98" s="27" t="s">
        <v>8</v>
      </c>
      <c r="P98" s="27" t="s">
        <v>7</v>
      </c>
      <c r="Q98" s="27" t="s">
        <v>8</v>
      </c>
      <c r="R98" s="27" t="s">
        <v>7</v>
      </c>
      <c r="S98" s="27" t="s">
        <v>8</v>
      </c>
      <c r="T98" s="27" t="s">
        <v>7</v>
      </c>
      <c r="W98" s="27" t="s">
        <v>8</v>
      </c>
      <c r="X98" s="27" t="s">
        <v>7</v>
      </c>
      <c r="Y98" s="27" t="s">
        <v>8</v>
      </c>
      <c r="AD98" s="27" t="s">
        <v>7</v>
      </c>
      <c r="AE98" s="31"/>
    </row>
    <row r="99" spans="1:31" x14ac:dyDescent="0.25">
      <c r="A99" s="30">
        <v>8.140274938683989</v>
      </c>
      <c r="C99" s="1">
        <f>C88</f>
        <v>0</v>
      </c>
      <c r="E99" t="s">
        <v>8</v>
      </c>
      <c r="F99" s="27" t="s">
        <v>7</v>
      </c>
      <c r="G99" s="27" t="s">
        <v>8</v>
      </c>
      <c r="H99" s="27" t="s">
        <v>7</v>
      </c>
      <c r="I99" s="27" t="s">
        <v>8</v>
      </c>
      <c r="L99" s="27" t="s">
        <v>7</v>
      </c>
      <c r="N99" s="27" t="s">
        <v>7</v>
      </c>
      <c r="O99" s="27" t="s">
        <v>8</v>
      </c>
      <c r="P99" s="27" t="s">
        <v>7</v>
      </c>
      <c r="Q99" s="27" t="s">
        <v>8</v>
      </c>
      <c r="R99" s="27" t="s">
        <v>7</v>
      </c>
      <c r="S99" s="27" t="s">
        <v>8</v>
      </c>
      <c r="T99" s="27" t="s">
        <v>7</v>
      </c>
      <c r="W99" s="27" t="s">
        <v>8</v>
      </c>
      <c r="X99" s="27" t="s">
        <v>7</v>
      </c>
      <c r="Y99" s="27" t="s">
        <v>8</v>
      </c>
      <c r="AD99" s="31" t="s">
        <v>7</v>
      </c>
    </row>
    <row r="100" spans="1:31" x14ac:dyDescent="0.25">
      <c r="A100" s="30">
        <v>7.4002499442581717</v>
      </c>
      <c r="C100"/>
      <c r="D100"/>
      <c r="E100" t="s">
        <v>8</v>
      </c>
      <c r="F100" s="27" t="s">
        <v>7</v>
      </c>
      <c r="G100" s="27" t="s">
        <v>8</v>
      </c>
      <c r="H100" s="27" t="s">
        <v>7</v>
      </c>
      <c r="I100" s="27" t="s">
        <v>8</v>
      </c>
      <c r="N100" s="27" t="s">
        <v>7</v>
      </c>
      <c r="P100" s="27" t="s">
        <v>7</v>
      </c>
      <c r="R100" s="27" t="s">
        <v>7</v>
      </c>
      <c r="T100" s="27" t="s">
        <v>7</v>
      </c>
      <c r="W100" s="27" t="s">
        <v>8</v>
      </c>
      <c r="X100" s="27" t="s">
        <v>7</v>
      </c>
      <c r="Y100" s="27" t="s">
        <v>8</v>
      </c>
      <c r="AC100" s="31"/>
      <c r="AD100" s="27" t="s">
        <v>7</v>
      </c>
    </row>
    <row r="101" spans="1:31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G101" s="27" t="s">
        <v>8</v>
      </c>
      <c r="H101" s="27" t="s">
        <v>7</v>
      </c>
      <c r="I101" s="27" t="s">
        <v>8</v>
      </c>
      <c r="T101" s="27" t="s">
        <v>7</v>
      </c>
      <c r="W101" s="27" t="s">
        <v>8</v>
      </c>
      <c r="X101" s="18" t="s">
        <v>7</v>
      </c>
      <c r="Y101" s="27" t="s">
        <v>8</v>
      </c>
      <c r="AB101" s="31"/>
      <c r="AD101" s="27" t="s">
        <v>7</v>
      </c>
    </row>
    <row r="102" spans="1:31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H102" s="27" t="s">
        <v>7</v>
      </c>
      <c r="I102" s="27" t="s">
        <v>8</v>
      </c>
      <c r="T102" s="27" t="s">
        <v>7</v>
      </c>
      <c r="W102" s="27" t="s">
        <v>8</v>
      </c>
      <c r="X102" s="27" t="s">
        <v>7</v>
      </c>
      <c r="AA102" s="31"/>
      <c r="AD102" s="27" t="s">
        <v>7</v>
      </c>
    </row>
    <row r="103" spans="1:31" x14ac:dyDescent="0.25">
      <c r="A103" s="30">
        <v>5.5599173134922388</v>
      </c>
      <c r="E103" t="s">
        <v>8</v>
      </c>
      <c r="H103" s="27" t="s">
        <v>7</v>
      </c>
      <c r="T103" s="27" t="s">
        <v>7</v>
      </c>
      <c r="U103" s="27" t="s">
        <v>8</v>
      </c>
      <c r="W103" s="27" t="s">
        <v>8</v>
      </c>
      <c r="Z103" s="31"/>
      <c r="AD103" s="27" t="s">
        <v>7</v>
      </c>
    </row>
    <row r="104" spans="1:31" x14ac:dyDescent="0.25">
      <c r="A104" s="30">
        <v>5.0544702849929442</v>
      </c>
      <c r="E104" t="s">
        <v>8</v>
      </c>
      <c r="T104" s="27" t="s">
        <v>7</v>
      </c>
      <c r="U104" s="27" t="s">
        <v>8</v>
      </c>
      <c r="V104" s="27" t="s">
        <v>7</v>
      </c>
      <c r="W104" s="27" t="s">
        <v>8</v>
      </c>
      <c r="Y104" s="31"/>
    </row>
    <row r="105" spans="1:31" x14ac:dyDescent="0.25">
      <c r="A105" s="30">
        <v>4.594972986357222</v>
      </c>
      <c r="E105" t="s">
        <v>8</v>
      </c>
      <c r="T105" s="27" t="s">
        <v>7</v>
      </c>
      <c r="U105" s="27" t="s">
        <v>8</v>
      </c>
      <c r="V105" s="27" t="s">
        <v>7</v>
      </c>
      <c r="W105" s="27" t="s">
        <v>8</v>
      </c>
      <c r="X105" s="31"/>
    </row>
    <row r="106" spans="1:31" x14ac:dyDescent="0.25">
      <c r="A106" s="30">
        <v>4.1772481694156562</v>
      </c>
      <c r="E106" t="s">
        <v>8</v>
      </c>
      <c r="T106" s="27" t="s">
        <v>7</v>
      </c>
      <c r="U106" s="27" t="s">
        <v>8</v>
      </c>
      <c r="V106" s="27" t="s">
        <v>7</v>
      </c>
      <c r="W106" s="31" t="s">
        <v>8</v>
      </c>
    </row>
    <row r="107" spans="1:31" x14ac:dyDescent="0.25">
      <c r="A107" s="30">
        <v>3.7974983358324148</v>
      </c>
      <c r="E107" t="s">
        <v>8</v>
      </c>
      <c r="T107" s="27" t="s">
        <v>7</v>
      </c>
      <c r="V107" s="31" t="s">
        <v>7</v>
      </c>
    </row>
    <row r="108" spans="1:31" x14ac:dyDescent="0.25">
      <c r="A108" s="30">
        <v>3.4522712143931042</v>
      </c>
      <c r="E108" t="s">
        <v>8</v>
      </c>
    </row>
    <row r="109" spans="1:31" x14ac:dyDescent="0.25">
      <c r="A109" s="30">
        <v>3.1384283767210035</v>
      </c>
      <c r="E109" t="s">
        <v>8</v>
      </c>
    </row>
    <row r="110" spans="1:31" x14ac:dyDescent="0.25">
      <c r="A110" s="30">
        <v>2.8531167061100029</v>
      </c>
      <c r="E110" t="s">
        <v>8</v>
      </c>
    </row>
    <row r="111" spans="1:31" x14ac:dyDescent="0.25">
      <c r="A111" s="30">
        <v>2.5937424601000023</v>
      </c>
      <c r="C111" s="1" t="str">
        <f>ADDRESS(C121-1,1,1,1)</f>
        <v>$A$102</v>
      </c>
      <c r="D111" s="1" t="str">
        <f>ADDRESS(C121-1,D121,1,1)</f>
        <v>$AD$102</v>
      </c>
      <c r="E111" t="s">
        <v>8</v>
      </c>
    </row>
    <row r="112" spans="1:31" x14ac:dyDescent="0.25">
      <c r="A112" s="30">
        <v>2.3579476910000019</v>
      </c>
      <c r="C112" s="1" t="str">
        <f>ADDRESS(C121,1,1,1)</f>
        <v>$A$103</v>
      </c>
      <c r="D112" s="1" t="str">
        <f>ADDRESS(C121,D121-1,1,1)</f>
        <v>$AC$103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$A$104</v>
      </c>
      <c r="D113" s="1" t="str">
        <f>ADDRESS(C121-1,D121+1,1,1)</f>
        <v>$AE$102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$AD$103</v>
      </c>
      <c r="D114" s="1" t="str">
        <f>ADDRESS(C121+1,D121+1,1,1)</f>
        <v>$AE$104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$AD$104</v>
      </c>
      <c r="E115" s="1" t="s">
        <v>8</v>
      </c>
    </row>
    <row r="116" spans="1:5" x14ac:dyDescent="0.25">
      <c r="A116" s="30">
        <v>1.6105100000000008</v>
      </c>
      <c r="C116" s="1">
        <f>C117-1</f>
        <v>102</v>
      </c>
      <c r="E116" s="1" t="s">
        <v>8</v>
      </c>
    </row>
    <row r="117" spans="1:5" x14ac:dyDescent="0.25">
      <c r="A117" s="30">
        <v>1.4641000000000006</v>
      </c>
      <c r="C117" s="1">
        <f>C121</f>
        <v>103</v>
      </c>
      <c r="D117" s="1">
        <f>D121</f>
        <v>30</v>
      </c>
      <c r="E117" s="1" t="s">
        <v>8</v>
      </c>
    </row>
    <row r="118" spans="1:5" x14ac:dyDescent="0.25">
      <c r="A118" s="30">
        <v>1.3310000000000004</v>
      </c>
      <c r="C118" s="1">
        <f>C117+1</f>
        <v>104</v>
      </c>
      <c r="D118" s="1">
        <f>D117+1</f>
        <v>31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103</v>
      </c>
      <c r="D121" s="19">
        <v>30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R103</v>
      </c>
      <c r="D123" s="1" t="str">
        <f>"C"&amp;D121</f>
        <v>C30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5.5599173134922388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19" operator="equal">
      <formula>$U$1</formula>
    </cfRule>
    <cfRule type="cellIs" dxfId="30" priority="720" operator="equal">
      <formula>$S$1</formula>
    </cfRule>
  </conditionalFormatting>
  <conditionalFormatting sqref="D136">
    <cfRule type="cellIs" dxfId="29" priority="717" operator="equal">
      <formula>$S$1</formula>
    </cfRule>
    <cfRule type="cellIs" dxfId="28" priority="718" operator="equal">
      <formula>$U$1</formula>
    </cfRule>
  </conditionalFormatting>
  <conditionalFormatting sqref="C102">
    <cfRule type="cellIs" dxfId="27" priority="715" operator="equal">
      <formula>$U$1</formula>
    </cfRule>
    <cfRule type="cellIs" dxfId="26" priority="716" operator="equal">
      <formula>$S$1</formula>
    </cfRule>
  </conditionalFormatting>
  <conditionalFormatting sqref="D102">
    <cfRule type="cellIs" dxfId="25" priority="713" operator="equal">
      <formula>$S$1</formula>
    </cfRule>
    <cfRule type="cellIs" dxfId="24" priority="714" operator="equal">
      <formula>$U$1</formula>
    </cfRule>
  </conditionalFormatting>
  <conditionalFormatting sqref="C77">
    <cfRule type="cellIs" dxfId="23" priority="711" operator="equal">
      <formula>$U$1</formula>
    </cfRule>
    <cfRule type="cellIs" dxfId="22" priority="712" operator="equal">
      <formula>$S$1</formula>
    </cfRule>
  </conditionalFormatting>
  <conditionalFormatting sqref="D77">
    <cfRule type="cellIs" dxfId="21" priority="709" operator="equal">
      <formula>$S$1</formula>
    </cfRule>
    <cfRule type="cellIs" dxfId="20" priority="710" operator="equal">
      <formula>$U$1</formula>
    </cfRule>
  </conditionalFormatting>
  <conditionalFormatting sqref="C52">
    <cfRule type="cellIs" dxfId="19" priority="707" operator="equal">
      <formula>$U$1</formula>
    </cfRule>
    <cfRule type="cellIs" dxfId="18" priority="708" operator="equal">
      <formula>$S$1</formula>
    </cfRule>
  </conditionalFormatting>
  <conditionalFormatting sqref="D52">
    <cfRule type="cellIs" dxfId="17" priority="705" operator="equal">
      <formula>$S$1</formula>
    </cfRule>
    <cfRule type="cellIs" dxfId="16" priority="706" operator="equal">
      <formula>$U$1</formula>
    </cfRule>
  </conditionalFormatting>
  <conditionalFormatting sqref="C26">
    <cfRule type="cellIs" dxfId="15" priority="703" operator="equal">
      <formula>$U$1</formula>
    </cfRule>
    <cfRule type="cellIs" dxfId="14" priority="704" operator="equal">
      <formula>$S$1</formula>
    </cfRule>
  </conditionalFormatting>
  <conditionalFormatting sqref="D26">
    <cfRule type="cellIs" dxfId="13" priority="701" operator="equal">
      <formula>$S$1</formula>
    </cfRule>
    <cfRule type="cellIs" dxfId="12" priority="70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2022-01-28T01:20:05Z</dcterms:modified>
</cp:coreProperties>
</file>