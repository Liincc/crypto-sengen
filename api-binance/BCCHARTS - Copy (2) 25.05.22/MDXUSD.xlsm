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C4002316-C810-4420-8303-EA627CE82A8B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Sheet1" sheetId="8" r:id="rId6"/>
    <sheet name="INVEST" sheetId="6" r:id="rId7"/>
    <sheet name="TEMP" sheetId="7" r:id="rId8"/>
    <sheet name="Chart1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C103" i="4"/>
  <c r="D106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6" i="4"/>
  <c r="D77" i="5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4"/>
  <c r="C133" i="4" s="1"/>
  <c r="C136" i="4" s="1"/>
  <c r="C116" i="4"/>
  <c r="C122" i="5"/>
  <c r="C133" i="5" s="1"/>
  <c r="D136" i="5" s="1"/>
  <c r="C116" i="5"/>
  <c r="C122" i="3"/>
  <c r="C133" i="3" s="1"/>
  <c r="C136" i="3" s="1"/>
  <c r="R765" i="1"/>
  <c r="C116" i="3"/>
  <c r="C118" i="3"/>
  <c r="D136" i="4" l="1"/>
  <c r="C138" i="4" s="1"/>
  <c r="C136" i="5"/>
  <c r="C138" i="5" s="1"/>
  <c r="D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S760" i="1" l="1"/>
  <c r="T760" i="1" s="1"/>
  <c r="R759" i="1"/>
  <c r="S759" i="1" l="1"/>
  <c r="T759" i="1" s="1"/>
  <c r="R758" i="1"/>
  <c r="R757" i="1" l="1"/>
  <c r="S758" i="1"/>
  <c r="T758" i="1" s="1"/>
  <c r="S757" i="1" l="1"/>
  <c r="T757" i="1" s="1"/>
  <c r="R756" i="1"/>
  <c r="S756" i="1" l="1"/>
  <c r="T756" i="1" s="1"/>
  <c r="R755" i="1"/>
  <c r="S755" i="1" l="1"/>
  <c r="T755" i="1" s="1"/>
  <c r="R754" i="1"/>
  <c r="S754" i="1" l="1"/>
  <c r="T754" i="1" s="1"/>
  <c r="R753" i="1"/>
  <c r="R752" i="1" l="1"/>
  <c r="S753" i="1"/>
  <c r="T753" i="1" s="1"/>
  <c r="S752" i="1" l="1"/>
  <c r="T752" i="1" s="1"/>
  <c r="R751" i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S747" i="1" l="1"/>
  <c r="T747" i="1" s="1"/>
  <c r="R746" i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S742" i="1" l="1"/>
  <c r="T742" i="1" s="1"/>
  <c r="R741" i="1"/>
  <c r="R740" i="1" l="1"/>
  <c r="S741" i="1"/>
  <c r="T741" i="1" s="1"/>
  <c r="R739" i="1" l="1"/>
  <c r="S740" i="1"/>
  <c r="T740" i="1" s="1"/>
  <c r="S739" i="1" l="1"/>
  <c r="T739" i="1" s="1"/>
  <c r="R738" i="1"/>
  <c r="S738" i="1" l="1"/>
  <c r="T738" i="1" s="1"/>
  <c r="R737" i="1"/>
  <c r="S737" i="1" l="1"/>
  <c r="T737" i="1" s="1"/>
  <c r="R736" i="1"/>
  <c r="R735" i="1" l="1"/>
  <c r="S736" i="1"/>
  <c r="T736" i="1" s="1"/>
  <c r="S735" i="1" l="1"/>
  <c r="T735" i="1" s="1"/>
  <c r="R734" i="1"/>
  <c r="S734" i="1" l="1"/>
  <c r="T734" i="1" s="1"/>
  <c r="R733" i="1"/>
  <c r="R732" i="1" l="1"/>
  <c r="S733" i="1"/>
  <c r="T733" i="1" s="1"/>
  <c r="R731" i="1" l="1"/>
  <c r="S732" i="1"/>
  <c r="T732" i="1" s="1"/>
  <c r="R730" i="1" l="1"/>
  <c r="S731" i="1"/>
  <c r="T731" i="1" s="1"/>
  <c r="S730" i="1" l="1"/>
  <c r="T730" i="1" s="1"/>
  <c r="R729" i="1"/>
  <c r="R728" i="1" l="1"/>
  <c r="S729" i="1"/>
  <c r="T729" i="1" s="1"/>
  <c r="R727" i="1" l="1"/>
  <c r="S728" i="1"/>
  <c r="T728" i="1" s="1"/>
  <c r="R726" i="1" l="1"/>
  <c r="S727" i="1"/>
  <c r="T727" i="1" s="1"/>
  <c r="S726" i="1" l="1"/>
  <c r="T726" i="1" s="1"/>
  <c r="R725" i="1"/>
  <c r="S725" i="1" l="1"/>
  <c r="T725" i="1" s="1"/>
  <c r="R724" i="1"/>
  <c r="S724" i="1" l="1"/>
  <c r="T724" i="1" s="1"/>
  <c r="R723" i="1"/>
  <c r="S723" i="1" l="1"/>
  <c r="T723" i="1" s="1"/>
  <c r="R722" i="1"/>
  <c r="S722" i="1" l="1"/>
  <c r="T722" i="1" s="1"/>
  <c r="R721" i="1"/>
  <c r="S721" i="1" l="1"/>
  <c r="T721" i="1" s="1"/>
  <c r="R720" i="1"/>
  <c r="R719" i="1" l="1"/>
  <c r="S720" i="1"/>
  <c r="T720" i="1" s="1"/>
  <c r="R718" i="1" l="1"/>
  <c r="S719" i="1"/>
  <c r="T719" i="1" s="1"/>
  <c r="S718" i="1" l="1"/>
  <c r="T718" i="1" s="1"/>
  <c r="R717" i="1"/>
  <c r="R716" i="1" l="1"/>
  <c r="S717" i="1"/>
  <c r="T717" i="1" s="1"/>
  <c r="R715" i="1" l="1"/>
  <c r="S716" i="1"/>
  <c r="T716" i="1" s="1"/>
  <c r="R714" i="1" l="1"/>
  <c r="S715" i="1"/>
  <c r="T715" i="1" s="1"/>
  <c r="S714" i="1" l="1"/>
  <c r="T714" i="1" s="1"/>
  <c r="R713" i="1"/>
  <c r="S713" i="1" l="1"/>
  <c r="T713" i="1" s="1"/>
  <c r="R712" i="1"/>
  <c r="R711" i="1" l="1"/>
  <c r="S712" i="1"/>
  <c r="T712" i="1" s="1"/>
  <c r="S711" i="1" l="1"/>
  <c r="T711" i="1" s="1"/>
  <c r="R710" i="1"/>
  <c r="S710" i="1" l="1"/>
  <c r="T710" i="1" s="1"/>
  <c r="R709" i="1"/>
  <c r="S709" i="1" l="1"/>
  <c r="T709" i="1" s="1"/>
  <c r="R708" i="1"/>
  <c r="S708" i="1" l="1"/>
  <c r="T708" i="1" s="1"/>
  <c r="R707" i="1"/>
  <c r="R706" i="1" l="1"/>
  <c r="S707" i="1"/>
  <c r="T707" i="1" s="1"/>
  <c r="S706" i="1" l="1"/>
  <c r="T706" i="1" s="1"/>
  <c r="R705" i="1"/>
  <c r="R704" i="1" l="1"/>
  <c r="S705" i="1"/>
  <c r="T705" i="1" s="1"/>
  <c r="R703" i="1" l="1"/>
  <c r="S704" i="1"/>
  <c r="T704" i="1" s="1"/>
  <c r="S703" i="1" l="1"/>
  <c r="T703" i="1" s="1"/>
  <c r="R702" i="1"/>
  <c r="R701" i="1" l="1"/>
  <c r="S702" i="1"/>
  <c r="T702" i="1" s="1"/>
  <c r="S701" i="1" l="1"/>
  <c r="T701" i="1" s="1"/>
  <c r="R700" i="1"/>
  <c r="R699" i="1" l="1"/>
  <c r="S700" i="1"/>
  <c r="T700" i="1" s="1"/>
  <c r="S699" i="1" l="1"/>
  <c r="T699" i="1" s="1"/>
  <c r="R698" i="1"/>
  <c r="S698" i="1" l="1"/>
  <c r="T698" i="1" s="1"/>
  <c r="R697" i="1"/>
  <c r="R696" i="1" l="1"/>
  <c r="S697" i="1"/>
  <c r="T697" i="1" s="1"/>
  <c r="S696" i="1" l="1"/>
  <c r="T696" i="1" s="1"/>
  <c r="R695" i="1"/>
  <c r="S695" i="1" l="1"/>
  <c r="T695" i="1" s="1"/>
  <c r="R694" i="1"/>
  <c r="S694" i="1" l="1"/>
  <c r="T694" i="1" s="1"/>
  <c r="R693" i="1"/>
  <c r="R692" i="1" l="1"/>
  <c r="S693" i="1"/>
  <c r="T693" i="1" s="1"/>
  <c r="S692" i="1" l="1"/>
  <c r="T692" i="1" s="1"/>
  <c r="R691" i="1"/>
  <c r="S691" i="1" l="1"/>
  <c r="T691" i="1" s="1"/>
  <c r="R690" i="1"/>
  <c r="R689" i="1" l="1"/>
  <c r="S690" i="1"/>
  <c r="T690" i="1" s="1"/>
  <c r="R688" i="1" l="1"/>
  <c r="S689" i="1"/>
  <c r="T689" i="1" s="1"/>
  <c r="R687" i="1" l="1"/>
  <c r="S688" i="1"/>
  <c r="T688" i="1" s="1"/>
  <c r="S687" i="1" l="1"/>
  <c r="T687" i="1" s="1"/>
  <c r="R686" i="1"/>
  <c r="R685" i="1" l="1"/>
  <c r="S686" i="1"/>
  <c r="T686" i="1" s="1"/>
  <c r="R684" i="1" l="1"/>
  <c r="S685" i="1"/>
  <c r="T685" i="1" s="1"/>
  <c r="S684" i="1" l="1"/>
  <c r="T684" i="1" s="1"/>
  <c r="R683" i="1"/>
  <c r="R682" i="1" l="1"/>
  <c r="S683" i="1"/>
  <c r="T683" i="1" s="1"/>
  <c r="S682" i="1" l="1"/>
  <c r="T682" i="1" s="1"/>
  <c r="R681" i="1"/>
  <c r="S681" i="1" l="1"/>
  <c r="T681" i="1" s="1"/>
  <c r="R680" i="1"/>
  <c r="R679" i="1" l="1"/>
  <c r="S680" i="1"/>
  <c r="T680" i="1" s="1"/>
  <c r="S679" i="1" l="1"/>
  <c r="T679" i="1" s="1"/>
  <c r="R678" i="1"/>
  <c r="S678" i="1" l="1"/>
  <c r="T678" i="1" s="1"/>
  <c r="R677" i="1"/>
  <c r="S677" i="1" l="1"/>
  <c r="T677" i="1" s="1"/>
  <c r="R676" i="1"/>
  <c r="R675" i="1" l="1"/>
  <c r="S676" i="1"/>
  <c r="T676" i="1" s="1"/>
  <c r="R674" i="1" l="1"/>
  <c r="S675" i="1"/>
  <c r="T675" i="1" s="1"/>
  <c r="S674" i="1" l="1"/>
  <c r="T674" i="1" s="1"/>
  <c r="R673" i="1"/>
  <c r="R672" i="1" l="1"/>
  <c r="S673" i="1"/>
  <c r="T673" i="1" s="1"/>
  <c r="R671" i="1" l="1"/>
  <c r="S672" i="1"/>
  <c r="T672" i="1" s="1"/>
  <c r="S671" i="1" l="1"/>
  <c r="T671" i="1" s="1"/>
  <c r="R670" i="1"/>
  <c r="S670" i="1" l="1"/>
  <c r="T670" i="1" s="1"/>
  <c r="R669" i="1"/>
  <c r="S669" i="1" l="1"/>
  <c r="T669" i="1" s="1"/>
  <c r="R668" i="1"/>
  <c r="S668" i="1" l="1"/>
  <c r="T668" i="1" s="1"/>
  <c r="R667" i="1"/>
  <c r="S667" i="1" l="1"/>
  <c r="T667" i="1" s="1"/>
  <c r="R666" i="1"/>
  <c r="S666" i="1" l="1"/>
  <c r="T666" i="1" s="1"/>
  <c r="R665" i="1"/>
  <c r="R664" i="1" l="1"/>
  <c r="S665" i="1"/>
  <c r="T665" i="1" s="1"/>
  <c r="R663" i="1" l="1"/>
  <c r="S664" i="1"/>
  <c r="T664" i="1" s="1"/>
  <c r="R662" i="1" l="1"/>
  <c r="S663" i="1"/>
  <c r="T663" i="1" s="1"/>
  <c r="S662" i="1" l="1"/>
  <c r="T662" i="1" s="1"/>
  <c r="R661" i="1"/>
  <c r="S661" i="1" l="1"/>
  <c r="T661" i="1" s="1"/>
  <c r="R660" i="1"/>
  <c r="S660" i="1" l="1"/>
  <c r="T660" i="1" s="1"/>
  <c r="R659" i="1"/>
  <c r="R658" i="1" l="1"/>
  <c r="S659" i="1"/>
  <c r="T659" i="1" s="1"/>
  <c r="R657" i="1" l="1"/>
  <c r="S658" i="1"/>
  <c r="T658" i="1" s="1"/>
  <c r="S657" i="1" l="1"/>
  <c r="T657" i="1" s="1"/>
  <c r="R656" i="1"/>
  <c r="R655" i="1" l="1"/>
  <c r="S656" i="1"/>
  <c r="T656" i="1" s="1"/>
  <c r="S655" i="1" l="1"/>
  <c r="T655" i="1" s="1"/>
  <c r="R654" i="1"/>
  <c r="S654" i="1" l="1"/>
  <c r="T654" i="1" s="1"/>
  <c r="R653" i="1"/>
  <c r="R652" i="1" l="1"/>
  <c r="S653" i="1"/>
  <c r="T653" i="1" s="1"/>
  <c r="S652" i="1" l="1"/>
  <c r="T652" i="1" s="1"/>
  <c r="R651" i="1"/>
  <c r="S651" i="1" l="1"/>
  <c r="T651" i="1" s="1"/>
  <c r="R650" i="1"/>
  <c r="S650" i="1" l="1"/>
  <c r="T650" i="1" s="1"/>
  <c r="R649" i="1"/>
  <c r="S649" i="1" l="1"/>
  <c r="T649" i="1" s="1"/>
  <c r="R648" i="1"/>
  <c r="R647" i="1" l="1"/>
  <c r="S648" i="1"/>
  <c r="T648" i="1" s="1"/>
  <c r="S647" i="1" l="1"/>
  <c r="T647" i="1" s="1"/>
  <c r="R646" i="1"/>
  <c r="S646" i="1" l="1"/>
  <c r="T646" i="1" s="1"/>
  <c r="R645" i="1"/>
  <c r="R644" i="1" l="1"/>
  <c r="S645" i="1"/>
  <c r="T645" i="1" s="1"/>
  <c r="S644" i="1" l="1"/>
  <c r="T644" i="1" s="1"/>
  <c r="R643" i="1"/>
  <c r="S643" i="1" l="1"/>
  <c r="T643" i="1" s="1"/>
  <c r="R642" i="1"/>
  <c r="S642" i="1" l="1"/>
  <c r="T642" i="1" s="1"/>
  <c r="R641" i="1"/>
  <c r="R640" i="1" l="1"/>
  <c r="S641" i="1"/>
  <c r="T641" i="1" s="1"/>
  <c r="R639" i="1" l="1"/>
  <c r="S640" i="1"/>
  <c r="T640" i="1" s="1"/>
  <c r="S639" i="1" l="1"/>
  <c r="T639" i="1" s="1"/>
  <c r="R638" i="1"/>
  <c r="R637" i="1" l="1"/>
  <c r="S638" i="1"/>
  <c r="T638" i="1" s="1"/>
  <c r="R636" i="1" l="1"/>
  <c r="S637" i="1"/>
  <c r="T637" i="1" s="1"/>
  <c r="R635" i="1" l="1"/>
  <c r="S636" i="1"/>
  <c r="T636" i="1" s="1"/>
  <c r="S635" i="1" l="1"/>
  <c r="T635" i="1" s="1"/>
  <c r="R634" i="1"/>
  <c r="S634" i="1" l="1"/>
  <c r="T634" i="1" s="1"/>
  <c r="R633" i="1"/>
  <c r="S633" i="1" l="1"/>
  <c r="T633" i="1" s="1"/>
  <c r="R632" i="1"/>
  <c r="S632" i="1" l="1"/>
  <c r="T632" i="1" s="1"/>
  <c r="R631" i="1"/>
  <c r="S631" i="1" l="1"/>
  <c r="T631" i="1" s="1"/>
  <c r="R630" i="1"/>
  <c r="S630" i="1" l="1"/>
  <c r="T630" i="1" s="1"/>
  <c r="R629" i="1"/>
  <c r="S629" i="1" l="1"/>
  <c r="T629" i="1" s="1"/>
  <c r="R628" i="1"/>
  <c r="R627" i="1" l="1"/>
  <c r="S628" i="1"/>
  <c r="T628" i="1" s="1"/>
  <c r="S627" i="1" l="1"/>
  <c r="T627" i="1" s="1"/>
  <c r="R626" i="1"/>
  <c r="S626" i="1" l="1"/>
  <c r="T626" i="1" s="1"/>
  <c r="R625" i="1"/>
  <c r="S625" i="1" l="1"/>
  <c r="T625" i="1" s="1"/>
  <c r="R624" i="1"/>
  <c r="R623" i="1" l="1"/>
  <c r="S624" i="1"/>
  <c r="T624" i="1" s="1"/>
  <c r="S623" i="1" l="1"/>
  <c r="T623" i="1" s="1"/>
  <c r="R622" i="1"/>
  <c r="S622" i="1" l="1"/>
  <c r="T622" i="1" s="1"/>
  <c r="R621" i="1"/>
  <c r="R620" i="1" l="1"/>
  <c r="S621" i="1"/>
  <c r="T621" i="1" s="1"/>
  <c r="R619" i="1" l="1"/>
  <c r="S620" i="1"/>
  <c r="T620" i="1" s="1"/>
  <c r="R618" i="1" l="1"/>
  <c r="S619" i="1"/>
  <c r="T619" i="1" s="1"/>
  <c r="S618" i="1" l="1"/>
  <c r="T618" i="1" s="1"/>
  <c r="R617" i="1"/>
  <c r="R616" i="1" l="1"/>
  <c r="S617" i="1"/>
  <c r="T617" i="1" s="1"/>
  <c r="R615" i="1" l="1"/>
  <c r="S616" i="1"/>
  <c r="T616" i="1" s="1"/>
  <c r="S615" i="1" l="1"/>
  <c r="T615" i="1" s="1"/>
  <c r="R614" i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S610" i="1" l="1"/>
  <c r="T610" i="1" s="1"/>
  <c r="R609" i="1"/>
  <c r="R608" i="1" l="1"/>
  <c r="S609" i="1"/>
  <c r="T609" i="1" s="1"/>
  <c r="S608" i="1" l="1"/>
  <c r="T608" i="1" s="1"/>
  <c r="R607" i="1"/>
  <c r="S607" i="1" l="1"/>
  <c r="T607" i="1" s="1"/>
  <c r="R606" i="1"/>
  <c r="S606" i="1" l="1"/>
  <c r="T606" i="1" s="1"/>
  <c r="R605" i="1"/>
  <c r="S605" i="1" l="1"/>
  <c r="T605" i="1" s="1"/>
  <c r="R604" i="1"/>
  <c r="R603" i="1" l="1"/>
  <c r="S604" i="1"/>
  <c r="T604" i="1" s="1"/>
  <c r="S603" i="1" l="1"/>
  <c r="T603" i="1" s="1"/>
  <c r="R602" i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S598" i="1" l="1"/>
  <c r="T598" i="1" s="1"/>
  <c r="R597" i="1"/>
  <c r="R596" i="1" l="1"/>
  <c r="S597" i="1"/>
  <c r="T597" i="1" s="1"/>
  <c r="S596" i="1" l="1"/>
  <c r="T596" i="1" s="1"/>
  <c r="R595" i="1"/>
  <c r="S595" i="1" l="1"/>
  <c r="T595" i="1" s="1"/>
  <c r="R594" i="1"/>
  <c r="S594" i="1" l="1"/>
  <c r="T594" i="1" s="1"/>
  <c r="R593" i="1"/>
  <c r="S593" i="1" l="1"/>
  <c r="T593" i="1" s="1"/>
  <c r="R592" i="1"/>
  <c r="R591" i="1" l="1"/>
  <c r="S592" i="1"/>
  <c r="T592" i="1" s="1"/>
  <c r="S591" i="1" l="1"/>
  <c r="T591" i="1" s="1"/>
  <c r="R590" i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S586" i="1" l="1"/>
  <c r="T586" i="1" s="1"/>
  <c r="R585" i="1"/>
  <c r="R584" i="1" l="1"/>
  <c r="S585" i="1"/>
  <c r="T585" i="1" s="1"/>
  <c r="S584" i="1" l="1"/>
  <c r="T584" i="1" s="1"/>
  <c r="R583" i="1"/>
  <c r="S583" i="1" l="1"/>
  <c r="T583" i="1" s="1"/>
  <c r="R582" i="1"/>
  <c r="S582" i="1" l="1"/>
  <c r="T582" i="1" s="1"/>
  <c r="R581" i="1"/>
  <c r="S581" i="1" l="1"/>
  <c r="T581" i="1" s="1"/>
  <c r="R580" i="1"/>
  <c r="R579" i="1" l="1"/>
  <c r="S580" i="1"/>
  <c r="T580" i="1" s="1"/>
  <c r="S579" i="1" l="1"/>
  <c r="T579" i="1" s="1"/>
  <c r="R578" i="1"/>
  <c r="R577" i="1" l="1"/>
  <c r="S578" i="1"/>
  <c r="T578" i="1" s="1"/>
  <c r="S577" i="1" l="1"/>
  <c r="T577" i="1" s="1"/>
  <c r="R576" i="1"/>
  <c r="R575" i="1" l="1"/>
  <c r="S576" i="1"/>
  <c r="T576" i="1" s="1"/>
  <c r="R574" i="1" l="1"/>
  <c r="S575" i="1"/>
  <c r="T575" i="1" s="1"/>
  <c r="S574" i="1" l="1"/>
  <c r="T574" i="1" s="1"/>
  <c r="R573" i="1"/>
  <c r="S573" i="1" l="1"/>
  <c r="T573" i="1" s="1"/>
  <c r="R572" i="1"/>
  <c r="S572" i="1" l="1"/>
  <c r="T572" i="1" s="1"/>
  <c r="R571" i="1"/>
  <c r="R570" i="1" l="1"/>
  <c r="S571" i="1"/>
  <c r="T571" i="1" s="1"/>
  <c r="S570" i="1" l="1"/>
  <c r="T570" i="1" s="1"/>
  <c r="R569" i="1"/>
  <c r="S569" i="1" l="1"/>
  <c r="T569" i="1" s="1"/>
  <c r="R568" i="1"/>
  <c r="S568" i="1" l="1"/>
  <c r="T568" i="1" s="1"/>
  <c r="R567" i="1"/>
  <c r="R566" i="1" l="1"/>
  <c r="S567" i="1"/>
  <c r="T567" i="1" s="1"/>
  <c r="R565" i="1" l="1"/>
  <c r="S566" i="1"/>
  <c r="T566" i="1" s="1"/>
  <c r="S565" i="1" l="1"/>
  <c r="T565" i="1" s="1"/>
  <c r="R564" i="1"/>
  <c r="R563" i="1" l="1"/>
  <c r="S564" i="1"/>
  <c r="T564" i="1" s="1"/>
  <c r="S563" i="1" l="1"/>
  <c r="T563" i="1" s="1"/>
  <c r="R562" i="1"/>
  <c r="R561" i="1" l="1"/>
  <c r="S562" i="1"/>
  <c r="T562" i="1" s="1"/>
  <c r="S561" i="1" l="1"/>
  <c r="T561" i="1" s="1"/>
  <c r="R560" i="1"/>
  <c r="S560" i="1" l="1"/>
  <c r="T560" i="1" s="1"/>
  <c r="R559" i="1"/>
  <c r="R558" i="1" l="1"/>
  <c r="S559" i="1"/>
  <c r="T559" i="1" s="1"/>
  <c r="S558" i="1" l="1"/>
  <c r="T558" i="1" s="1"/>
  <c r="R557" i="1"/>
  <c r="R556" i="1" l="1"/>
  <c r="S557" i="1"/>
  <c r="T557" i="1" s="1"/>
  <c r="S556" i="1" l="1"/>
  <c r="T556" i="1" s="1"/>
  <c r="R555" i="1"/>
  <c r="R554" i="1" l="1"/>
  <c r="S555" i="1"/>
  <c r="T555" i="1" s="1"/>
  <c r="R553" i="1" l="1"/>
  <c r="S554" i="1"/>
  <c r="T554" i="1" s="1"/>
  <c r="S553" i="1" l="1"/>
  <c r="T553" i="1" s="1"/>
  <c r="R552" i="1"/>
  <c r="R551" i="1" l="1"/>
  <c r="S552" i="1"/>
  <c r="T552" i="1" s="1"/>
  <c r="S551" i="1" l="1"/>
  <c r="T551" i="1" s="1"/>
  <c r="R550" i="1"/>
  <c r="R549" i="1" l="1"/>
  <c r="S550" i="1"/>
  <c r="T550" i="1" s="1"/>
  <c r="S549" i="1" l="1"/>
  <c r="T549" i="1" s="1"/>
  <c r="R548" i="1"/>
  <c r="S548" i="1" l="1"/>
  <c r="T548" i="1" s="1"/>
  <c r="R547" i="1"/>
  <c r="R546" i="1" l="1"/>
  <c r="S547" i="1"/>
  <c r="T547" i="1" s="1"/>
  <c r="S546" i="1" l="1"/>
  <c r="T546" i="1" s="1"/>
  <c r="R545" i="1"/>
  <c r="R544" i="1" l="1"/>
  <c r="S545" i="1"/>
  <c r="T545" i="1" s="1"/>
  <c r="S544" i="1" l="1"/>
  <c r="T544" i="1" s="1"/>
  <c r="R543" i="1"/>
  <c r="R542" i="1" l="1"/>
  <c r="S543" i="1"/>
  <c r="T543" i="1" s="1"/>
  <c r="R541" i="1" l="1"/>
  <c r="S542" i="1"/>
  <c r="T542" i="1" s="1"/>
  <c r="S541" i="1" l="1"/>
  <c r="T541" i="1" s="1"/>
  <c r="R540" i="1"/>
  <c r="R539" i="1" l="1"/>
  <c r="S540" i="1"/>
  <c r="T540" i="1" s="1"/>
  <c r="S539" i="1" l="1"/>
  <c r="T539" i="1" s="1"/>
  <c r="R538" i="1"/>
  <c r="R537" i="1" l="1"/>
  <c r="S538" i="1"/>
  <c r="T538" i="1" s="1"/>
  <c r="S537" i="1" l="1"/>
  <c r="T537" i="1" s="1"/>
  <c r="R536" i="1"/>
  <c r="S536" i="1" l="1"/>
  <c r="T536" i="1" s="1"/>
  <c r="R535" i="1"/>
  <c r="R534" i="1" l="1"/>
  <c r="S535" i="1"/>
  <c r="T535" i="1" s="1"/>
  <c r="S534" i="1" l="1"/>
  <c r="T534" i="1" s="1"/>
  <c r="R533" i="1"/>
  <c r="S533" i="1" l="1"/>
  <c r="T533" i="1" s="1"/>
  <c r="R532" i="1"/>
  <c r="S532" i="1" l="1"/>
  <c r="T532" i="1" s="1"/>
  <c r="R531" i="1"/>
  <c r="R530" i="1" l="1"/>
  <c r="S531" i="1"/>
  <c r="T531" i="1" s="1"/>
  <c r="R529" i="1" l="1"/>
  <c r="S530" i="1"/>
  <c r="T530" i="1" s="1"/>
  <c r="S529" i="1" l="1"/>
  <c r="T529" i="1" s="1"/>
  <c r="R528" i="1"/>
  <c r="R527" i="1" l="1"/>
  <c r="S528" i="1"/>
  <c r="T528" i="1" s="1"/>
  <c r="R526" i="1" l="1"/>
  <c r="S527" i="1"/>
  <c r="T527" i="1" s="1"/>
  <c r="R525" i="1" l="1"/>
  <c r="S526" i="1"/>
  <c r="T526" i="1" s="1"/>
  <c r="S525" i="1" l="1"/>
  <c r="T525" i="1" s="1"/>
  <c r="R524" i="1"/>
  <c r="S524" i="1" l="1"/>
  <c r="T524" i="1" s="1"/>
  <c r="R523" i="1"/>
  <c r="R522" i="1" l="1"/>
  <c r="S523" i="1"/>
  <c r="T523" i="1" s="1"/>
  <c r="S522" i="1" l="1"/>
  <c r="T522" i="1" s="1"/>
  <c r="R521" i="1"/>
  <c r="S521" i="1" l="1"/>
  <c r="T521" i="1" s="1"/>
  <c r="R520" i="1"/>
  <c r="S520" i="1" l="1"/>
  <c r="T520" i="1" s="1"/>
  <c r="R519" i="1"/>
  <c r="R518" i="1" l="1"/>
  <c r="S519" i="1"/>
  <c r="T519" i="1" s="1"/>
  <c r="R517" i="1" l="1"/>
  <c r="S518" i="1"/>
  <c r="T518" i="1" s="1"/>
  <c r="S517" i="1" l="1"/>
  <c r="T517" i="1" s="1"/>
  <c r="R516" i="1"/>
  <c r="R515" i="1" l="1"/>
  <c r="S516" i="1"/>
  <c r="T516" i="1" s="1"/>
  <c r="R514" i="1" l="1"/>
  <c r="S515" i="1"/>
  <c r="T515" i="1" s="1"/>
  <c r="R513" i="1" l="1"/>
  <c r="S514" i="1"/>
  <c r="T514" i="1" s="1"/>
  <c r="S513" i="1" l="1"/>
  <c r="T513" i="1" s="1"/>
  <c r="R512" i="1"/>
  <c r="S512" i="1" l="1"/>
  <c r="T512" i="1" s="1"/>
  <c r="R511" i="1"/>
  <c r="R510" i="1" l="1"/>
  <c r="S511" i="1"/>
  <c r="T511" i="1" s="1"/>
  <c r="S510" i="1" l="1"/>
  <c r="T510" i="1" s="1"/>
  <c r="R509" i="1"/>
  <c r="R508" i="1" l="1"/>
  <c r="S509" i="1"/>
  <c r="T509" i="1" s="1"/>
  <c r="S508" i="1" l="1"/>
  <c r="T508" i="1" s="1"/>
  <c r="R507" i="1"/>
  <c r="R506" i="1" l="1"/>
  <c r="S507" i="1"/>
  <c r="T507" i="1" s="1"/>
  <c r="R505" i="1" l="1"/>
  <c r="S506" i="1"/>
  <c r="T506" i="1" s="1"/>
  <c r="S505" i="1" l="1"/>
  <c r="T505" i="1" s="1"/>
  <c r="R504" i="1"/>
  <c r="R503" i="1" l="1"/>
  <c r="S504" i="1"/>
  <c r="T504" i="1" s="1"/>
  <c r="S503" i="1" l="1"/>
  <c r="T503" i="1" s="1"/>
  <c r="R502" i="1"/>
  <c r="R501" i="1" l="1"/>
  <c r="S502" i="1"/>
  <c r="T502" i="1" s="1"/>
  <c r="S501" i="1" l="1"/>
  <c r="T501" i="1" s="1"/>
  <c r="R500" i="1"/>
  <c r="S500" i="1" l="1"/>
  <c r="T500" i="1" s="1"/>
  <c r="R499" i="1"/>
  <c r="R498" i="1" l="1"/>
  <c r="S499" i="1"/>
  <c r="T499" i="1" s="1"/>
  <c r="S498" i="1" l="1"/>
  <c r="T498" i="1" s="1"/>
  <c r="R497" i="1"/>
  <c r="S497" i="1" l="1"/>
  <c r="T497" i="1" s="1"/>
  <c r="R496" i="1"/>
  <c r="S496" i="1" l="1"/>
  <c r="T496" i="1" s="1"/>
  <c r="R495" i="1"/>
  <c r="R494" i="1" l="1"/>
  <c r="S495" i="1"/>
  <c r="T495" i="1" s="1"/>
  <c r="R493" i="1" l="1"/>
  <c r="S494" i="1"/>
  <c r="T494" i="1" s="1"/>
  <c r="S493" i="1" l="1"/>
  <c r="T493" i="1" s="1"/>
  <c r="R492" i="1"/>
  <c r="R491" i="1" l="1"/>
  <c r="S492" i="1"/>
  <c r="T492" i="1" s="1"/>
  <c r="R490" i="1" l="1"/>
  <c r="S491" i="1"/>
  <c r="T491" i="1" s="1"/>
  <c r="R489" i="1" l="1"/>
  <c r="S490" i="1"/>
  <c r="T490" i="1" s="1"/>
  <c r="S489" i="1" l="1"/>
  <c r="T489" i="1" s="1"/>
  <c r="R488" i="1"/>
  <c r="S488" i="1" l="1"/>
  <c r="T488" i="1" s="1"/>
  <c r="R487" i="1"/>
  <c r="R486" i="1" l="1"/>
  <c r="S487" i="1"/>
  <c r="T487" i="1" s="1"/>
  <c r="S486" i="1" l="1"/>
  <c r="T486" i="1" s="1"/>
  <c r="R485" i="1"/>
  <c r="S485" i="1" l="1"/>
  <c r="T485" i="1" s="1"/>
  <c r="R484" i="1"/>
  <c r="S484" i="1" l="1"/>
  <c r="T484" i="1" s="1"/>
  <c r="R483" i="1"/>
  <c r="R482" i="1" l="1"/>
  <c r="S483" i="1"/>
  <c r="T483" i="1" s="1"/>
  <c r="S482" i="1" l="1"/>
  <c r="T482" i="1" s="1"/>
  <c r="R481" i="1"/>
  <c r="S481" i="1" l="1"/>
  <c r="T481" i="1" s="1"/>
  <c r="R480" i="1"/>
  <c r="R479" i="1" l="1"/>
  <c r="S480" i="1"/>
  <c r="T480" i="1" s="1"/>
  <c r="R478" i="1" l="1"/>
  <c r="S479" i="1"/>
  <c r="T479" i="1" s="1"/>
  <c r="R477" i="1" l="1"/>
  <c r="S478" i="1"/>
  <c r="T478" i="1" s="1"/>
  <c r="S477" i="1" l="1"/>
  <c r="T477" i="1" s="1"/>
  <c r="R476" i="1"/>
  <c r="R475" i="1" l="1"/>
  <c r="S476" i="1"/>
  <c r="T476" i="1" s="1"/>
  <c r="S475" i="1" l="1"/>
  <c r="T475" i="1" s="1"/>
  <c r="R474" i="1"/>
  <c r="S474" i="1" l="1"/>
  <c r="T474" i="1" s="1"/>
  <c r="R473" i="1"/>
  <c r="S473" i="1" l="1"/>
  <c r="T473" i="1" s="1"/>
  <c r="R472" i="1"/>
  <c r="S472" i="1" l="1"/>
  <c r="T472" i="1" s="1"/>
  <c r="R471" i="1"/>
  <c r="S471" i="1" l="1"/>
  <c r="T471" i="1" s="1"/>
  <c r="R470" i="1"/>
  <c r="S470" i="1" l="1"/>
  <c r="T470" i="1" s="1"/>
  <c r="R469" i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S463" i="1" l="1"/>
  <c r="T463" i="1" s="1"/>
  <c r="R462" i="1"/>
  <c r="S462" i="1" l="1"/>
  <c r="T462" i="1" s="1"/>
  <c r="R461" i="1"/>
  <c r="S461" i="1" l="1"/>
  <c r="T461" i="1" s="1"/>
  <c r="R460" i="1"/>
  <c r="S460" i="1" l="1"/>
  <c r="T460" i="1" s="1"/>
  <c r="R459" i="1"/>
  <c r="S459" i="1" l="1"/>
  <c r="T459" i="1" s="1"/>
  <c r="R458" i="1"/>
  <c r="S458" i="1" l="1"/>
  <c r="T458" i="1" s="1"/>
  <c r="R457" i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S452" i="1" l="1"/>
  <c r="T452" i="1" s="1"/>
  <c r="R451" i="1"/>
  <c r="S451" i="1" l="1"/>
  <c r="T451" i="1" s="1"/>
  <c r="R450" i="1"/>
  <c r="S450" i="1" l="1"/>
  <c r="T450" i="1" s="1"/>
  <c r="R449" i="1"/>
  <c r="S449" i="1" l="1"/>
  <c r="T449" i="1" s="1"/>
  <c r="R448" i="1"/>
  <c r="S448" i="1" l="1"/>
  <c r="T448" i="1" s="1"/>
  <c r="R447" i="1"/>
  <c r="S447" i="1" l="1"/>
  <c r="T447" i="1" s="1"/>
  <c r="R446" i="1"/>
  <c r="S446" i="1" l="1"/>
  <c r="T446" i="1" s="1"/>
  <c r="R445" i="1"/>
  <c r="S445" i="1" l="1"/>
  <c r="T445" i="1" s="1"/>
  <c r="R444" i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S439" i="1" l="1"/>
  <c r="T439" i="1" s="1"/>
  <c r="R438" i="1"/>
  <c r="S438" i="1" l="1"/>
  <c r="T438" i="1" s="1"/>
  <c r="R437" i="1"/>
  <c r="R436" i="1" l="1"/>
  <c r="S437" i="1"/>
  <c r="T437" i="1" s="1"/>
  <c r="S436" i="1" l="1"/>
  <c r="T436" i="1" s="1"/>
  <c r="R435" i="1"/>
  <c r="S435" i="1" l="1"/>
  <c r="T435" i="1" s="1"/>
  <c r="R434" i="1"/>
  <c r="S434" i="1" l="1"/>
  <c r="T434" i="1" s="1"/>
  <c r="R433" i="1"/>
  <c r="R432" i="1" l="1"/>
  <c r="S433" i="1"/>
  <c r="T433" i="1" s="1"/>
  <c r="R431" i="1" l="1"/>
  <c r="S432" i="1"/>
  <c r="T432" i="1" s="1"/>
  <c r="S431" i="1" l="1"/>
  <c r="T431" i="1" s="1"/>
  <c r="R430" i="1"/>
  <c r="S430" i="1" l="1"/>
  <c r="T430" i="1" s="1"/>
  <c r="R429" i="1"/>
  <c r="R428" i="1" l="1"/>
  <c r="S429" i="1"/>
  <c r="T429" i="1" s="1"/>
  <c r="R427" i="1" l="1"/>
  <c r="S428" i="1"/>
  <c r="T428" i="1" s="1"/>
  <c r="S427" i="1" l="1"/>
  <c r="T427" i="1" s="1"/>
  <c r="R426" i="1"/>
  <c r="S426" i="1" l="1"/>
  <c r="T426" i="1" s="1"/>
  <c r="R425" i="1"/>
  <c r="R424" i="1" l="1"/>
  <c r="S425" i="1"/>
  <c r="T425" i="1" s="1"/>
  <c r="R423" i="1" l="1"/>
  <c r="S424" i="1"/>
  <c r="T424" i="1" s="1"/>
  <c r="S423" i="1" l="1"/>
  <c r="T423" i="1" s="1"/>
  <c r="R422" i="1"/>
  <c r="S422" i="1" l="1"/>
  <c r="T422" i="1" s="1"/>
  <c r="R421" i="1"/>
  <c r="R420" i="1" l="1"/>
  <c r="S421" i="1"/>
  <c r="T421" i="1" s="1"/>
  <c r="R419" i="1" l="1"/>
  <c r="S420" i="1"/>
  <c r="T420" i="1" s="1"/>
  <c r="S419" i="1" l="1"/>
  <c r="T419" i="1" s="1"/>
  <c r="R418" i="1"/>
  <c r="S418" i="1" l="1"/>
  <c r="T418" i="1" s="1"/>
  <c r="R417" i="1"/>
  <c r="S417" i="1" l="1"/>
  <c r="T417" i="1" s="1"/>
  <c r="R416" i="1"/>
  <c r="R415" i="1" l="1"/>
  <c r="S416" i="1"/>
  <c r="T416" i="1" s="1"/>
  <c r="S415" i="1" l="1"/>
  <c r="T415" i="1" s="1"/>
  <c r="R414" i="1"/>
  <c r="S414" i="1" l="1"/>
  <c r="T414" i="1" s="1"/>
  <c r="R413" i="1"/>
  <c r="R412" i="1" l="1"/>
  <c r="S413" i="1"/>
  <c r="T413" i="1" s="1"/>
  <c r="R411" i="1" l="1"/>
  <c r="S412" i="1"/>
  <c r="T412" i="1" s="1"/>
  <c r="R410" i="1" l="1"/>
  <c r="S411" i="1"/>
  <c r="T411" i="1" s="1"/>
  <c r="S410" i="1" l="1"/>
  <c r="T410" i="1" s="1"/>
  <c r="R409" i="1"/>
  <c r="R408" i="1" l="1"/>
  <c r="S409" i="1"/>
  <c r="T409" i="1" s="1"/>
  <c r="R407" i="1" l="1"/>
  <c r="S408" i="1"/>
  <c r="T408" i="1" s="1"/>
  <c r="S407" i="1" l="1"/>
  <c r="T407" i="1" s="1"/>
  <c r="R406" i="1"/>
  <c r="S406" i="1" l="1"/>
  <c r="T406" i="1" s="1"/>
  <c r="R405" i="1"/>
  <c r="S405" i="1" l="1"/>
  <c r="T405" i="1" s="1"/>
  <c r="R404" i="1"/>
  <c r="R403" i="1" l="1"/>
  <c r="S404" i="1"/>
  <c r="T404" i="1" s="1"/>
  <c r="S403" i="1" l="1"/>
  <c r="T403" i="1" s="1"/>
  <c r="R402" i="1"/>
  <c r="S402" i="1" l="1"/>
  <c r="T402" i="1" s="1"/>
  <c r="R401" i="1"/>
  <c r="R400" i="1" l="1"/>
  <c r="S401" i="1"/>
  <c r="T401" i="1" s="1"/>
  <c r="R399" i="1" l="1"/>
  <c r="S400" i="1"/>
  <c r="T400" i="1" s="1"/>
  <c r="R398" i="1" l="1"/>
  <c r="S399" i="1"/>
  <c r="T399" i="1" s="1"/>
  <c r="S398" i="1" l="1"/>
  <c r="T398" i="1" s="1"/>
  <c r="R397" i="1"/>
  <c r="S397" i="1" l="1"/>
  <c r="T397" i="1" s="1"/>
  <c r="R396" i="1"/>
  <c r="S396" i="1" l="1"/>
  <c r="T396" i="1" s="1"/>
  <c r="R395" i="1"/>
  <c r="S395" i="1" l="1"/>
  <c r="T395" i="1" s="1"/>
  <c r="R394" i="1"/>
  <c r="S394" i="1" l="1"/>
  <c r="T394" i="1" s="1"/>
  <c r="R393" i="1"/>
  <c r="S393" i="1" l="1"/>
  <c r="T393" i="1" s="1"/>
  <c r="R392" i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S385" i="1" l="1"/>
  <c r="T385" i="1" s="1"/>
  <c r="R384" i="1"/>
  <c r="R383" i="1" l="1"/>
  <c r="S384" i="1"/>
  <c r="T384" i="1" s="1"/>
  <c r="S383" i="1" l="1"/>
  <c r="T383" i="1" s="1"/>
  <c r="R382" i="1"/>
  <c r="S382" i="1" l="1"/>
  <c r="T382" i="1" s="1"/>
  <c r="R381" i="1"/>
  <c r="S381" i="1" l="1"/>
  <c r="T381" i="1" s="1"/>
  <c r="R380" i="1"/>
  <c r="S380" i="1" l="1"/>
  <c r="T380" i="1" s="1"/>
  <c r="R379" i="1"/>
  <c r="R378" i="1" l="1"/>
  <c r="S379" i="1"/>
  <c r="T379" i="1" s="1"/>
  <c r="S378" i="1" l="1"/>
  <c r="T378" i="1" s="1"/>
  <c r="R377" i="1"/>
  <c r="R376" i="1" l="1"/>
  <c r="S377" i="1"/>
  <c r="T377" i="1" s="1"/>
  <c r="R375" i="1" l="1"/>
  <c r="S376" i="1"/>
  <c r="T376" i="1" s="1"/>
  <c r="R374" i="1" l="1"/>
  <c r="S375" i="1"/>
  <c r="T375" i="1" s="1"/>
  <c r="S374" i="1" l="1"/>
  <c r="T374" i="1" s="1"/>
  <c r="R373" i="1"/>
  <c r="S373" i="1" l="1"/>
  <c r="T373" i="1" s="1"/>
  <c r="R372" i="1"/>
  <c r="S372" i="1" l="1"/>
  <c r="T372" i="1" s="1"/>
  <c r="R371" i="1"/>
  <c r="S371" i="1" l="1"/>
  <c r="T371" i="1" s="1"/>
  <c r="R370" i="1"/>
  <c r="S370" i="1" l="1"/>
  <c r="T370" i="1" s="1"/>
  <c r="R369" i="1"/>
  <c r="S369" i="1" l="1"/>
  <c r="T369" i="1" s="1"/>
  <c r="R368" i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S363" i="1" l="1"/>
  <c r="T363" i="1" s="1"/>
  <c r="R362" i="1"/>
  <c r="S362" i="1" l="1"/>
  <c r="T362" i="1" s="1"/>
  <c r="R361" i="1"/>
  <c r="S361" i="1" l="1"/>
  <c r="T361" i="1" s="1"/>
  <c r="R360" i="1"/>
  <c r="S360" i="1" l="1"/>
  <c r="T360" i="1" s="1"/>
  <c r="R359" i="1"/>
  <c r="S359" i="1" l="1"/>
  <c r="T359" i="1" s="1"/>
  <c r="R358" i="1"/>
  <c r="S358" i="1" l="1"/>
  <c r="T358" i="1" s="1"/>
  <c r="R357" i="1"/>
  <c r="S357" i="1" l="1"/>
  <c r="T357" i="1" s="1"/>
  <c r="R356" i="1"/>
  <c r="S356" i="1" l="1"/>
  <c r="T356" i="1" s="1"/>
  <c r="R355" i="1"/>
  <c r="S355" i="1" l="1"/>
  <c r="T355" i="1" s="1"/>
  <c r="R354" i="1"/>
  <c r="S354" i="1" l="1"/>
  <c r="T354" i="1" s="1"/>
  <c r="R353" i="1"/>
  <c r="R352" i="1" l="1"/>
  <c r="S353" i="1"/>
  <c r="T353" i="1" s="1"/>
  <c r="S352" i="1" l="1"/>
  <c r="T352" i="1" s="1"/>
  <c r="R351" i="1"/>
  <c r="S351" i="1" l="1"/>
  <c r="T351" i="1" s="1"/>
  <c r="R350" i="1"/>
  <c r="R349" i="1" l="1"/>
  <c r="S350" i="1"/>
  <c r="T350" i="1" s="1"/>
  <c r="R348" i="1" l="1"/>
  <c r="S349" i="1"/>
  <c r="T349" i="1" s="1"/>
  <c r="S348" i="1" l="1"/>
  <c r="T348" i="1" s="1"/>
  <c r="R347" i="1"/>
  <c r="S347" i="1" l="1"/>
  <c r="T347" i="1" s="1"/>
  <c r="R346" i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S341" i="1" l="1"/>
  <c r="T341" i="1" s="1"/>
  <c r="R340" i="1"/>
  <c r="S340" i="1" l="1"/>
  <c r="T340" i="1" s="1"/>
  <c r="R339" i="1"/>
  <c r="S339" i="1" l="1"/>
  <c r="T339" i="1" s="1"/>
  <c r="R338" i="1"/>
  <c r="S338" i="1" l="1"/>
  <c r="T338" i="1" s="1"/>
  <c r="R337" i="1"/>
  <c r="S337" i="1" l="1"/>
  <c r="T337" i="1" s="1"/>
  <c r="R336" i="1"/>
  <c r="S336" i="1" l="1"/>
  <c r="T336" i="1" s="1"/>
  <c r="R335" i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S330" i="1" l="1"/>
  <c r="T330" i="1" s="1"/>
  <c r="R329" i="1"/>
  <c r="R328" i="1" l="1"/>
  <c r="S329" i="1"/>
  <c r="T329" i="1" s="1"/>
  <c r="S328" i="1" l="1"/>
  <c r="T328" i="1" s="1"/>
  <c r="R327" i="1"/>
  <c r="R326" i="1" l="1"/>
  <c r="S327" i="1"/>
  <c r="T327" i="1" s="1"/>
  <c r="S326" i="1" l="1"/>
  <c r="T326" i="1" s="1"/>
  <c r="R325" i="1"/>
  <c r="S325" i="1" l="1"/>
  <c r="T325" i="1" s="1"/>
  <c r="R324" i="1"/>
  <c r="R323" i="1" l="1"/>
  <c r="S324" i="1"/>
  <c r="T324" i="1" s="1"/>
  <c r="S323" i="1" l="1"/>
  <c r="T323" i="1" s="1"/>
  <c r="R322" i="1"/>
  <c r="R321" i="1" l="1"/>
  <c r="S322" i="1"/>
  <c r="T322" i="1" s="1"/>
  <c r="S321" i="1" l="1"/>
  <c r="T321" i="1" s="1"/>
  <c r="R320" i="1"/>
  <c r="R319" i="1" l="1"/>
  <c r="S320" i="1"/>
  <c r="T320" i="1" s="1"/>
  <c r="R318" i="1" l="1"/>
  <c r="S319" i="1"/>
  <c r="T319" i="1" s="1"/>
  <c r="S318" i="1" l="1"/>
  <c r="T318" i="1" s="1"/>
  <c r="R317" i="1"/>
  <c r="R316" i="1" l="1"/>
  <c r="S317" i="1"/>
  <c r="T317" i="1" s="1"/>
  <c r="S316" i="1" l="1"/>
  <c r="T316" i="1" s="1"/>
  <c r="R315" i="1"/>
  <c r="R314" i="1" l="1"/>
  <c r="S315" i="1"/>
  <c r="T315" i="1" s="1"/>
  <c r="S314" i="1" l="1"/>
  <c r="T314" i="1" s="1"/>
  <c r="R313" i="1"/>
  <c r="S313" i="1" l="1"/>
  <c r="T313" i="1" s="1"/>
  <c r="R312" i="1"/>
  <c r="R311" i="1" l="1"/>
  <c r="S312" i="1"/>
  <c r="T312" i="1" s="1"/>
  <c r="S311" i="1" l="1"/>
  <c r="T311" i="1" s="1"/>
  <c r="R310" i="1"/>
  <c r="R309" i="1" l="1"/>
  <c r="S310" i="1"/>
  <c r="T310" i="1" s="1"/>
  <c r="R308" i="1" l="1"/>
  <c r="S309" i="1"/>
  <c r="T309" i="1" s="1"/>
  <c r="S308" i="1" l="1"/>
  <c r="T308" i="1" s="1"/>
  <c r="R307" i="1"/>
  <c r="R306" i="1" l="1"/>
  <c r="S307" i="1"/>
  <c r="T307" i="1" s="1"/>
  <c r="S306" i="1" l="1"/>
  <c r="T306" i="1" s="1"/>
  <c r="R305" i="1"/>
  <c r="R304" i="1" l="1"/>
  <c r="S305" i="1"/>
  <c r="T305" i="1" s="1"/>
  <c r="S304" i="1" l="1"/>
  <c r="T304" i="1" s="1"/>
  <c r="R303" i="1"/>
  <c r="S303" i="1" l="1"/>
  <c r="T303" i="1" s="1"/>
  <c r="R302" i="1"/>
  <c r="R301" i="1" l="1"/>
  <c r="S302" i="1"/>
  <c r="T302" i="1" s="1"/>
  <c r="S301" i="1" l="1"/>
  <c r="T301" i="1" s="1"/>
  <c r="R300" i="1"/>
  <c r="R299" i="1" l="1"/>
  <c r="S300" i="1"/>
  <c r="T300" i="1" s="1"/>
  <c r="S299" i="1" l="1"/>
  <c r="T299" i="1" s="1"/>
  <c r="R298" i="1"/>
  <c r="S298" i="1" l="1"/>
  <c r="T298" i="1" s="1"/>
  <c r="R297" i="1"/>
  <c r="S297" i="1" l="1"/>
  <c r="T297" i="1" s="1"/>
  <c r="R296" i="1"/>
  <c r="S296" i="1" l="1"/>
  <c r="T296" i="1" s="1"/>
  <c r="R295" i="1"/>
  <c r="R294" i="1" l="1"/>
  <c r="S295" i="1"/>
  <c r="T295" i="1" s="1"/>
  <c r="S294" i="1" l="1"/>
  <c r="T294" i="1" s="1"/>
  <c r="R293" i="1"/>
  <c r="S293" i="1" l="1"/>
  <c r="T293" i="1" s="1"/>
  <c r="R292" i="1"/>
  <c r="S292" i="1" l="1"/>
  <c r="T292" i="1" s="1"/>
  <c r="R291" i="1"/>
  <c r="S291" i="1" l="1"/>
  <c r="T291" i="1" s="1"/>
  <c r="R290" i="1"/>
  <c r="R289" i="1" l="1"/>
  <c r="S290" i="1"/>
  <c r="T290" i="1" s="1"/>
  <c r="S289" i="1" l="1"/>
  <c r="T289" i="1" s="1"/>
  <c r="R288" i="1"/>
  <c r="S288" i="1" l="1"/>
  <c r="T288" i="1" s="1"/>
  <c r="R287" i="1"/>
  <c r="R286" i="1" l="1"/>
  <c r="S287" i="1"/>
  <c r="T287" i="1" s="1"/>
  <c r="R285" i="1" l="1"/>
  <c r="S286" i="1"/>
  <c r="T286" i="1" s="1"/>
  <c r="S285" i="1" l="1"/>
  <c r="T285" i="1" s="1"/>
  <c r="R284" i="1"/>
  <c r="S284" i="1" l="1"/>
  <c r="T284" i="1" s="1"/>
  <c r="R283" i="1"/>
  <c r="R282" i="1" l="1"/>
  <c r="S283" i="1"/>
  <c r="T283" i="1" s="1"/>
  <c r="S282" i="1" l="1"/>
  <c r="T282" i="1" s="1"/>
  <c r="R281" i="1"/>
  <c r="R280" i="1" l="1"/>
  <c r="S281" i="1"/>
  <c r="T281" i="1" s="1"/>
  <c r="S280" i="1" l="1"/>
  <c r="T280" i="1" s="1"/>
  <c r="R279" i="1"/>
  <c r="R278" i="1" l="1"/>
  <c r="S279" i="1"/>
  <c r="T279" i="1" s="1"/>
  <c r="R277" i="1" l="1"/>
  <c r="S278" i="1"/>
  <c r="T278" i="1" s="1"/>
  <c r="S277" i="1" l="1"/>
  <c r="T277" i="1" s="1"/>
  <c r="R276" i="1"/>
  <c r="R275" i="1" l="1"/>
  <c r="S276" i="1"/>
  <c r="T276" i="1" s="1"/>
  <c r="S275" i="1" l="1"/>
  <c r="T275" i="1" s="1"/>
  <c r="R274" i="1"/>
  <c r="R273" i="1" l="1"/>
  <c r="S274" i="1"/>
  <c r="T274" i="1" s="1"/>
  <c r="S273" i="1" l="1"/>
  <c r="T273" i="1" s="1"/>
  <c r="R272" i="1"/>
  <c r="S272" i="1" l="1"/>
  <c r="T272" i="1" s="1"/>
  <c r="R271" i="1"/>
  <c r="R270" i="1" l="1"/>
  <c r="S271" i="1"/>
  <c r="T271" i="1" s="1"/>
  <c r="S270" i="1" l="1"/>
  <c r="T270" i="1" s="1"/>
  <c r="R269" i="1"/>
  <c r="R268" i="1" l="1"/>
  <c r="S269" i="1"/>
  <c r="T269" i="1" s="1"/>
  <c r="S268" i="1" l="1"/>
  <c r="T268" i="1" s="1"/>
  <c r="R267" i="1"/>
  <c r="R266" i="1" l="1"/>
  <c r="S267" i="1"/>
  <c r="T267" i="1" s="1"/>
  <c r="R265" i="1" l="1"/>
  <c r="S266" i="1"/>
  <c r="T266" i="1" s="1"/>
  <c r="S265" i="1" l="1"/>
  <c r="T265" i="1" s="1"/>
  <c r="R264" i="1"/>
  <c r="S264" i="1" l="1"/>
  <c r="T264" i="1" s="1"/>
  <c r="R263" i="1"/>
  <c r="S263" i="1" l="1"/>
  <c r="T263" i="1" s="1"/>
  <c r="R262" i="1"/>
  <c r="S262" i="1" l="1"/>
  <c r="T262" i="1" s="1"/>
  <c r="R261" i="1"/>
  <c r="S261" i="1" l="1"/>
  <c r="T261" i="1" s="1"/>
  <c r="R260" i="1"/>
  <c r="S260" i="1" l="1"/>
  <c r="T260" i="1" s="1"/>
  <c r="R259" i="1"/>
  <c r="S259" i="1" l="1"/>
  <c r="T259" i="1" s="1"/>
  <c r="R258" i="1"/>
  <c r="S258" i="1" l="1"/>
  <c r="T258" i="1" s="1"/>
  <c r="R257" i="1"/>
  <c r="S257" i="1" l="1"/>
  <c r="T257" i="1" s="1"/>
  <c r="R256" i="1"/>
  <c r="S256" i="1" l="1"/>
  <c r="T256" i="1" s="1"/>
  <c r="R255" i="1"/>
  <c r="S255" i="1" l="1"/>
  <c r="T255" i="1" s="1"/>
  <c r="R254" i="1"/>
  <c r="S254" i="1" l="1"/>
  <c r="T254" i="1" s="1"/>
  <c r="R253" i="1"/>
  <c r="R252" i="1" l="1"/>
  <c r="S253" i="1"/>
  <c r="T253" i="1" s="1"/>
  <c r="R251" i="1" l="1"/>
  <c r="S252" i="1"/>
  <c r="T252" i="1" s="1"/>
  <c r="R250" i="1" l="1"/>
  <c r="S251" i="1"/>
  <c r="T251" i="1" s="1"/>
  <c r="S250" i="1" l="1"/>
  <c r="T250" i="1" s="1"/>
  <c r="R249" i="1"/>
  <c r="S249" i="1" l="1"/>
  <c r="T249" i="1" s="1"/>
  <c r="R248" i="1"/>
  <c r="R247" i="1" l="1"/>
  <c r="S248" i="1"/>
  <c r="T248" i="1" s="1"/>
  <c r="S247" i="1" l="1"/>
  <c r="T247" i="1" s="1"/>
  <c r="R246" i="1"/>
  <c r="S246" i="1" l="1"/>
  <c r="T246" i="1" s="1"/>
  <c r="R245" i="1"/>
  <c r="S245" i="1" l="1"/>
  <c r="T245" i="1" s="1"/>
  <c r="R244" i="1"/>
  <c r="R243" i="1" l="1"/>
  <c r="S244" i="1"/>
  <c r="T244" i="1" s="1"/>
  <c r="R242" i="1" l="1"/>
  <c r="S243" i="1"/>
  <c r="T243" i="1" s="1"/>
  <c r="S242" i="1" l="1"/>
  <c r="T242" i="1" s="1"/>
  <c r="R241" i="1"/>
  <c r="R240" i="1" l="1"/>
  <c r="S241" i="1"/>
  <c r="T241" i="1" s="1"/>
  <c r="S240" i="1" l="1"/>
  <c r="T240" i="1" s="1"/>
  <c r="R239" i="1"/>
  <c r="R238" i="1" l="1"/>
  <c r="S239" i="1"/>
  <c r="T239" i="1" s="1"/>
  <c r="S238" i="1" l="1"/>
  <c r="T238" i="1" s="1"/>
  <c r="R237" i="1"/>
  <c r="S237" i="1" l="1"/>
  <c r="T237" i="1" s="1"/>
  <c r="R236" i="1"/>
  <c r="R235" i="1" l="1"/>
  <c r="S236" i="1"/>
  <c r="T236" i="1" s="1"/>
  <c r="S235" i="1" l="1"/>
  <c r="T235" i="1" s="1"/>
  <c r="R234" i="1"/>
  <c r="R233" i="1" l="1"/>
  <c r="S234" i="1"/>
  <c r="T234" i="1" s="1"/>
  <c r="S233" i="1" l="1"/>
  <c r="T233" i="1" s="1"/>
  <c r="R232" i="1"/>
  <c r="S232" i="1" l="1"/>
  <c r="T232" i="1" s="1"/>
  <c r="R231" i="1"/>
  <c r="R230" i="1" l="1"/>
  <c r="S231" i="1"/>
  <c r="T231" i="1" s="1"/>
  <c r="S230" i="1" l="1"/>
  <c r="T230" i="1" s="1"/>
  <c r="R229" i="1"/>
  <c r="R228" i="1" l="1"/>
  <c r="S229" i="1"/>
  <c r="T229" i="1" s="1"/>
  <c r="S228" i="1" l="1"/>
  <c r="T228" i="1" s="1"/>
  <c r="R227" i="1"/>
  <c r="S227" i="1" l="1"/>
  <c r="T227" i="1" s="1"/>
  <c r="R226" i="1"/>
  <c r="S226" i="1" l="1"/>
  <c r="T226" i="1" s="1"/>
  <c r="R225" i="1"/>
  <c r="S225" i="1" l="1"/>
  <c r="T225" i="1" s="1"/>
  <c r="R224" i="1"/>
  <c r="R223" i="1" l="1"/>
  <c r="S224" i="1"/>
  <c r="T224" i="1" s="1"/>
  <c r="S223" i="1" l="1"/>
  <c r="T223" i="1" s="1"/>
  <c r="R222" i="1"/>
  <c r="R221" i="1" l="1"/>
  <c r="S222" i="1"/>
  <c r="T222" i="1" s="1"/>
  <c r="R220" i="1" l="1"/>
  <c r="S221" i="1"/>
  <c r="T221" i="1" s="1"/>
  <c r="S220" i="1" l="1"/>
  <c r="T220" i="1" s="1"/>
  <c r="R219" i="1"/>
  <c r="R218" i="1" l="1"/>
  <c r="S219" i="1"/>
  <c r="T219" i="1" s="1"/>
  <c r="R217" i="1" l="1"/>
  <c r="S218" i="1"/>
  <c r="T218" i="1" s="1"/>
  <c r="R216" i="1" l="1"/>
  <c r="S217" i="1"/>
  <c r="T217" i="1" s="1"/>
  <c r="S216" i="1" l="1"/>
  <c r="T216" i="1" s="1"/>
  <c r="R215" i="1"/>
  <c r="S215" i="1" l="1"/>
  <c r="T215" i="1" s="1"/>
  <c r="R214" i="1"/>
  <c r="S214" i="1" l="1"/>
  <c r="T214" i="1" s="1"/>
  <c r="R213" i="1"/>
  <c r="S213" i="1" l="1"/>
  <c r="T213" i="1" s="1"/>
  <c r="R212" i="1"/>
  <c r="S212" i="1" l="1"/>
  <c r="T212" i="1" s="1"/>
  <c r="R211" i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S207" i="1" l="1"/>
  <c r="T207" i="1" s="1"/>
  <c r="R206" i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S202" i="1" l="1"/>
  <c r="T202" i="1" s="1"/>
  <c r="R201" i="1"/>
  <c r="R200" i="1" l="1"/>
  <c r="S201" i="1"/>
  <c r="T201" i="1" s="1"/>
  <c r="S200" i="1" l="1"/>
  <c r="T200" i="1" s="1"/>
  <c r="R199" i="1"/>
  <c r="R198" i="1" l="1"/>
  <c r="S199" i="1"/>
  <c r="T199" i="1" s="1"/>
  <c r="S198" i="1" l="1"/>
  <c r="T198" i="1" s="1"/>
  <c r="R197" i="1"/>
  <c r="S197" i="1" l="1"/>
  <c r="T197" i="1" s="1"/>
  <c r="R196" i="1"/>
  <c r="S196" i="1" l="1"/>
  <c r="T196" i="1" s="1"/>
  <c r="R195" i="1"/>
  <c r="R194" i="1" l="1"/>
  <c r="S195" i="1"/>
  <c r="T195" i="1" s="1"/>
  <c r="S194" i="1" l="1"/>
  <c r="T194" i="1" s="1"/>
  <c r="R193" i="1"/>
  <c r="S193" i="1" l="1"/>
  <c r="T193" i="1" s="1"/>
  <c r="R192" i="1"/>
  <c r="S192" i="1" l="1"/>
  <c r="T192" i="1" s="1"/>
  <c r="R191" i="1"/>
  <c r="S191" i="1" l="1"/>
  <c r="T191" i="1" s="1"/>
  <c r="R190" i="1"/>
  <c r="R189" i="1" l="1"/>
  <c r="S190" i="1"/>
  <c r="T190" i="1" s="1"/>
  <c r="S189" i="1" l="1"/>
  <c r="T189" i="1" s="1"/>
  <c r="R188" i="1"/>
  <c r="S188" i="1" l="1"/>
  <c r="T188" i="1" s="1"/>
  <c r="R187" i="1"/>
  <c r="S187" i="1" l="1"/>
  <c r="T187" i="1" s="1"/>
  <c r="R186" i="1"/>
  <c r="R185" i="1" l="1"/>
  <c r="S186" i="1"/>
  <c r="T186" i="1" s="1"/>
  <c r="R184" i="1" l="1"/>
  <c r="S185" i="1"/>
  <c r="T185" i="1" s="1"/>
  <c r="S184" i="1" l="1"/>
  <c r="T184" i="1" s="1"/>
  <c r="R183" i="1"/>
  <c r="S183" i="1" l="1"/>
  <c r="T183" i="1" s="1"/>
  <c r="R182" i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S176" i="1" l="1"/>
  <c r="T176" i="1" s="1"/>
  <c r="R175" i="1"/>
  <c r="S175" i="1" l="1"/>
  <c r="T175" i="1" s="1"/>
  <c r="R174" i="1"/>
  <c r="S174" i="1" l="1"/>
  <c r="T174" i="1" s="1"/>
  <c r="R173" i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S166" i="1" l="1"/>
  <c r="T166" i="1" s="1"/>
  <c r="R165" i="1"/>
  <c r="S165" i="1" l="1"/>
  <c r="T165" i="1" s="1"/>
  <c r="R164" i="1"/>
  <c r="R163" i="1" l="1"/>
  <c r="S164" i="1"/>
  <c r="T164" i="1" s="1"/>
  <c r="S163" i="1" l="1"/>
  <c r="T163" i="1" s="1"/>
  <c r="R162" i="1"/>
  <c r="R161" i="1" l="1"/>
  <c r="S162" i="1"/>
  <c r="T162" i="1" s="1"/>
  <c r="S161" i="1" l="1"/>
  <c r="T161" i="1" s="1"/>
  <c r="R160" i="1"/>
  <c r="R159" i="1" l="1"/>
  <c r="S160" i="1"/>
  <c r="T160" i="1" s="1"/>
  <c r="S159" i="1" l="1"/>
  <c r="T159" i="1" s="1"/>
  <c r="R158" i="1"/>
  <c r="S158" i="1" l="1"/>
  <c r="T158" i="1" s="1"/>
  <c r="R157" i="1"/>
  <c r="R156" i="1" l="1"/>
  <c r="S157" i="1"/>
  <c r="T157" i="1" s="1"/>
  <c r="R155" i="1" l="1"/>
  <c r="S156" i="1"/>
  <c r="T156" i="1" s="1"/>
  <c r="S155" i="1" l="1"/>
  <c r="T155" i="1" s="1"/>
  <c r="R154" i="1"/>
  <c r="S154" i="1" l="1"/>
  <c r="T154" i="1" s="1"/>
  <c r="R153" i="1"/>
  <c r="R152" i="1" l="1"/>
  <c r="S153" i="1"/>
  <c r="T153" i="1" s="1"/>
  <c r="S152" i="1" l="1"/>
  <c r="T152" i="1" s="1"/>
  <c r="R151" i="1"/>
  <c r="S151" i="1" l="1"/>
  <c r="T151" i="1" s="1"/>
  <c r="R150" i="1"/>
  <c r="S150" i="1" l="1"/>
  <c r="T150" i="1" s="1"/>
  <c r="R149" i="1"/>
  <c r="R148" i="1" l="1"/>
  <c r="S149" i="1"/>
  <c r="T149" i="1" s="1"/>
  <c r="S148" i="1" l="1"/>
  <c r="T148" i="1" s="1"/>
  <c r="R147" i="1"/>
  <c r="R146" i="1" l="1"/>
  <c r="S147" i="1"/>
  <c r="T147" i="1" s="1"/>
  <c r="R145" i="1" l="1"/>
  <c r="S146" i="1"/>
  <c r="T146" i="1" s="1"/>
  <c r="S145" i="1" l="1"/>
  <c r="T145" i="1" s="1"/>
  <c r="R144" i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S140" i="1" l="1"/>
  <c r="T140" i="1" s="1"/>
  <c r="R139" i="1"/>
  <c r="R138" i="1" l="1"/>
  <c r="S139" i="1"/>
  <c r="T139" i="1" s="1"/>
  <c r="R137" i="1" l="1"/>
  <c r="S138" i="1"/>
  <c r="T138" i="1" s="1"/>
  <c r="R136" i="1" l="1"/>
  <c r="S137" i="1"/>
  <c r="T137" i="1" s="1"/>
  <c r="S136" i="1" l="1"/>
  <c r="T136" i="1" s="1"/>
  <c r="R135" i="1"/>
  <c r="S135" i="1" l="1"/>
  <c r="T135" i="1" s="1"/>
  <c r="R134" i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S122" i="1" l="1"/>
  <c r="T122" i="1" s="1"/>
  <c r="R121" i="1"/>
  <c r="S121" i="1" l="1"/>
  <c r="T121" i="1" s="1"/>
  <c r="R120" i="1"/>
  <c r="S120" i="1" l="1"/>
  <c r="T120" i="1" s="1"/>
  <c r="R119" i="1"/>
  <c r="S119" i="1" l="1"/>
  <c r="T119" i="1" s="1"/>
  <c r="R118" i="1"/>
  <c r="S118" i="1" l="1"/>
  <c r="T118" i="1" s="1"/>
  <c r="R117" i="1"/>
  <c r="S117" i="1" l="1"/>
  <c r="T117" i="1" s="1"/>
  <c r="R116" i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S110" i="1" l="1"/>
  <c r="T110" i="1" s="1"/>
  <c r="R109" i="1"/>
  <c r="S109" i="1" l="1"/>
  <c r="T109" i="1" s="1"/>
  <c r="R108" i="1"/>
  <c r="S108" i="1" l="1"/>
  <c r="T108" i="1" s="1"/>
  <c r="R107" i="1"/>
  <c r="S107" i="1" l="1"/>
  <c r="T107" i="1" s="1"/>
  <c r="R106" i="1"/>
  <c r="S106" i="1" l="1"/>
  <c r="T106" i="1" s="1"/>
  <c r="R105" i="1"/>
  <c r="S105" i="1" l="1"/>
  <c r="T105" i="1" s="1"/>
  <c r="R104" i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S98" i="1" l="1"/>
  <c r="T98" i="1" s="1"/>
  <c r="R97" i="1"/>
  <c r="S97" i="1" l="1"/>
  <c r="T97" i="1" s="1"/>
  <c r="R96" i="1"/>
  <c r="S96" i="1" l="1"/>
  <c r="T96" i="1" s="1"/>
  <c r="R95" i="1"/>
  <c r="S95" i="1" l="1"/>
  <c r="T95" i="1" s="1"/>
  <c r="R94" i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S89" i="1" l="1"/>
  <c r="T89" i="1" s="1"/>
  <c r="R88" i="1"/>
  <c r="R87" i="1" l="1"/>
  <c r="S88" i="1"/>
  <c r="T88" i="1" s="1"/>
  <c r="R86" i="1" l="1"/>
  <c r="S87" i="1"/>
  <c r="T87" i="1" s="1"/>
  <c r="R85" i="1" l="1"/>
  <c r="S86" i="1"/>
  <c r="T86" i="1" s="1"/>
  <c r="S85" i="1" l="1"/>
  <c r="T85" i="1" s="1"/>
  <c r="R84" i="1"/>
  <c r="S84" i="1" l="1"/>
  <c r="T84" i="1" s="1"/>
  <c r="R83" i="1"/>
  <c r="R82" i="1" l="1"/>
  <c r="S83" i="1"/>
  <c r="T83" i="1" s="1"/>
  <c r="S82" i="1" l="1"/>
  <c r="T82" i="1" s="1"/>
  <c r="R81" i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S76" i="1" l="1"/>
  <c r="T76" i="1" s="1"/>
  <c r="R75" i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S71" i="1" l="1"/>
  <c r="T71" i="1" s="1"/>
  <c r="R70" i="1"/>
  <c r="R69" i="1" l="1"/>
  <c r="S70" i="1"/>
  <c r="T70" i="1" s="1"/>
  <c r="S69" i="1" l="1"/>
  <c r="T69" i="1" s="1"/>
  <c r="R68" i="1"/>
  <c r="S68" i="1" l="1"/>
  <c r="T68" i="1" s="1"/>
  <c r="R67" i="1"/>
  <c r="S67" i="1" l="1"/>
  <c r="T67" i="1" s="1"/>
  <c r="R66" i="1"/>
  <c r="S66" i="1" l="1"/>
  <c r="T66" i="1" s="1"/>
  <c r="R65" i="1"/>
  <c r="S65" i="1" l="1"/>
  <c r="T65" i="1" s="1"/>
  <c r="R64" i="1"/>
  <c r="R63" i="1" l="1"/>
  <c r="S64" i="1"/>
  <c r="T64" i="1" s="1"/>
  <c r="R62" i="1" l="1"/>
  <c r="S63" i="1"/>
  <c r="T63" i="1" s="1"/>
  <c r="S62" i="1" l="1"/>
  <c r="T62" i="1" s="1"/>
  <c r="R61" i="1"/>
  <c r="R60" i="1" l="1"/>
  <c r="S61" i="1"/>
  <c r="T61" i="1" s="1"/>
  <c r="R59" i="1" l="1"/>
  <c r="S60" i="1"/>
  <c r="T60" i="1" s="1"/>
  <c r="R58" i="1" l="1"/>
  <c r="S59" i="1"/>
  <c r="T59" i="1" s="1"/>
  <c r="S58" i="1" l="1"/>
  <c r="T58" i="1" s="1"/>
  <c r="R57" i="1"/>
  <c r="R56" i="1" l="1"/>
  <c r="S57" i="1"/>
  <c r="T57" i="1" s="1"/>
  <c r="S56" i="1" l="1"/>
  <c r="T56" i="1" s="1"/>
  <c r="R55" i="1"/>
  <c r="S55" i="1" l="1"/>
  <c r="T55" i="1" s="1"/>
  <c r="R54" i="1"/>
  <c r="S54" i="1" l="1"/>
  <c r="T54" i="1" s="1"/>
  <c r="R53" i="1"/>
  <c r="R52" i="1" l="1"/>
  <c r="S53" i="1"/>
  <c r="T53" i="1" s="1"/>
  <c r="S52" i="1" l="1"/>
  <c r="T52" i="1" s="1"/>
  <c r="R51" i="1"/>
  <c r="R50" i="1" l="1"/>
  <c r="S51" i="1"/>
  <c r="T51" i="1" s="1"/>
  <c r="S50" i="1" l="1"/>
  <c r="T50" i="1" s="1"/>
  <c r="R49" i="1"/>
  <c r="S49" i="1" l="1"/>
  <c r="T49" i="1" s="1"/>
  <c r="R48" i="1"/>
  <c r="S48" i="1" l="1"/>
  <c r="T48" i="1" s="1"/>
  <c r="R47" i="1"/>
  <c r="S47" i="1" l="1"/>
  <c r="T47" i="1" s="1"/>
  <c r="R46" i="1"/>
  <c r="R45" i="1" l="1"/>
  <c r="S46" i="1"/>
  <c r="T46" i="1" s="1"/>
  <c r="S45" i="1" l="1"/>
  <c r="T45" i="1" s="1"/>
  <c r="R44" i="1"/>
  <c r="R43" i="1" l="1"/>
  <c r="S44" i="1"/>
  <c r="T44" i="1" s="1"/>
  <c r="R42" i="1" l="1"/>
  <c r="S43" i="1"/>
  <c r="T43" i="1" s="1"/>
  <c r="R41" i="1" l="1"/>
  <c r="S42" i="1"/>
  <c r="T42" i="1" s="1"/>
  <c r="S41" i="1" l="1"/>
  <c r="T41" i="1" s="1"/>
  <c r="R40" i="1"/>
  <c r="R39" i="1" l="1"/>
  <c r="S40" i="1"/>
  <c r="T40" i="1" s="1"/>
  <c r="R38" i="1" l="1"/>
  <c r="S39" i="1"/>
  <c r="T39" i="1" s="1"/>
  <c r="R37" i="1" l="1"/>
  <c r="S38" i="1"/>
  <c r="T38" i="1" s="1"/>
  <c r="R36" i="1" l="1"/>
  <c r="S37" i="1"/>
  <c r="T37" i="1" s="1"/>
  <c r="S36" i="1" l="1"/>
  <c r="T36" i="1" s="1"/>
  <c r="R35" i="1"/>
  <c r="R34" i="1" l="1"/>
  <c r="S35" i="1"/>
  <c r="T35" i="1" s="1"/>
  <c r="R33" i="1" l="1"/>
  <c r="S34" i="1"/>
  <c r="T34" i="1" s="1"/>
  <c r="R32" i="1" l="1"/>
  <c r="S33" i="1"/>
  <c r="T33" i="1" s="1"/>
  <c r="S32" i="1" l="1"/>
  <c r="T32" i="1" s="1"/>
  <c r="R31" i="1"/>
  <c r="S31" i="1" l="1"/>
  <c r="T31" i="1" s="1"/>
  <c r="R30" i="1"/>
  <c r="R29" i="1" l="1"/>
  <c r="S30" i="1"/>
  <c r="T30" i="1" s="1"/>
  <c r="S29" i="1" l="1"/>
  <c r="T29" i="1" s="1"/>
  <c r="R28" i="1"/>
  <c r="R27" i="1" l="1"/>
  <c r="S28" i="1"/>
  <c r="T28" i="1" s="1"/>
  <c r="R26" i="1" l="1"/>
  <c r="S27" i="1"/>
  <c r="T27" i="1" s="1"/>
  <c r="S26" i="1" l="1"/>
  <c r="T26" i="1" s="1"/>
  <c r="R25" i="1"/>
  <c r="S25" i="1" l="1"/>
  <c r="T25" i="1" s="1"/>
  <c r="R24" i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<sst xmlns="http://schemas.openxmlformats.org/spreadsheetml/2006/main" count="2285" uniqueCount="34">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</sst>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0.22800000000000001</c:v>
                </c:pt>
                <c:pt idx="1">
                  <c:v>0.23300000000000001</c:v>
                </c:pt>
                <c:pt idx="2">
                  <c:v>0.24</c:v>
                </c:pt>
                <c:pt idx="3">
                  <c:v>0.24399999999999999</c:v>
                </c:pt>
                <c:pt idx="4">
                  <c:v>0.26600000000000001</c:v>
                </c:pt>
                <c:pt idx="5">
                  <c:v>0.27100000000000002</c:v>
                </c:pt>
                <c:pt idx="6">
                  <c:v>0.25900000000000001</c:v>
                </c:pt>
                <c:pt idx="7">
                  <c:v>0.30099999999999999</c:v>
                </c:pt>
                <c:pt idx="8">
                  <c:v>0.309</c:v>
                </c:pt>
                <c:pt idx="9">
                  <c:v>0.309</c:v>
                </c:pt>
                <c:pt idx="10">
                  <c:v>0.314</c:v>
                </c:pt>
                <c:pt idx="11">
                  <c:v>0.313</c:v>
                </c:pt>
                <c:pt idx="12">
                  <c:v>0.32100000000000001</c:v>
                </c:pt>
                <c:pt idx="13">
                  <c:v>0.307</c:v>
                </c:pt>
                <c:pt idx="14">
                  <c:v>0.31</c:v>
                </c:pt>
                <c:pt idx="15">
                  <c:v>0.32700000000000001</c:v>
                </c:pt>
                <c:pt idx="16">
                  <c:v>0.32</c:v>
                </c:pt>
                <c:pt idx="17">
                  <c:v>0.313</c:v>
                </c:pt>
                <c:pt idx="18">
                  <c:v>0.32100000000000001</c:v>
                </c:pt>
                <c:pt idx="19">
                  <c:v>0.317</c:v>
                </c:pt>
                <c:pt idx="20">
                  <c:v>0.32500000000000001</c:v>
                </c:pt>
                <c:pt idx="21">
                  <c:v>0.34499999999999997</c:v>
                </c:pt>
                <c:pt idx="22">
                  <c:v>0.36</c:v>
                </c:pt>
                <c:pt idx="23">
                  <c:v>0.38500000000000001</c:v>
                </c:pt>
                <c:pt idx="24">
                  <c:v>0.38600000000000001</c:v>
                </c:pt>
                <c:pt idx="25">
                  <c:v>0.39400000000000002</c:v>
                </c:pt>
                <c:pt idx="26">
                  <c:v>0.40200000000000002</c:v>
                </c:pt>
                <c:pt idx="27">
                  <c:v>0.378</c:v>
                </c:pt>
                <c:pt idx="28">
                  <c:v>0.36599999999999999</c:v>
                </c:pt>
                <c:pt idx="29">
                  <c:v>0.36599999999999999</c:v>
                </c:pt>
                <c:pt idx="30">
                  <c:v>0.377</c:v>
                </c:pt>
                <c:pt idx="31">
                  <c:v>0.40500000000000003</c:v>
                </c:pt>
                <c:pt idx="32">
                  <c:v>0.41599999999999998</c:v>
                </c:pt>
                <c:pt idx="33">
                  <c:v>0.41899999999999998</c:v>
                </c:pt>
                <c:pt idx="34">
                  <c:v>0.38</c:v>
                </c:pt>
                <c:pt idx="35">
                  <c:v>0.39</c:v>
                </c:pt>
                <c:pt idx="36">
                  <c:v>0.38200000000000001</c:v>
                </c:pt>
                <c:pt idx="37">
                  <c:v>0.37</c:v>
                </c:pt>
                <c:pt idx="38">
                  <c:v>0.36</c:v>
                </c:pt>
                <c:pt idx="39">
                  <c:v>0.36899999999999999</c:v>
                </c:pt>
                <c:pt idx="40">
                  <c:v>0.38700000000000001</c:v>
                </c:pt>
                <c:pt idx="41">
                  <c:v>0.38700000000000001</c:v>
                </c:pt>
                <c:pt idx="42">
                  <c:v>0.39200000000000002</c:v>
                </c:pt>
                <c:pt idx="43">
                  <c:v>0.378</c:v>
                </c:pt>
                <c:pt idx="44">
                  <c:v>0.38100000000000001</c:v>
                </c:pt>
                <c:pt idx="45">
                  <c:v>0.4</c:v>
                </c:pt>
                <c:pt idx="46">
                  <c:v>0.499</c:v>
                </c:pt>
                <c:pt idx="47">
                  <c:v>0.42199999999999999</c:v>
                </c:pt>
                <c:pt idx="48">
                  <c:v>0.42099999999999999</c:v>
                </c:pt>
                <c:pt idx="49">
                  <c:v>0.45200000000000001</c:v>
                </c:pt>
                <c:pt idx="50">
                  <c:v>0.49</c:v>
                </c:pt>
                <c:pt idx="51">
                  <c:v>0.47799999999999998</c:v>
                </c:pt>
                <c:pt idx="52">
                  <c:v>0.502</c:v>
                </c:pt>
                <c:pt idx="53">
                  <c:v>0.51600000000000001</c:v>
                </c:pt>
                <c:pt idx="54">
                  <c:v>0.55100000000000005</c:v>
                </c:pt>
                <c:pt idx="55">
                  <c:v>0.66</c:v>
                </c:pt>
                <c:pt idx="56">
                  <c:v>0.65500000000000003</c:v>
                </c:pt>
                <c:pt idx="57">
                  <c:v>0.65800000000000003</c:v>
                </c:pt>
                <c:pt idx="58">
                  <c:v>0.64100000000000001</c:v>
                </c:pt>
                <c:pt idx="59">
                  <c:v>0.66300000000000003</c:v>
                </c:pt>
                <c:pt idx="60">
                  <c:v>0.65500000000000003</c:v>
                </c:pt>
                <c:pt idx="61">
                  <c:v>0.67</c:v>
                </c:pt>
                <c:pt idx="62">
                  <c:v>0.65600000000000003</c:v>
                </c:pt>
                <c:pt idx="63">
                  <c:v>0.72299999999999998</c:v>
                </c:pt>
                <c:pt idx="64">
                  <c:v>0.73599999999999999</c:v>
                </c:pt>
                <c:pt idx="65">
                  <c:v>0.754</c:v>
                </c:pt>
                <c:pt idx="66">
                  <c:v>0.79</c:v>
                </c:pt>
                <c:pt idx="67">
                  <c:v>0.77300000000000002</c:v>
                </c:pt>
                <c:pt idx="68">
                  <c:v>0.73699999999999999</c:v>
                </c:pt>
                <c:pt idx="69">
                  <c:v>0.748</c:v>
                </c:pt>
                <c:pt idx="70">
                  <c:v>0.71199999999999997</c:v>
                </c:pt>
                <c:pt idx="71">
                  <c:v>0.79</c:v>
                </c:pt>
                <c:pt idx="72">
                  <c:v>0.79800000000000004</c:v>
                </c:pt>
                <c:pt idx="73">
                  <c:v>0.86099999999999999</c:v>
                </c:pt>
                <c:pt idx="74">
                  <c:v>0.88700000000000001</c:v>
                </c:pt>
                <c:pt idx="75">
                  <c:v>0.92</c:v>
                </c:pt>
                <c:pt idx="76">
                  <c:v>0.89700000000000002</c:v>
                </c:pt>
                <c:pt idx="77">
                  <c:v>0.88800000000000001</c:v>
                </c:pt>
                <c:pt idx="78">
                  <c:v>0.88900000000000001</c:v>
                </c:pt>
                <c:pt idx="79">
                  <c:v>0.95</c:v>
                </c:pt>
                <c:pt idx="80">
                  <c:v>0.97799999999999998</c:v>
                </c:pt>
                <c:pt idx="81">
                  <c:v>0.998</c:v>
                </c:pt>
                <c:pt idx="82">
                  <c:v>1.0069999999999999</c:v>
                </c:pt>
                <c:pt idx="83">
                  <c:v>1.0309999999999999</c:v>
                </c:pt>
                <c:pt idx="84">
                  <c:v>1.0409999999999999</c:v>
                </c:pt>
                <c:pt idx="85">
                  <c:v>1.0840000000000001</c:v>
                </c:pt>
                <c:pt idx="86">
                  <c:v>1.071</c:v>
                </c:pt>
                <c:pt idx="87">
                  <c:v>1.026</c:v>
                </c:pt>
                <c:pt idx="88">
                  <c:v>1.01</c:v>
                </c:pt>
                <c:pt idx="89">
                  <c:v>1.012</c:v>
                </c:pt>
                <c:pt idx="90">
                  <c:v>1.0369999999999999</c:v>
                </c:pt>
                <c:pt idx="91">
                  <c:v>1.022</c:v>
                </c:pt>
                <c:pt idx="92">
                  <c:v>1.0189999999999999</c:v>
                </c:pt>
                <c:pt idx="93">
                  <c:v>1.135</c:v>
                </c:pt>
                <c:pt idx="94">
                  <c:v>1.1539999999999999</c:v>
                </c:pt>
                <c:pt idx="95">
                  <c:v>1.131</c:v>
                </c:pt>
                <c:pt idx="96">
                  <c:v>1.1639999999999999</c:v>
                </c:pt>
                <c:pt idx="97">
                  <c:v>1.181</c:v>
                </c:pt>
                <c:pt idx="98">
                  <c:v>1.1859999999999999</c:v>
                </c:pt>
                <c:pt idx="99">
                  <c:v>1.21</c:v>
                </c:pt>
                <c:pt idx="100">
                  <c:v>1.1739999999999999</c:v>
                </c:pt>
                <c:pt idx="101">
                  <c:v>1.177</c:v>
                </c:pt>
                <c:pt idx="102">
                  <c:v>1.1759999999999999</c:v>
                </c:pt>
                <c:pt idx="103">
                  <c:v>1.248</c:v>
                </c:pt>
                <c:pt idx="104">
                  <c:v>1.3109999999999999</c:v>
                </c:pt>
                <c:pt idx="105">
                  <c:v>1.3580000000000001</c:v>
                </c:pt>
                <c:pt idx="106">
                  <c:v>1.413</c:v>
                </c:pt>
                <c:pt idx="107">
                  <c:v>1.544</c:v>
                </c:pt>
                <c:pt idx="108">
                  <c:v>1.554</c:v>
                </c:pt>
                <c:pt idx="109">
                  <c:v>1.542</c:v>
                </c:pt>
                <c:pt idx="110">
                  <c:v>1.452</c:v>
                </c:pt>
                <c:pt idx="111">
                  <c:v>1.347</c:v>
                </c:pt>
                <c:pt idx="112">
                  <c:v>1.306</c:v>
                </c:pt>
                <c:pt idx="113">
                  <c:v>1.1599999999999999</c:v>
                </c:pt>
                <c:pt idx="114">
                  <c:v>1.202</c:v>
                </c:pt>
                <c:pt idx="115">
                  <c:v>1.206</c:v>
                </c:pt>
                <c:pt idx="116">
                  <c:v>1.2549999999999999</c:v>
                </c:pt>
                <c:pt idx="117">
                  <c:v>1.2230000000000001</c:v>
                </c:pt>
                <c:pt idx="118">
                  <c:v>1.2649999999999999</c:v>
                </c:pt>
                <c:pt idx="119">
                  <c:v>1.129</c:v>
                </c:pt>
                <c:pt idx="120">
                  <c:v>1.081</c:v>
                </c:pt>
                <c:pt idx="121">
                  <c:v>1.105</c:v>
                </c:pt>
                <c:pt idx="122">
                  <c:v>1.127</c:v>
                </c:pt>
                <c:pt idx="123">
                  <c:v>1.0860000000000001</c:v>
                </c:pt>
                <c:pt idx="124">
                  <c:v>1.1220000000000001</c:v>
                </c:pt>
                <c:pt idx="125">
                  <c:v>1.1779999999999999</c:v>
                </c:pt>
                <c:pt idx="126">
                  <c:v>1.359</c:v>
                </c:pt>
                <c:pt idx="127">
                  <c:v>1.353</c:v>
                </c:pt>
                <c:pt idx="128">
                  <c:v>1.258</c:v>
                </c:pt>
                <c:pt idx="129">
                  <c:v>1.4590000000000001</c:v>
                </c:pt>
                <c:pt idx="130">
                  <c:v>1.5249999999999999</c:v>
                </c:pt>
                <c:pt idx="131">
                  <c:v>1.6120000000000001</c:v>
                </c:pt>
                <c:pt idx="132">
                  <c:v>1.603</c:v>
                </c:pt>
                <c:pt idx="133">
                  <c:v>1.66</c:v>
                </c:pt>
                <c:pt idx="134">
                  <c:v>1.7170000000000001</c:v>
                </c:pt>
                <c:pt idx="135">
                  <c:v>1.6950000000000001</c:v>
                </c:pt>
                <c:pt idx="136">
                  <c:v>1.722</c:v>
                </c:pt>
                <c:pt idx="137">
                  <c:v>1.829</c:v>
                </c:pt>
                <c:pt idx="138">
                  <c:v>1.8520000000000001</c:v>
                </c:pt>
                <c:pt idx="139">
                  <c:v>1.853</c:v>
                </c:pt>
                <c:pt idx="140">
                  <c:v>1.931</c:v>
                </c:pt>
                <c:pt idx="141">
                  <c:v>1.7450000000000001</c:v>
                </c:pt>
                <c:pt idx="142">
                  <c:v>1.6319999999999999</c:v>
                </c:pt>
                <c:pt idx="143">
                  <c:v>2.0419999999999998</c:v>
                </c:pt>
                <c:pt idx="144">
                  <c:v>1.766</c:v>
                </c:pt>
                <c:pt idx="145">
                  <c:v>1.65</c:v>
                </c:pt>
                <c:pt idx="146">
                  <c:v>1.581</c:v>
                </c:pt>
                <c:pt idx="147">
                  <c:v>1.4730000000000001</c:v>
                </c:pt>
                <c:pt idx="148">
                  <c:v>1.429</c:v>
                </c:pt>
                <c:pt idx="149">
                  <c:v>1.3919999999999999</c:v>
                </c:pt>
                <c:pt idx="150">
                  <c:v>1.39</c:v>
                </c:pt>
                <c:pt idx="151">
                  <c:v>1.4510000000000001</c:v>
                </c:pt>
                <c:pt idx="152">
                  <c:v>1.456</c:v>
                </c:pt>
                <c:pt idx="153">
                  <c:v>1.508</c:v>
                </c:pt>
                <c:pt idx="154">
                  <c:v>1.47</c:v>
                </c:pt>
                <c:pt idx="155">
                  <c:v>1.6341000000000001</c:v>
                </c:pt>
                <c:pt idx="156">
                  <c:v>1.5195000000000001</c:v>
                </c:pt>
                <c:pt idx="157">
                  <c:v>1.4246000000000001</c:v>
                </c:pt>
                <c:pt idx="158">
                  <c:v>1.3785000000000001</c:v>
                </c:pt>
                <c:pt idx="159">
                  <c:v>1.3399000000000001</c:v>
                </c:pt>
                <c:pt idx="160">
                  <c:v>1.3567</c:v>
                </c:pt>
                <c:pt idx="161">
                  <c:v>1.3254999999999999</c:v>
                </c:pt>
                <c:pt idx="162">
                  <c:v>1.2849999999999999</c:v>
                </c:pt>
                <c:pt idx="163">
                  <c:v>1.355</c:v>
                </c:pt>
                <c:pt idx="164">
                  <c:v>1.4454</c:v>
                </c:pt>
                <c:pt idx="165">
                  <c:v>1.3817999999999999</c:v>
                </c:pt>
                <c:pt idx="166">
                  <c:v>1.4146000000000001</c:v>
                </c:pt>
                <c:pt idx="167">
                  <c:v>1.4292</c:v>
                </c:pt>
                <c:pt idx="168">
                  <c:v>1.3496999999999999</c:v>
                </c:pt>
                <c:pt idx="169">
                  <c:v>1.375</c:v>
                </c:pt>
                <c:pt idx="170">
                  <c:v>1.2925</c:v>
                </c:pt>
                <c:pt idx="171">
                  <c:v>1.3426</c:v>
                </c:pt>
                <c:pt idx="172">
                  <c:v>1.29</c:v>
                </c:pt>
                <c:pt idx="173">
                  <c:v>1.3738999999999999</c:v>
                </c:pt>
                <c:pt idx="174">
                  <c:v>1.2733000000000001</c:v>
                </c:pt>
                <c:pt idx="175">
                  <c:v>1.1756</c:v>
                </c:pt>
                <c:pt idx="176">
                  <c:v>1.1841999999999999</c:v>
                </c:pt>
                <c:pt idx="177">
                  <c:v>1.1225000000000001</c:v>
                </c:pt>
                <c:pt idx="178">
                  <c:v>1.1386000000000001</c:v>
                </c:pt>
                <c:pt idx="179">
                  <c:v>1.0971</c:v>
                </c:pt>
                <c:pt idx="180">
                  <c:v>1.1452</c:v>
                </c:pt>
                <c:pt idx="181">
                  <c:v>1.1122000000000001</c:v>
                </c:pt>
                <c:pt idx="182">
                  <c:v>1.1093</c:v>
                </c:pt>
                <c:pt idx="183">
                  <c:v>1.1592</c:v>
                </c:pt>
                <c:pt idx="184">
                  <c:v>1.1934</c:v>
                </c:pt>
                <c:pt idx="185">
                  <c:v>1.1833</c:v>
                </c:pt>
                <c:pt idx="186">
                  <c:v>1.1996</c:v>
                </c:pt>
                <c:pt idx="187">
                  <c:v>1.2508999999999999</c:v>
                </c:pt>
                <c:pt idx="188">
                  <c:v>1.1634</c:v>
                </c:pt>
                <c:pt idx="189">
                  <c:v>1.1031</c:v>
                </c:pt>
                <c:pt idx="190">
                  <c:v>1.1447000000000001</c:v>
                </c:pt>
                <c:pt idx="191">
                  <c:v>1.1247</c:v>
                </c:pt>
                <c:pt idx="192">
                  <c:v>1.3217000000000001</c:v>
                </c:pt>
                <c:pt idx="193">
                  <c:v>1.4340999999999999</c:v>
                </c:pt>
                <c:pt idx="194">
                  <c:v>1.4730000000000001</c:v>
                </c:pt>
                <c:pt idx="195">
                  <c:v>1.47</c:v>
                </c:pt>
                <c:pt idx="196">
                  <c:v>1.4802999999999999</c:v>
                </c:pt>
                <c:pt idx="197">
                  <c:v>1.5389999999999999</c:v>
                </c:pt>
                <c:pt idx="198">
                  <c:v>1.5311999999999999</c:v>
                </c:pt>
                <c:pt idx="199">
                  <c:v>1.5185</c:v>
                </c:pt>
                <c:pt idx="200">
                  <c:v>1.6113999999999999</c:v>
                </c:pt>
                <c:pt idx="201">
                  <c:v>1.6174999999999999</c:v>
                </c:pt>
                <c:pt idx="202">
                  <c:v>1.6757</c:v>
                </c:pt>
                <c:pt idx="203">
                  <c:v>1.6719999999999999</c:v>
                </c:pt>
                <c:pt idx="204">
                  <c:v>1.6634</c:v>
                </c:pt>
                <c:pt idx="205">
                  <c:v>1.6497999999999999</c:v>
                </c:pt>
                <c:pt idx="206">
                  <c:v>1.6315999999999999</c:v>
                </c:pt>
                <c:pt idx="207">
                  <c:v>1.669</c:v>
                </c:pt>
                <c:pt idx="208">
                  <c:v>1.6589</c:v>
                </c:pt>
                <c:pt idx="209">
                  <c:v>1.6355999999999999</c:v>
                </c:pt>
                <c:pt idx="210">
                  <c:v>1.6354</c:v>
                </c:pt>
                <c:pt idx="211">
                  <c:v>1.6514</c:v>
                </c:pt>
                <c:pt idx="212">
                  <c:v>1.5869</c:v>
                </c:pt>
                <c:pt idx="213">
                  <c:v>1.5649999999999999</c:v>
                </c:pt>
                <c:pt idx="214">
                  <c:v>1.5951</c:v>
                </c:pt>
                <c:pt idx="215">
                  <c:v>1.5227999999999999</c:v>
                </c:pt>
                <c:pt idx="216">
                  <c:v>1.5230999999999999</c:v>
                </c:pt>
                <c:pt idx="217">
                  <c:v>1.6494</c:v>
                </c:pt>
                <c:pt idx="218">
                  <c:v>1.6698</c:v>
                </c:pt>
                <c:pt idx="219">
                  <c:v>1.5947</c:v>
                </c:pt>
                <c:pt idx="220">
                  <c:v>1.6465000000000001</c:v>
                </c:pt>
                <c:pt idx="221">
                  <c:v>2.044</c:v>
                </c:pt>
                <c:pt idx="222">
                  <c:v>2.0579999999999998</c:v>
                </c:pt>
                <c:pt idx="223">
                  <c:v>1.9814000000000001</c:v>
                </c:pt>
                <c:pt idx="224">
                  <c:v>2.0236000000000001</c:v>
                </c:pt>
                <c:pt idx="225">
                  <c:v>1.9220999999999999</c:v>
                </c:pt>
                <c:pt idx="226">
                  <c:v>1.95</c:v>
                </c:pt>
                <c:pt idx="227">
                  <c:v>1.9746999999999999</c:v>
                </c:pt>
                <c:pt idx="228">
                  <c:v>1.93</c:v>
                </c:pt>
                <c:pt idx="229">
                  <c:v>1.9076</c:v>
                </c:pt>
                <c:pt idx="230">
                  <c:v>2.0026999999999999</c:v>
                </c:pt>
                <c:pt idx="231">
                  <c:v>2.0160999999999998</c:v>
                </c:pt>
                <c:pt idx="232">
                  <c:v>2.15</c:v>
                </c:pt>
                <c:pt idx="233">
                  <c:v>2.0552000000000001</c:v>
                </c:pt>
                <c:pt idx="234">
                  <c:v>2.0785</c:v>
                </c:pt>
                <c:pt idx="235">
                  <c:v>2.1432000000000002</c:v>
                </c:pt>
                <c:pt idx="236">
                  <c:v>2.2235</c:v>
                </c:pt>
                <c:pt idx="237">
                  <c:v>2.2357999999999998</c:v>
                </c:pt>
                <c:pt idx="238">
                  <c:v>2.3896000000000002</c:v>
                </c:pt>
                <c:pt idx="239">
                  <c:v>2.4481000000000002</c:v>
                </c:pt>
                <c:pt idx="240">
                  <c:v>2.4704000000000002</c:v>
                </c:pt>
                <c:pt idx="241">
                  <c:v>2.218</c:v>
                </c:pt>
                <c:pt idx="242">
                  <c:v>2.1349</c:v>
                </c:pt>
                <c:pt idx="243">
                  <c:v>2.1520000000000001</c:v>
                </c:pt>
                <c:pt idx="244">
                  <c:v>1.9892000000000001</c:v>
                </c:pt>
                <c:pt idx="245">
                  <c:v>2.052</c:v>
                </c:pt>
                <c:pt idx="246">
                  <c:v>1.9599</c:v>
                </c:pt>
                <c:pt idx="247">
                  <c:v>1.9558</c:v>
                </c:pt>
                <c:pt idx="248">
                  <c:v>2.0468999999999999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06-4D07-91B3-9DDBFB29423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-5.1066453545698582</c:v>
                </c:pt>
                <c:pt idx="1">
                  <c:v>-5.1038858665698577</c:v>
                </c:pt>
                <c:pt idx="2">
                  <c:v>-5.0289027201298584</c:v>
                </c:pt>
                <c:pt idx="3">
                  <c:v>-5.0230996324631914</c:v>
                </c:pt>
                <c:pt idx="4">
                  <c:v>-5.0167762044388011</c:v>
                </c:pt>
                <c:pt idx="5">
                  <c:v>-5.0246415200221346</c:v>
                </c:pt>
                <c:pt idx="6">
                  <c:v>-5.0327416431854006</c:v>
                </c:pt>
                <c:pt idx="7">
                  <c:v>-4.9165635446469391</c:v>
                </c:pt>
                <c:pt idx="8">
                  <c:v>-4.8447453878822335</c:v>
                </c:pt>
                <c:pt idx="9">
                  <c:v>-4.8133323861044559</c:v>
                </c:pt>
                <c:pt idx="10">
                  <c:v>-4.7698109880275323</c:v>
                </c:pt>
                <c:pt idx="11">
                  <c:v>-4.7698109880275323</c:v>
                </c:pt>
                <c:pt idx="12">
                  <c:v>-4.7327743337418191</c:v>
                </c:pt>
                <c:pt idx="13">
                  <c:v>-4.6896309070218187</c:v>
                </c:pt>
                <c:pt idx="14">
                  <c:v>-4.6465975730218192</c:v>
                </c:pt>
                <c:pt idx="15">
                  <c:v>-4.6095330380218194</c:v>
                </c:pt>
                <c:pt idx="16">
                  <c:v>-4.6447035020218195</c:v>
                </c:pt>
                <c:pt idx="17">
                  <c:v>-4.6765017973075329</c:v>
                </c:pt>
                <c:pt idx="18">
                  <c:v>-4.6857457715249238</c:v>
                </c:pt>
                <c:pt idx="19">
                  <c:v>-4.6873997219058765</c:v>
                </c:pt>
                <c:pt idx="20">
                  <c:v>-4.6688059971058768</c:v>
                </c:pt>
                <c:pt idx="21">
                  <c:v>-4.6327947577212605</c:v>
                </c:pt>
                <c:pt idx="22">
                  <c:v>-4.626120800649832</c:v>
                </c:pt>
                <c:pt idx="23">
                  <c:v>-4.5516854530579955</c:v>
                </c:pt>
                <c:pt idx="24">
                  <c:v>-4.5245779243913287</c:v>
                </c:pt>
                <c:pt idx="25">
                  <c:v>-4.5056216390836363</c:v>
                </c:pt>
                <c:pt idx="26">
                  <c:v>-4.4394875619836363</c:v>
                </c:pt>
                <c:pt idx="27">
                  <c:v>-4.4071928298169709</c:v>
                </c:pt>
                <c:pt idx="28">
                  <c:v>-4.3967328632614144</c:v>
                </c:pt>
                <c:pt idx="29">
                  <c:v>-4.3799654239280814</c:v>
                </c:pt>
                <c:pt idx="30">
                  <c:v>-4.3389802904108397</c:v>
                </c:pt>
                <c:pt idx="31">
                  <c:v>-4.2340464527792614</c:v>
                </c:pt>
                <c:pt idx="32">
                  <c:v>-4.1460589877792611</c:v>
                </c:pt>
                <c:pt idx="33">
                  <c:v>-4.1135584464851425</c:v>
                </c:pt>
                <c:pt idx="34">
                  <c:v>-4.0351839510080785</c:v>
                </c:pt>
                <c:pt idx="35">
                  <c:v>-3.94108584682626</c:v>
                </c:pt>
                <c:pt idx="36">
                  <c:v>-4.0254973194929269</c:v>
                </c:pt>
                <c:pt idx="37">
                  <c:v>-4.0290338888357837</c:v>
                </c:pt>
                <c:pt idx="38">
                  <c:v>-4.033393768467362</c:v>
                </c:pt>
                <c:pt idx="39">
                  <c:v>-4.033393768467362</c:v>
                </c:pt>
                <c:pt idx="40">
                  <c:v>-3.9392389077254268</c:v>
                </c:pt>
                <c:pt idx="41">
                  <c:v>-3.8937798676727957</c:v>
                </c:pt>
                <c:pt idx="42">
                  <c:v>-3.5092344106727955</c:v>
                </c:pt>
                <c:pt idx="43">
                  <c:v>-3.4325904941555545</c:v>
                </c:pt>
                <c:pt idx="44">
                  <c:v>-3.5149111096126973</c:v>
                </c:pt>
                <c:pt idx="45">
                  <c:v>-3.4244748809763337</c:v>
                </c:pt>
                <c:pt idx="46">
                  <c:v>-3.213851467196517</c:v>
                </c:pt>
                <c:pt idx="47">
                  <c:v>-3.2179478763726177</c:v>
                </c:pt>
                <c:pt idx="48">
                  <c:v>-3.2199116450392848</c:v>
                </c:pt>
                <c:pt idx="49">
                  <c:v>-3.1473443917059516</c:v>
                </c:pt>
                <c:pt idx="50">
                  <c:v>-3.0876854623922263</c:v>
                </c:pt>
                <c:pt idx="51">
                  <c:v>-3.0876854623922263</c:v>
                </c:pt>
                <c:pt idx="52">
                  <c:v>-3.0214275047391652</c:v>
                </c:pt>
                <c:pt idx="53">
                  <c:v>-3.0764143462058318</c:v>
                </c:pt>
                <c:pt idx="54">
                  <c:v>-3.0206439469836099</c:v>
                </c:pt>
                <c:pt idx="55">
                  <c:v>-2.9627232449313223</c:v>
                </c:pt>
                <c:pt idx="56">
                  <c:v>-2.8365852049313225</c:v>
                </c:pt>
                <c:pt idx="57">
                  <c:v>-2.8685819257005534</c:v>
                </c:pt>
                <c:pt idx="58">
                  <c:v>-2.7542017659558722</c:v>
                </c:pt>
                <c:pt idx="59">
                  <c:v>-2.7244027616528421</c:v>
                </c:pt>
                <c:pt idx="60">
                  <c:v>-2.7101027569028422</c:v>
                </c:pt>
                <c:pt idx="61">
                  <c:v>-2.7447175133166346</c:v>
                </c:pt>
                <c:pt idx="62">
                  <c:v>-2.7494685254075439</c:v>
                </c:pt>
                <c:pt idx="63">
                  <c:v>-2.6963734769135677</c:v>
                </c:pt>
                <c:pt idx="64">
                  <c:v>-2.6983871544019404</c:v>
                </c:pt>
                <c:pt idx="65">
                  <c:v>-2.683879314928256</c:v>
                </c:pt>
                <c:pt idx="66">
                  <c:v>-2.593571280805179</c:v>
                </c:pt>
                <c:pt idx="67">
                  <c:v>-2.5034496309829573</c:v>
                </c:pt>
                <c:pt idx="68">
                  <c:v>-2.3526241972620268</c:v>
                </c:pt>
                <c:pt idx="69">
                  <c:v>-2.3630330844620273</c:v>
                </c:pt>
                <c:pt idx="70">
                  <c:v>-2.3836126616620268</c:v>
                </c:pt>
                <c:pt idx="71">
                  <c:v>-2.330085756679674</c:v>
                </c:pt>
                <c:pt idx="72">
                  <c:v>-2.3483178828504059</c:v>
                </c:pt>
                <c:pt idx="73">
                  <c:v>-2.3010759203992435</c:v>
                </c:pt>
                <c:pt idx="74">
                  <c:v>-2.2564491725421005</c:v>
                </c:pt>
                <c:pt idx="75">
                  <c:v>-2.2149063789355434</c:v>
                </c:pt>
                <c:pt idx="76">
                  <c:v>-2.2058358774784002</c:v>
                </c:pt>
                <c:pt idx="77">
                  <c:v>-2.2007213560056731</c:v>
                </c:pt>
                <c:pt idx="78">
                  <c:v>-2.1927065753827222</c:v>
                </c:pt>
                <c:pt idx="79">
                  <c:v>-2.1186861473827223</c:v>
                </c:pt>
                <c:pt idx="80">
                  <c:v>-2.0429590853827224</c:v>
                </c:pt>
                <c:pt idx="81">
                  <c:v>-1.9891049118978743</c:v>
                </c:pt>
                <c:pt idx="82">
                  <c:v>-1.9385785331200964</c:v>
                </c:pt>
                <c:pt idx="83">
                  <c:v>-1.92134086196625</c:v>
                </c:pt>
                <c:pt idx="84">
                  <c:v>-1.8803846114062497</c:v>
                </c:pt>
                <c:pt idx="85">
                  <c:v>-1.8511398591562496</c:v>
                </c:pt>
                <c:pt idx="86">
                  <c:v>-1.8429571515915439</c:v>
                </c:pt>
                <c:pt idx="87">
                  <c:v>-1.8649647143802763</c:v>
                </c:pt>
                <c:pt idx="88">
                  <c:v>-1.8611892062980846</c:v>
                </c:pt>
                <c:pt idx="89">
                  <c:v>-1.8191942328770319</c:v>
                </c:pt>
                <c:pt idx="90">
                  <c:v>-1.777339460238734</c:v>
                </c:pt>
                <c:pt idx="91">
                  <c:v>-1.731736822613734</c:v>
                </c:pt>
                <c:pt idx="92">
                  <c:v>-1.7120260529808227</c:v>
                </c:pt>
                <c:pt idx="93">
                  <c:v>-1.6618401080201928</c:v>
                </c:pt>
                <c:pt idx="94">
                  <c:v>-1.6284985355299968</c:v>
                </c:pt>
                <c:pt idx="95">
                  <c:v>-1.6263881322658458</c:v>
                </c:pt>
                <c:pt idx="96">
                  <c:v>-1.5738575664489445</c:v>
                </c:pt>
                <c:pt idx="97">
                  <c:v>-1.5545464893844283</c:v>
                </c:pt>
                <c:pt idx="98">
                  <c:v>-1.5359779926921209</c:v>
                </c:pt>
                <c:pt idx="99">
                  <c:v>-1.4861386480193934</c:v>
                </c:pt>
                <c:pt idx="100">
                  <c:v>-1.4872031673260599</c:v>
                </c:pt>
                <c:pt idx="101">
                  <c:v>-1.4652242216593934</c:v>
                </c:pt>
                <c:pt idx="102">
                  <c:v>-1.4189167589182168</c:v>
                </c:pt>
                <c:pt idx="103">
                  <c:v>-1.3131629897200188</c:v>
                </c:pt>
                <c:pt idx="104">
                  <c:v>-1.2530750722969415</c:v>
                </c:pt>
                <c:pt idx="105">
                  <c:v>-1.1957601585242144</c:v>
                </c:pt>
                <c:pt idx="106">
                  <c:v>-1.1218690340197894</c:v>
                </c:pt>
                <c:pt idx="107">
                  <c:v>-1.026202556361107</c:v>
                </c:pt>
                <c:pt idx="108">
                  <c:v>-0.98896161062426502</c:v>
                </c:pt>
                <c:pt idx="109">
                  <c:v>-0.98711376505437287</c:v>
                </c:pt>
                <c:pt idx="110">
                  <c:v>-1.0318723118681383</c:v>
                </c:pt>
                <c:pt idx="111">
                  <c:v>-1.0361613430646446</c:v>
                </c:pt>
                <c:pt idx="112">
                  <c:v>-0.83074204075930103</c:v>
                </c:pt>
                <c:pt idx="113">
                  <c:v>-0.88890039314496649</c:v>
                </c:pt>
                <c:pt idx="114">
                  <c:v>-0.82528368114496653</c:v>
                </c:pt>
                <c:pt idx="115">
                  <c:v>-0.79622030444393543</c:v>
                </c:pt>
                <c:pt idx="116">
                  <c:v>-0.7806938536439354</c:v>
                </c:pt>
                <c:pt idx="117">
                  <c:v>-0.77014404301102402</c:v>
                </c:pt>
                <c:pt idx="118">
                  <c:v>-0.75300702440637302</c:v>
                </c:pt>
                <c:pt idx="119">
                  <c:v>-0.79050643664366116</c:v>
                </c:pt>
                <c:pt idx="120">
                  <c:v>-0.80700267896924249</c:v>
                </c:pt>
                <c:pt idx="121">
                  <c:v>-0.77288428730257586</c:v>
                </c:pt>
                <c:pt idx="122">
                  <c:v>-0.70287265944543298</c:v>
                </c:pt>
                <c:pt idx="123">
                  <c:v>-0.56979416975835828</c:v>
                </c:pt>
                <c:pt idx="124">
                  <c:v>-0.70486620165433167</c:v>
                </c:pt>
                <c:pt idx="125">
                  <c:v>-0.66800667123842272</c:v>
                </c:pt>
                <c:pt idx="126">
                  <c:v>-0.61981496929304458</c:v>
                </c:pt>
                <c:pt idx="127">
                  <c:v>-0.61640679280523969</c:v>
                </c:pt>
                <c:pt idx="128">
                  <c:v>-0.63513250987135528</c:v>
                </c:pt>
                <c:pt idx="129">
                  <c:v>-0.60341991916778381</c:v>
                </c:pt>
                <c:pt idx="130">
                  <c:v>-0.59387789512567857</c:v>
                </c:pt>
                <c:pt idx="131">
                  <c:v>-0.57849603893375945</c:v>
                </c:pt>
                <c:pt idx="132">
                  <c:v>-0.56512533425151645</c:v>
                </c:pt>
                <c:pt idx="133">
                  <c:v>-0.54887152115151638</c:v>
                </c:pt>
                <c:pt idx="134">
                  <c:v>-0.52637631088835846</c:v>
                </c:pt>
                <c:pt idx="135">
                  <c:v>-0.54069644002628958</c:v>
                </c:pt>
                <c:pt idx="136">
                  <c:v>-0.53609377498628963</c:v>
                </c:pt>
                <c:pt idx="137">
                  <c:v>-0.52300466671042745</c:v>
                </c:pt>
                <c:pt idx="138">
                  <c:v>-0.5126977100839214</c:v>
                </c:pt>
                <c:pt idx="139">
                  <c:v>-0.48022072439100805</c:v>
                </c:pt>
                <c:pt idx="140">
                  <c:v>-0.43838758354438234</c:v>
                </c:pt>
                <c:pt idx="141">
                  <c:v>-0.48643604681871871</c:v>
                </c:pt>
                <c:pt idx="142">
                  <c:v>-0.55461691787994327</c:v>
                </c:pt>
                <c:pt idx="143">
                  <c:v>-0.53700708654588913</c:v>
                </c:pt>
                <c:pt idx="144">
                  <c:v>-0.65448899201943167</c:v>
                </c:pt>
                <c:pt idx="145">
                  <c:v>-0.70222803667385025</c:v>
                </c:pt>
                <c:pt idx="146">
                  <c:v>-0.72073757809607242</c:v>
                </c:pt>
                <c:pt idx="147">
                  <c:v>-0.74276645399919716</c:v>
                </c:pt>
                <c:pt idx="148">
                  <c:v>-0.73286133539919751</c:v>
                </c:pt>
                <c:pt idx="149">
                  <c:v>-0.7635685868249118</c:v>
                </c:pt>
                <c:pt idx="150">
                  <c:v>-0.7619070160415784</c:v>
                </c:pt>
                <c:pt idx="151">
                  <c:v>-0.72179396804873475</c:v>
                </c:pt>
                <c:pt idx="152">
                  <c:v>-0.72533667007199065</c:v>
                </c:pt>
                <c:pt idx="153">
                  <c:v>-0.68801976874322346</c:v>
                </c:pt>
                <c:pt idx="154">
                  <c:v>-0.77230084112487496</c:v>
                </c:pt>
                <c:pt idx="155">
                  <c:v>-0.67068203658932257</c:v>
                </c:pt>
                <c:pt idx="156">
                  <c:v>-0.76111353192577558</c:v>
                </c:pt>
                <c:pt idx="157">
                  <c:v>-0.72417026998885548</c:v>
                </c:pt>
                <c:pt idx="158">
                  <c:v>-0.79011901369996673</c:v>
                </c:pt>
                <c:pt idx="159">
                  <c:v>-0.80131530661712447</c:v>
                </c:pt>
                <c:pt idx="160">
                  <c:v>-0.77856760936962111</c:v>
                </c:pt>
                <c:pt idx="161">
                  <c:v>-0.82171409845368892</c:v>
                </c:pt>
                <c:pt idx="162">
                  <c:v>-0.89787054239045094</c:v>
                </c:pt>
                <c:pt idx="163">
                  <c:v>-0.82420856389892827</c:v>
                </c:pt>
                <c:pt idx="164">
                  <c:v>-0.72575321148386529</c:v>
                </c:pt>
                <c:pt idx="165">
                  <c:v>-0.75489309260924886</c:v>
                </c:pt>
                <c:pt idx="166">
                  <c:v>-0.75255457201565157</c:v>
                </c:pt>
                <c:pt idx="167">
                  <c:v>-0.77163025427024945</c:v>
                </c:pt>
                <c:pt idx="168">
                  <c:v>-0.81692297244266321</c:v>
                </c:pt>
                <c:pt idx="169">
                  <c:v>-0.79584407337703511</c:v>
                </c:pt>
                <c:pt idx="170">
                  <c:v>-0.8138029238138007</c:v>
                </c:pt>
                <c:pt idx="171">
                  <c:v>-0.77630657925686997</c:v>
                </c:pt>
                <c:pt idx="172">
                  <c:v>-0.82842463088039053</c:v>
                </c:pt>
                <c:pt idx="173">
                  <c:v>-0.78955688667830726</c:v>
                </c:pt>
                <c:pt idx="174">
                  <c:v>-0.86728724468337048</c:v>
                </c:pt>
                <c:pt idx="175">
                  <c:v>-0.90516168879283476</c:v>
                </c:pt>
                <c:pt idx="176">
                  <c:v>-0.9426945664683315</c:v>
                </c:pt>
                <c:pt idx="177">
                  <c:v>-1.0118116421367522</c:v>
                </c:pt>
                <c:pt idx="178">
                  <c:v>-0.9795999121294563</c:v>
                </c:pt>
                <c:pt idx="179">
                  <c:v>-0.9670539879290958</c:v>
                </c:pt>
                <c:pt idx="180">
                  <c:v>-0.88717626401880778</c:v>
                </c:pt>
                <c:pt idx="181">
                  <c:v>-0.8615658558001219</c:v>
                </c:pt>
                <c:pt idx="182">
                  <c:v>-0.93276828635849085</c:v>
                </c:pt>
                <c:pt idx="183">
                  <c:v>-0.89729899907049093</c:v>
                </c:pt>
                <c:pt idx="184">
                  <c:v>-0.86246971555829566</c:v>
                </c:pt>
                <c:pt idx="185">
                  <c:v>-0.88089482395662455</c:v>
                </c:pt>
                <c:pt idx="186">
                  <c:v>-0.78728513783413445</c:v>
                </c:pt>
                <c:pt idx="187">
                  <c:v>-0.78061903138376254</c:v>
                </c:pt>
                <c:pt idx="188">
                  <c:v>-0.84152722517040734</c:v>
                </c:pt>
                <c:pt idx="189">
                  <c:v>-0.89935602738776943</c:v>
                </c:pt>
                <c:pt idx="190">
                  <c:v>-0.82214189393698478</c:v>
                </c:pt>
                <c:pt idx="191">
                  <c:v>-0.82275142193147976</c:v>
                </c:pt>
                <c:pt idx="192">
                  <c:v>-0.72766421570712658</c:v>
                </c:pt>
                <c:pt idx="193">
                  <c:v>-0.61668365148541771</c:v>
                </c:pt>
                <c:pt idx="194">
                  <c:v>-0.57858571988185792</c:v>
                </c:pt>
                <c:pt idx="195">
                  <c:v>-0.58832752862088</c:v>
                </c:pt>
                <c:pt idx="196">
                  <c:v>-0.57074990868277842</c:v>
                </c:pt>
                <c:pt idx="197">
                  <c:v>-0.53149034532421979</c:v>
                </c:pt>
                <c:pt idx="198">
                  <c:v>-0.55988259679466879</c:v>
                </c:pt>
                <c:pt idx="199">
                  <c:v>-0.61023793395146853</c:v>
                </c:pt>
                <c:pt idx="200">
                  <c:v>-0.56762597620219324</c:v>
                </c:pt>
                <c:pt idx="201">
                  <c:v>-0.55640889413123951</c:v>
                </c:pt>
                <c:pt idx="202">
                  <c:v>-0.51281681077680175</c:v>
                </c:pt>
                <c:pt idx="203">
                  <c:v>-0.53804822345845305</c:v>
                </c:pt>
                <c:pt idx="204">
                  <c:v>-0.54464368234599225</c:v>
                </c:pt>
                <c:pt idx="205">
                  <c:v>-0.50813202019430692</c:v>
                </c:pt>
                <c:pt idx="206">
                  <c:v>-0.47476055146816282</c:v>
                </c:pt>
                <c:pt idx="207">
                  <c:v>-0.41930350759955781</c:v>
                </c:pt>
                <c:pt idx="208">
                  <c:v>-0.3813808543219091</c:v>
                </c:pt>
                <c:pt idx="209">
                  <c:v>-0.3704529522557049</c:v>
                </c:pt>
                <c:pt idx="210">
                  <c:v>-0.37836069669847971</c:v>
                </c:pt>
                <c:pt idx="211">
                  <c:v>-0.41809288372934372</c:v>
                </c:pt>
                <c:pt idx="212">
                  <c:v>-0.40234026610610263</c:v>
                </c:pt>
                <c:pt idx="213">
                  <c:v>-0.3668472881666191</c:v>
                </c:pt>
                <c:pt idx="214">
                  <c:v>-0.3386779539030812</c:v>
                </c:pt>
                <c:pt idx="215">
                  <c:v>-0.37786673047499614</c:v>
                </c:pt>
                <c:pt idx="216">
                  <c:v>-0.43541879401774408</c:v>
                </c:pt>
                <c:pt idx="217">
                  <c:v>-0.38055580331146344</c:v>
                </c:pt>
                <c:pt idx="218">
                  <c:v>-0.40051783260301665</c:v>
                </c:pt>
                <c:pt idx="219">
                  <c:v>-0.40266953436624425</c:v>
                </c:pt>
                <c:pt idx="220">
                  <c:v>-0.40246617817328412</c:v>
                </c:pt>
                <c:pt idx="221">
                  <c:v>-0.30077767456160537</c:v>
                </c:pt>
                <c:pt idx="222">
                  <c:v>-0.29138521637950021</c:v>
                </c:pt>
                <c:pt idx="223">
                  <c:v>-0.28589920532950008</c:v>
                </c:pt>
                <c:pt idx="224">
                  <c:v>-0.25760435683966521</c:v>
                </c:pt>
                <c:pt idx="225">
                  <c:v>-0.27559606295189015</c:v>
                </c:pt>
                <c:pt idx="226">
                  <c:v>-0.21402009666892713</c:v>
                </c:pt>
                <c:pt idx="227">
                  <c:v>-0.20161089469548962</c:v>
                </c:pt>
                <c:pt idx="228">
                  <c:v>-0.21611414913548962</c:v>
                </c:pt>
                <c:pt idx="229">
                  <c:v>-0.23308132967366862</c:v>
                </c:pt>
                <c:pt idx="230">
                  <c:v>-0.222662038165512</c:v>
                </c:pt>
                <c:pt idx="231">
                  <c:v>-0.21163714533073422</c:v>
                </c:pt>
                <c:pt idx="232">
                  <c:v>-0.19804732697019242</c:v>
                </c:pt>
                <c:pt idx="233">
                  <c:v>-0.21740188892081994</c:v>
                </c:pt>
                <c:pt idx="234">
                  <c:v>-0.22201806271387908</c:v>
                </c:pt>
                <c:pt idx="235">
                  <c:v>-0.17560307283357438</c:v>
                </c:pt>
                <c:pt idx="236">
                  <c:v>-0.16704761586841252</c:v>
                </c:pt>
                <c:pt idx="237">
                  <c:v>-0.13119647810794011</c:v>
                </c:pt>
                <c:pt idx="238">
                  <c:v>-0.13629610152406804</c:v>
                </c:pt>
                <c:pt idx="239">
                  <c:v>-0.12107418410891026</c:v>
                </c:pt>
                <c:pt idx="240">
                  <c:v>-4.8035282008991147E-2</c:v>
                </c:pt>
                <c:pt idx="241">
                  <c:v>-5.1628954329101966E-2</c:v>
                </c:pt>
                <c:pt idx="242">
                  <c:v>-8.5166473487424565E-2</c:v>
                </c:pt>
                <c:pt idx="243">
                  <c:v>-7.1941378715494719E-2</c:v>
                </c:pt>
                <c:pt idx="244">
                  <c:v>-8.26636423503785E-2</c:v>
                </c:pt>
                <c:pt idx="245">
                  <c:v>-7.7189122382778544E-2</c:v>
                </c:pt>
                <c:pt idx="246">
                  <c:v>-0.10246190503667162</c:v>
                </c:pt>
                <c:pt idx="247">
                  <c:v>-8.981174480880702E-2</c:v>
                </c:pt>
                <c:pt idx="248">
                  <c:v>-1.8248605431174871E-2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06-4D07-91B3-9DDBFB294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543551"/>
        <c:axId val="479537727"/>
      </c:lineChart>
      <c:dateAx>
        <c:axId val="47954355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37727"/>
        <c:crosses val="autoZero"/>
        <c:auto val="1"/>
        <c:lblOffset val="100"/>
        <c:baseTimeUnit val="days"/>
      </c:dateAx>
      <c:valAx>
        <c:axId val="479537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4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61EA3F9-E92D-49E8-8A33-3B50B25F25E1}">
  <sheetPr codeName="Chart9"/>
  <sheetViews>
    <sheetView zoomScale="12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8497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2627D5F-17B8-476F-B9BA-A36210198DC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2.78</v>
      </c>
      <c r="D2" s="4">
        <f>MIN(D3:D1912)</f>
        <v>0.221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0.23400000000000001</v>
      </c>
      <c r="C5">
        <v>0.23499999999999999</v>
      </c>
      <c r="D5">
        <v>0.22800000000000001</v>
      </c>
      <c r="E5">
        <v>0.22800000000000001</v>
      </c>
      <c r="F5">
        <v>275948.79999999999</v>
      </c>
      <c r="G5">
        <v>0.22800000000000001</v>
      </c>
      <c r="L5" t="s">
        <v>7</v>
      </c>
      <c r="M5" t="s">
        <v>7</v>
      </c>
      <c r="N5" t="s">
        <v>7</v>
      </c>
      <c r="P5">
        <f t="shared" ref="P5" si="0">IF(C5=D5,0,((E5-D5)-(C5-E5))/(C5-D5))</f>
        <v>-1</v>
      </c>
      <c r="Q5">
        <f t="shared" ref="Q5" si="1">F5*P5</f>
        <v>-275948.79999999999</v>
      </c>
      <c r="R5">
        <f t="shared" ref="R5" si="2">R6+Q5</f>
        <v>-510664535.45698583</v>
      </c>
      <c r="S5">
        <f t="shared" ref="S5" si="3">R5/100000</f>
        <v>-5106.6453545698587</v>
      </c>
      <c r="T5">
        <f t="shared" ref="T5" si="4">S5/1000</f>
        <v>-5.1066453545698582</v>
      </c>
    </row>
    <row r="6" spans="1:20" x14ac:dyDescent="0.25">
      <c r="A6" s="5">
        <v>44587</v>
      </c>
      <c r="B6">
        <v>0.24</v>
      </c>
      <c r="C6">
        <v>0.254</v>
      </c>
      <c r="D6">
        <v>0.22900000000000001</v>
      </c>
      <c r="E6">
        <v>0.23300000000000001</v>
      </c>
      <c r="F6">
        <v>11026933.300000001</v>
      </c>
      <c r="G6">
        <v>0.23300000000000001</v>
      </c>
      <c r="L6" t="s">
        <v>8</v>
      </c>
      <c r="M6" t="s">
        <v>7</v>
      </c>
      <c r="N6" t="s">
        <v>7</v>
      </c>
      <c r="P6">
        <f t="shared" ref="P6" si="5">IF(C6=D6,0,((E6-D6)-(C6-E6))/(C6-D6))</f>
        <v>-0.6799999999999996</v>
      </c>
      <c r="Q6">
        <f t="shared" ref="Q6" si="6">F6*P6</f>
        <v>-7498314.6439999966</v>
      </c>
      <c r="R6">
        <f t="shared" ref="R6" si="7">R7+Q6</f>
        <v>-510388586.65698582</v>
      </c>
      <c r="S6">
        <f t="shared" ref="S6" si="8">R6/100000</f>
        <v>-5103.8858665698581</v>
      </c>
      <c r="T6">
        <f t="shared" ref="T6" si="9">S6/1000</f>
        <v>-5.1038858665698577</v>
      </c>
    </row>
    <row r="7" spans="1:20" x14ac:dyDescent="0.25">
      <c r="A7" s="5">
        <v>44586</v>
      </c>
      <c r="B7">
        <v>0.24399999999999999</v>
      </c>
      <c r="C7">
        <v>0.247</v>
      </c>
      <c r="D7">
        <v>0.23499999999999999</v>
      </c>
      <c r="E7">
        <v>0.24</v>
      </c>
      <c r="F7">
        <v>3481852.6</v>
      </c>
      <c r="G7">
        <v>0.24</v>
      </c>
      <c r="L7" t="s">
        <v>8</v>
      </c>
      <c r="M7" t="s">
        <v>7</v>
      </c>
      <c r="N7" t="s">
        <v>7</v>
      </c>
      <c r="P7">
        <f t="shared" ref="P7" si="10">IF(C7=D7,0,((E7-D7)-(C7-E7))/(C7-D7))</f>
        <v>-0.16666666666666666</v>
      </c>
      <c r="Q7">
        <f t="shared" ref="Q7" si="11">F7*P7</f>
        <v>-580308.7666666666</v>
      </c>
      <c r="R7">
        <f t="shared" ref="R7" si="12">R8+Q7</f>
        <v>-502890272.01298583</v>
      </c>
      <c r="S7">
        <f t="shared" ref="S7" si="13">R7/100000</f>
        <v>-5028.9027201298586</v>
      </c>
      <c r="T7">
        <f t="shared" ref="T7" si="14">S7/1000</f>
        <v>-5.0289027201298584</v>
      </c>
    </row>
    <row r="8" spans="1:20" x14ac:dyDescent="0.25">
      <c r="A8" s="5">
        <v>44585</v>
      </c>
      <c r="B8">
        <v>0.26500000000000001</v>
      </c>
      <c r="C8">
        <v>0.26600000000000001</v>
      </c>
      <c r="D8">
        <v>0.22500000000000001</v>
      </c>
      <c r="E8">
        <v>0.24399999999999999</v>
      </c>
      <c r="F8">
        <v>8642018.3000000007</v>
      </c>
      <c r="G8">
        <v>0.24399999999999999</v>
      </c>
      <c r="L8" t="s">
        <v>7</v>
      </c>
      <c r="M8" t="s">
        <v>7</v>
      </c>
      <c r="N8" t="s">
        <v>7</v>
      </c>
      <c r="P8">
        <f t="shared" ref="P8" si="15">IF(C8=D8,0,((E8-D8)-(C8-E8))/(C8-D8))</f>
        <v>-7.3170731707317804E-2</v>
      </c>
      <c r="Q8">
        <f t="shared" ref="Q8" si="16">F8*P8</f>
        <v>-632342.80243903073</v>
      </c>
      <c r="R8">
        <f t="shared" ref="R8" si="17">R9+Q8</f>
        <v>-502309963.24631917</v>
      </c>
      <c r="S8">
        <f t="shared" ref="S8" si="18">R8/100000</f>
        <v>-5023.0996324631915</v>
      </c>
      <c r="T8">
        <f t="shared" ref="T8" si="19">S8/1000</f>
        <v>-5.0230996324631914</v>
      </c>
    </row>
    <row r="9" spans="1:20" x14ac:dyDescent="0.25">
      <c r="A9" s="5">
        <v>44584</v>
      </c>
      <c r="B9">
        <v>0.27100000000000002</v>
      </c>
      <c r="C9">
        <v>0.27700000000000002</v>
      </c>
      <c r="D9">
        <v>0.253</v>
      </c>
      <c r="E9">
        <v>0.26600000000000001</v>
      </c>
      <c r="F9">
        <v>9438378.6999999993</v>
      </c>
      <c r="G9">
        <v>0.26600000000000001</v>
      </c>
      <c r="L9" t="s">
        <v>8</v>
      </c>
      <c r="M9" t="s">
        <v>8</v>
      </c>
      <c r="N9" t="s">
        <v>7</v>
      </c>
      <c r="P9">
        <f t="shared" ref="P9" si="20">IF(C9=D9,0,((E9-D9)-(C9-E9))/(C9-D9))</f>
        <v>8.3333333333333329E-2</v>
      </c>
      <c r="Q9">
        <f t="shared" ref="Q9" si="21">F9*P9</f>
        <v>786531.55833333323</v>
      </c>
      <c r="R9">
        <f t="shared" ref="R9" si="22">R10+Q9</f>
        <v>-501677620.44388014</v>
      </c>
      <c r="S9">
        <f t="shared" ref="S9" si="23">R9/100000</f>
        <v>-5016.776204438801</v>
      </c>
      <c r="T9">
        <f t="shared" ref="T9" si="24">S9/1000</f>
        <v>-5.0167762044388011</v>
      </c>
    </row>
    <row r="10" spans="1:20" x14ac:dyDescent="0.25">
      <c r="A10" s="5">
        <v>44583</v>
      </c>
      <c r="B10">
        <v>0.25900000000000001</v>
      </c>
      <c r="C10">
        <v>0.31900000000000001</v>
      </c>
      <c r="D10">
        <v>0.221</v>
      </c>
      <c r="E10">
        <v>0.27100000000000002</v>
      </c>
      <c r="F10">
        <v>39690603.5</v>
      </c>
      <c r="G10">
        <v>0.27100000000000002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2.0408163265306423E-2</v>
      </c>
      <c r="Q10">
        <f t="shared" ref="Q10" si="26">F10*P10</f>
        <v>810012.31632654252</v>
      </c>
      <c r="R10">
        <f t="shared" ref="R10" si="27">R11+Q10</f>
        <v>-502464152.00221348</v>
      </c>
      <c r="S10">
        <f t="shared" ref="S10" si="28">R10/100000</f>
        <v>-5024.6415200221345</v>
      </c>
      <c r="T10">
        <f t="shared" ref="T10" si="29">S10/1000</f>
        <v>-5.0246415200221346</v>
      </c>
    </row>
    <row r="11" spans="1:20" x14ac:dyDescent="0.25">
      <c r="A11" s="5">
        <v>44582</v>
      </c>
      <c r="B11">
        <v>0.30099999999999999</v>
      </c>
      <c r="C11">
        <v>0.30299999999999999</v>
      </c>
      <c r="D11">
        <v>0.251</v>
      </c>
      <c r="E11">
        <v>0.25900000000000001</v>
      </c>
      <c r="F11">
        <v>16781280.899999999</v>
      </c>
      <c r="G11">
        <v>0.25900000000000001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-0.69230769230769196</v>
      </c>
      <c r="Q11">
        <f t="shared" ref="Q11" si="31">F11*P11</f>
        <v>-11617809.853846148</v>
      </c>
      <c r="R11">
        <f t="shared" ref="R11" si="32">R12+Q11</f>
        <v>-503274164.31854004</v>
      </c>
      <c r="S11">
        <f t="shared" ref="S11" si="33">R11/100000</f>
        <v>-5032.7416431854008</v>
      </c>
      <c r="T11">
        <f t="shared" ref="T11" si="34">S11/1000</f>
        <v>-5.0327416431854006</v>
      </c>
    </row>
    <row r="12" spans="1:20" x14ac:dyDescent="0.25">
      <c r="A12" s="5">
        <v>44581</v>
      </c>
      <c r="B12">
        <v>0.309</v>
      </c>
      <c r="C12">
        <v>0.317</v>
      </c>
      <c r="D12">
        <v>0.3</v>
      </c>
      <c r="E12">
        <v>0.30099999999999999</v>
      </c>
      <c r="F12">
        <v>8139391.0999999996</v>
      </c>
      <c r="G12">
        <v>0.30099999999999999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-0.88235294117647056</v>
      </c>
      <c r="Q12">
        <f t="shared" ref="Q12" si="36">F12*P12</f>
        <v>-7181815.676470588</v>
      </c>
      <c r="R12">
        <f t="shared" ref="R12" si="37">R13+Q12</f>
        <v>-491656354.4646939</v>
      </c>
      <c r="S12">
        <f t="shared" ref="S12" si="38">R12/100000</f>
        <v>-4916.5635446469387</v>
      </c>
      <c r="T12">
        <f t="shared" ref="T12" si="39">S12/1000</f>
        <v>-4.9165635446469391</v>
      </c>
    </row>
    <row r="13" spans="1:20" x14ac:dyDescent="0.25">
      <c r="A13" s="5">
        <v>44580</v>
      </c>
      <c r="B13">
        <v>0.309</v>
      </c>
      <c r="C13">
        <v>0.32200000000000001</v>
      </c>
      <c r="D13">
        <v>0.30399999999999999</v>
      </c>
      <c r="E13">
        <v>0.309</v>
      </c>
      <c r="F13">
        <v>7067925.4000000004</v>
      </c>
      <c r="G13">
        <v>0.309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-0.44444444444444442</v>
      </c>
      <c r="Q13">
        <f t="shared" ref="Q13" si="41">F13*P13</f>
        <v>-3141300.1777777779</v>
      </c>
      <c r="R13">
        <f t="shared" ref="R13" si="42">R14+Q13</f>
        <v>-484474538.78822333</v>
      </c>
      <c r="S13">
        <f t="shared" ref="S13" si="43">R13/100000</f>
        <v>-4844.7453878822334</v>
      </c>
      <c r="T13">
        <f t="shared" ref="T13" si="44">S13/1000</f>
        <v>-4.8447453878822335</v>
      </c>
    </row>
    <row r="14" spans="1:20" x14ac:dyDescent="0.25">
      <c r="A14" s="5">
        <v>44579</v>
      </c>
      <c r="B14">
        <v>0.314</v>
      </c>
      <c r="C14">
        <v>0.32700000000000001</v>
      </c>
      <c r="D14">
        <v>0.30099999999999999</v>
      </c>
      <c r="E14">
        <v>0.309</v>
      </c>
      <c r="F14">
        <v>11315563.5</v>
      </c>
      <c r="G14">
        <v>0.309</v>
      </c>
      <c r="L14" t="s">
        <v>8</v>
      </c>
      <c r="M14" t="s">
        <v>7</v>
      </c>
      <c r="N14" t="s">
        <v>7</v>
      </c>
      <c r="P14">
        <f t="shared" ref="P14" si="45">IF(C14=D14,0,((E14-D14)-(C14-E14))/(C14-D14))</f>
        <v>-0.38461538461538464</v>
      </c>
      <c r="Q14">
        <f t="shared" ref="Q14" si="46">F14*P14</f>
        <v>-4352139.807692308</v>
      </c>
      <c r="R14">
        <f t="shared" ref="R14" si="47">R15+Q14</f>
        <v>-481333238.61044556</v>
      </c>
      <c r="S14">
        <f t="shared" ref="S14" si="48">R14/100000</f>
        <v>-4813.3323861044555</v>
      </c>
      <c r="T14">
        <f t="shared" ref="T14" si="49">S14/1000</f>
        <v>-4.8133323861044559</v>
      </c>
    </row>
    <row r="15" spans="1:20" x14ac:dyDescent="0.25">
      <c r="A15" s="5">
        <v>44578</v>
      </c>
      <c r="B15">
        <v>0.313</v>
      </c>
      <c r="C15">
        <v>0.32400000000000001</v>
      </c>
      <c r="D15">
        <v>0.30399999999999999</v>
      </c>
      <c r="E15">
        <v>0.314</v>
      </c>
      <c r="F15">
        <v>7162997.9000000004</v>
      </c>
      <c r="G15">
        <v>0.314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0</v>
      </c>
      <c r="Q15">
        <f t="shared" ref="Q15" si="51">F15*P15</f>
        <v>0</v>
      </c>
      <c r="R15">
        <f t="shared" ref="R15" si="52">R16+Q15</f>
        <v>-476981098.80275327</v>
      </c>
      <c r="S15">
        <f t="shared" ref="S15" si="53">R15/100000</f>
        <v>-4769.8109880275324</v>
      </c>
      <c r="T15">
        <f t="shared" ref="T15" si="54">S15/1000</f>
        <v>-4.7698109880275323</v>
      </c>
    </row>
    <row r="16" spans="1:20" x14ac:dyDescent="0.25">
      <c r="A16" s="5">
        <v>44577</v>
      </c>
      <c r="B16">
        <v>0.32200000000000001</v>
      </c>
      <c r="C16">
        <v>0.32500000000000001</v>
      </c>
      <c r="D16">
        <v>0.311</v>
      </c>
      <c r="E16">
        <v>0.313</v>
      </c>
      <c r="F16">
        <v>5185131.5999999996</v>
      </c>
      <c r="G16">
        <v>0.313</v>
      </c>
      <c r="L16" t="s">
        <v>7</v>
      </c>
      <c r="M16" t="s">
        <v>7</v>
      </c>
      <c r="N16" t="s">
        <v>7</v>
      </c>
      <c r="P16">
        <f t="shared" ref="P16" si="55">IF(C16=D16,0,((E16-D16)-(C16-E16))/(C16-D16))</f>
        <v>-0.7142857142857143</v>
      </c>
      <c r="Q16">
        <f t="shared" ref="Q16" si="56">F16*P16</f>
        <v>-3703665.4285714282</v>
      </c>
      <c r="R16">
        <f t="shared" ref="R16" si="57">R17+Q16</f>
        <v>-476981098.80275327</v>
      </c>
      <c r="S16">
        <f t="shared" ref="S16" si="58">R16/100000</f>
        <v>-4769.8109880275324</v>
      </c>
      <c r="T16">
        <f t="shared" ref="T16" si="59">S16/1000</f>
        <v>-4.7698109880275323</v>
      </c>
    </row>
    <row r="17" spans="1:20" x14ac:dyDescent="0.25">
      <c r="A17" s="5">
        <v>44576</v>
      </c>
      <c r="B17">
        <v>0.307</v>
      </c>
      <c r="C17">
        <v>0.35199999999999998</v>
      </c>
      <c r="D17">
        <v>0.30199999999999999</v>
      </c>
      <c r="E17">
        <v>0.32100000000000001</v>
      </c>
      <c r="F17">
        <v>17976427.800000001</v>
      </c>
      <c r="G17">
        <v>0.32100000000000001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-0.23999999999999916</v>
      </c>
      <c r="Q17">
        <f t="shared" ref="Q17" si="61">F17*P17</f>
        <v>-4314342.6719999854</v>
      </c>
      <c r="R17">
        <f t="shared" ref="R17" si="62">R18+Q17</f>
        <v>-473277433.37418187</v>
      </c>
      <c r="S17">
        <f t="shared" ref="S17" si="63">R17/100000</f>
        <v>-4732.7743337418187</v>
      </c>
      <c r="T17">
        <f t="shared" ref="T17" si="64">S17/1000</f>
        <v>-4.7327743337418191</v>
      </c>
    </row>
    <row r="18" spans="1:20" x14ac:dyDescent="0.25">
      <c r="A18" s="5">
        <v>44575</v>
      </c>
      <c r="B18">
        <v>0.31</v>
      </c>
      <c r="C18">
        <v>0.32500000000000001</v>
      </c>
      <c r="D18">
        <v>0.30099999999999999</v>
      </c>
      <c r="E18">
        <v>0.307</v>
      </c>
      <c r="F18">
        <v>8606666.8000000007</v>
      </c>
      <c r="G18">
        <v>0.307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-0.5</v>
      </c>
      <c r="Q18">
        <f t="shared" ref="Q18" si="66">F18*P18</f>
        <v>-4303333.4000000004</v>
      </c>
      <c r="R18">
        <f t="shared" ref="R18" si="67">R19+Q18</f>
        <v>-468963090.70218188</v>
      </c>
      <c r="S18">
        <f t="shared" ref="S18" si="68">R18/100000</f>
        <v>-4689.6309070218185</v>
      </c>
      <c r="T18">
        <f t="shared" ref="T18" si="69">S18/1000</f>
        <v>-4.6896309070218187</v>
      </c>
    </row>
    <row r="19" spans="1:20" x14ac:dyDescent="0.25">
      <c r="A19" s="5">
        <v>44574</v>
      </c>
      <c r="B19">
        <v>0.32700000000000001</v>
      </c>
      <c r="C19">
        <v>0.32800000000000001</v>
      </c>
      <c r="D19">
        <v>0.307</v>
      </c>
      <c r="E19">
        <v>0.31</v>
      </c>
      <c r="F19">
        <v>5189034.9000000004</v>
      </c>
      <c r="G19">
        <v>0.31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-0.7142857142857143</v>
      </c>
      <c r="Q19">
        <f t="shared" ref="Q19" si="71">F19*P19</f>
        <v>-3706453.5000000005</v>
      </c>
      <c r="R19">
        <f t="shared" ref="R19" si="72">R20+Q19</f>
        <v>-464659757.3021819</v>
      </c>
      <c r="S19">
        <f t="shared" ref="S19" si="73">R19/100000</f>
        <v>-4646.5975730218188</v>
      </c>
      <c r="T19">
        <f t="shared" ref="T19" si="74">S19/1000</f>
        <v>-4.6465975730218192</v>
      </c>
    </row>
    <row r="20" spans="1:20" x14ac:dyDescent="0.25">
      <c r="A20" s="5">
        <v>44573</v>
      </c>
      <c r="B20">
        <v>0.32</v>
      </c>
      <c r="C20">
        <v>0.33200000000000002</v>
      </c>
      <c r="D20">
        <v>0.314</v>
      </c>
      <c r="E20">
        <v>0.32700000000000001</v>
      </c>
      <c r="F20">
        <v>7913354.4000000004</v>
      </c>
      <c r="G20">
        <v>0.32700000000000001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0.44444444444444442</v>
      </c>
      <c r="Q20">
        <f t="shared" ref="Q20" si="76">F20*P20</f>
        <v>3517046.4</v>
      </c>
      <c r="R20">
        <f t="shared" ref="R20" si="77">R21+Q20</f>
        <v>-460953303.8021819</v>
      </c>
      <c r="S20">
        <f t="shared" ref="S20" si="78">R20/100000</f>
        <v>-4609.5330380218193</v>
      </c>
      <c r="T20">
        <f t="shared" ref="T20" si="79">S20/1000</f>
        <v>-4.6095330380218194</v>
      </c>
    </row>
    <row r="21" spans="1:20" x14ac:dyDescent="0.25">
      <c r="A21" s="5">
        <v>44572</v>
      </c>
      <c r="B21">
        <v>0.313</v>
      </c>
      <c r="C21">
        <v>0.32400000000000001</v>
      </c>
      <c r="D21">
        <v>0.30299999999999999</v>
      </c>
      <c r="E21">
        <v>0.32</v>
      </c>
      <c r="F21">
        <v>5136647.7</v>
      </c>
      <c r="G21">
        <v>0.32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0.61904761904761907</v>
      </c>
      <c r="Q21">
        <f t="shared" ref="Q21" si="81">F21*P21</f>
        <v>3179829.5285714287</v>
      </c>
      <c r="R21">
        <f t="shared" ref="R21" si="82">R22+Q21</f>
        <v>-464470350.20218188</v>
      </c>
      <c r="S21">
        <f t="shared" ref="S21" si="83">R21/100000</f>
        <v>-4644.7035020218191</v>
      </c>
      <c r="T21">
        <f t="shared" ref="T21" si="84">S21/1000</f>
        <v>-4.6447035020218195</v>
      </c>
    </row>
    <row r="22" spans="1:20" x14ac:dyDescent="0.25">
      <c r="A22" s="5">
        <v>44571</v>
      </c>
      <c r="B22">
        <v>0.32</v>
      </c>
      <c r="C22">
        <v>0.32300000000000001</v>
      </c>
      <c r="D22">
        <v>0.3</v>
      </c>
      <c r="E22">
        <v>0.313</v>
      </c>
      <c r="F22">
        <v>7087046.9000000004</v>
      </c>
      <c r="G22">
        <v>0.313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0.13043478260869565</v>
      </c>
      <c r="Q22">
        <f t="shared" ref="Q22" si="86">F22*P22</f>
        <v>924397.42173913051</v>
      </c>
      <c r="R22">
        <f t="shared" ref="R22" si="87">R23+Q22</f>
        <v>-467650179.7307533</v>
      </c>
      <c r="S22">
        <f t="shared" ref="S22" si="88">R22/100000</f>
        <v>-4676.5017973075328</v>
      </c>
      <c r="T22">
        <f t="shared" ref="T22" si="89">S22/1000</f>
        <v>-4.6765017973075329</v>
      </c>
    </row>
    <row r="23" spans="1:20" x14ac:dyDescent="0.25">
      <c r="A23" s="5">
        <v>44570</v>
      </c>
      <c r="B23">
        <v>0.316</v>
      </c>
      <c r="C23">
        <v>0.33100000000000002</v>
      </c>
      <c r="D23">
        <v>0.31</v>
      </c>
      <c r="E23">
        <v>0.32100000000000001</v>
      </c>
      <c r="F23">
        <v>3473295.8</v>
      </c>
      <c r="G23">
        <v>0.32100000000000001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4.7619047619047616E-2</v>
      </c>
      <c r="Q23">
        <f t="shared" ref="Q23" si="91">F23*P23</f>
        <v>165395.03809523807</v>
      </c>
      <c r="R23">
        <f t="shared" ref="R23" si="92">R24+Q23</f>
        <v>-468574577.1524924</v>
      </c>
      <c r="S23">
        <f t="shared" ref="S23" si="93">R23/100000</f>
        <v>-4685.7457715249238</v>
      </c>
      <c r="T23">
        <f t="shared" ref="T23" si="94">S23/1000</f>
        <v>-4.6857457715249238</v>
      </c>
    </row>
    <row r="24" spans="1:20" x14ac:dyDescent="0.25">
      <c r="A24" s="5">
        <v>44569</v>
      </c>
      <c r="B24">
        <v>0.32500000000000001</v>
      </c>
      <c r="C24">
        <v>0.33600000000000002</v>
      </c>
      <c r="D24">
        <v>0.30599999999999999</v>
      </c>
      <c r="E24">
        <v>0.317</v>
      </c>
      <c r="F24">
        <v>6972646.7999999998</v>
      </c>
      <c r="G24">
        <v>0.317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-0.26666666666666666</v>
      </c>
      <c r="Q24">
        <f t="shared" ref="Q24" si="96">F24*P24</f>
        <v>-1859372.48</v>
      </c>
      <c r="R24">
        <f t="shared" ref="R24" si="97">R25+Q24</f>
        <v>-468739972.19058764</v>
      </c>
      <c r="S24">
        <f t="shared" ref="S24" si="98">R24/100000</f>
        <v>-4687.3997219058765</v>
      </c>
      <c r="T24">
        <f t="shared" ref="T24" si="99">S24/1000</f>
        <v>-4.6873997219058765</v>
      </c>
    </row>
    <row r="25" spans="1:20" x14ac:dyDescent="0.25">
      <c r="A25" s="5">
        <v>44568</v>
      </c>
      <c r="B25">
        <v>0.34599999999999997</v>
      </c>
      <c r="C25">
        <v>0.34599999999999997</v>
      </c>
      <c r="D25">
        <v>0.32</v>
      </c>
      <c r="E25">
        <v>0.32500000000000001</v>
      </c>
      <c r="F25">
        <v>5851826.4000000004</v>
      </c>
      <c r="G25">
        <v>0.32500000000000001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-0.61538461538461453</v>
      </c>
      <c r="Q25">
        <f t="shared" ref="Q25" si="101">F25*P25</f>
        <v>-3601123.9384615337</v>
      </c>
      <c r="R25">
        <f t="shared" ref="R25" si="102">R26+Q25</f>
        <v>-466880599.71058762</v>
      </c>
      <c r="S25">
        <f t="shared" ref="S25" si="103">R25/100000</f>
        <v>-4668.8059971058765</v>
      </c>
      <c r="T25">
        <f t="shared" ref="T25" si="104">S25/1000</f>
        <v>-4.6688059971058768</v>
      </c>
    </row>
    <row r="26" spans="1:20" x14ac:dyDescent="0.25">
      <c r="A26" s="5">
        <v>44567</v>
      </c>
      <c r="B26">
        <v>0.36</v>
      </c>
      <c r="C26">
        <v>0.36</v>
      </c>
      <c r="D26">
        <v>0.33200000000000002</v>
      </c>
      <c r="E26">
        <v>0.34499999999999997</v>
      </c>
      <c r="F26">
        <v>9343539.9000000004</v>
      </c>
      <c r="G26">
        <v>0.34499999999999997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-7.1428571428573548E-2</v>
      </c>
      <c r="Q26">
        <f t="shared" ref="Q26" si="106">F26*P26</f>
        <v>-667395.70714287693</v>
      </c>
      <c r="R26">
        <f t="shared" ref="R26" si="107">R27+Q26</f>
        <v>-463279475.77212608</v>
      </c>
      <c r="S26">
        <f t="shared" ref="S26" si="108">R26/100000</f>
        <v>-4632.7947577212608</v>
      </c>
      <c r="T26">
        <f t="shared" ref="T26" si="109">S26/1000</f>
        <v>-4.6327947577212605</v>
      </c>
    </row>
    <row r="27" spans="1:20" x14ac:dyDescent="0.25">
      <c r="A27" s="5">
        <v>44566</v>
      </c>
      <c r="B27">
        <v>0.38500000000000001</v>
      </c>
      <c r="C27">
        <v>0.4</v>
      </c>
      <c r="D27">
        <v>0.35099999999999998</v>
      </c>
      <c r="E27">
        <v>0.36</v>
      </c>
      <c r="F27">
        <v>11765587.199999999</v>
      </c>
      <c r="G27">
        <v>0.36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-0.63265306122448983</v>
      </c>
      <c r="Q27">
        <f t="shared" ref="Q27" si="111">F27*P27</f>
        <v>-7443534.7591836732</v>
      </c>
      <c r="R27">
        <f t="shared" ref="R27" si="112">R28+Q27</f>
        <v>-462612080.06498319</v>
      </c>
      <c r="S27">
        <f t="shared" ref="S27" si="113">R27/100000</f>
        <v>-4626.1208006498318</v>
      </c>
      <c r="T27">
        <f t="shared" ref="T27" si="114">S27/1000</f>
        <v>-4.626120800649832</v>
      </c>
    </row>
    <row r="28" spans="1:20" x14ac:dyDescent="0.25">
      <c r="A28" s="5">
        <v>44565</v>
      </c>
      <c r="B28">
        <v>0.38600000000000001</v>
      </c>
      <c r="C28">
        <v>0.40300000000000002</v>
      </c>
      <c r="D28">
        <v>0.376</v>
      </c>
      <c r="E28">
        <v>0.38500000000000001</v>
      </c>
      <c r="F28">
        <v>8132258.5999999996</v>
      </c>
      <c r="G28">
        <v>0.38500000000000001</v>
      </c>
      <c r="L28" t="s">
        <v>8</v>
      </c>
      <c r="M28" t="s">
        <v>7</v>
      </c>
      <c r="N28" t="s">
        <v>8</v>
      </c>
      <c r="P28">
        <f t="shared" ref="P28" si="115">IF(C28=D28,0,((E28-D28)-(C28-E28))/(C28-D28))</f>
        <v>-0.33333333333333331</v>
      </c>
      <c r="Q28">
        <f t="shared" ref="Q28" si="116">F28*P28</f>
        <v>-2710752.8666666662</v>
      </c>
      <c r="R28">
        <f t="shared" ref="R28" si="117">R29+Q28</f>
        <v>-455168545.30579954</v>
      </c>
      <c r="S28">
        <f t="shared" ref="S28" si="118">R28/100000</f>
        <v>-4551.6854530579958</v>
      </c>
      <c r="T28">
        <f t="shared" ref="T28" si="119">S28/1000</f>
        <v>-4.5516854530579955</v>
      </c>
    </row>
    <row r="29" spans="1:20" x14ac:dyDescent="0.25">
      <c r="A29" s="5">
        <v>44564</v>
      </c>
      <c r="B29">
        <v>0.39500000000000002</v>
      </c>
      <c r="C29">
        <v>0.40200000000000002</v>
      </c>
      <c r="D29">
        <v>0.376</v>
      </c>
      <c r="E29">
        <v>0.38600000000000001</v>
      </c>
      <c r="F29">
        <v>8214390.2999999998</v>
      </c>
      <c r="G29">
        <v>0.38600000000000001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-0.23076923076923078</v>
      </c>
      <c r="Q29">
        <f t="shared" ref="Q29" si="121">F29*P29</f>
        <v>-1895628.5307692308</v>
      </c>
      <c r="R29">
        <f t="shared" ref="R29" si="122">R30+Q29</f>
        <v>-452457792.43913287</v>
      </c>
      <c r="S29">
        <f t="shared" ref="S29" si="123">R29/100000</f>
        <v>-4524.5779243913285</v>
      </c>
      <c r="T29">
        <f t="shared" ref="T29" si="124">S29/1000</f>
        <v>-4.5245779243913287</v>
      </c>
    </row>
    <row r="30" spans="1:20" x14ac:dyDescent="0.25">
      <c r="A30" s="5">
        <v>44563</v>
      </c>
      <c r="B30">
        <v>0.40200000000000002</v>
      </c>
      <c r="C30">
        <v>0.41099999999999998</v>
      </c>
      <c r="D30">
        <v>0.39100000000000001</v>
      </c>
      <c r="E30">
        <v>0.39400000000000002</v>
      </c>
      <c r="F30">
        <v>9447725.3000000007</v>
      </c>
      <c r="G30">
        <v>0.39400000000000002</v>
      </c>
      <c r="L30" t="s">
        <v>7</v>
      </c>
      <c r="M30" t="s">
        <v>8</v>
      </c>
      <c r="N30" t="s">
        <v>8</v>
      </c>
      <c r="P30">
        <f t="shared" ref="P30" si="125">IF(C30=D30,0,((E30-D30)-(C30-E30))/(C30-D30))</f>
        <v>-0.69999999999999918</v>
      </c>
      <c r="Q30">
        <f t="shared" ref="Q30" si="126">F30*P30</f>
        <v>-6613407.7099999925</v>
      </c>
      <c r="R30">
        <f t="shared" ref="R30" si="127">R31+Q30</f>
        <v>-450562163.90836364</v>
      </c>
      <c r="S30">
        <f t="shared" ref="S30" si="128">R30/100000</f>
        <v>-4505.6216390836362</v>
      </c>
      <c r="T30">
        <f t="shared" ref="T30" si="129">S30/1000</f>
        <v>-4.5056216390836363</v>
      </c>
    </row>
    <row r="31" spans="1:20" x14ac:dyDescent="0.25">
      <c r="A31" s="5">
        <v>44562</v>
      </c>
      <c r="B31">
        <v>0.377</v>
      </c>
      <c r="C31">
        <v>0.437</v>
      </c>
      <c r="D31">
        <v>0.377</v>
      </c>
      <c r="E31">
        <v>0.40200000000000002</v>
      </c>
      <c r="F31">
        <v>19376839.300000001</v>
      </c>
      <c r="G31">
        <v>0.40200000000000002</v>
      </c>
      <c r="L31" t="s">
        <v>8</v>
      </c>
      <c r="M31" t="s">
        <v>8</v>
      </c>
      <c r="N31" t="s">
        <v>8</v>
      </c>
      <c r="P31">
        <f t="shared" ref="P31" si="130">IF(C31=D31,0,((E31-D31)-(C31-E31))/(C31-D31))</f>
        <v>-0.16666666666666591</v>
      </c>
      <c r="Q31">
        <f t="shared" ref="Q31" si="131">F31*P31</f>
        <v>-3229473.2166666519</v>
      </c>
      <c r="R31">
        <f t="shared" ref="R31" si="132">R32+Q31</f>
        <v>-443948756.19836366</v>
      </c>
      <c r="S31">
        <f t="shared" ref="S31" si="133">R31/100000</f>
        <v>-4439.4875619836366</v>
      </c>
      <c r="T31">
        <f t="shared" ref="T31" si="134">S31/1000</f>
        <v>-4.4394875619836363</v>
      </c>
    </row>
    <row r="32" spans="1:20" x14ac:dyDescent="0.25">
      <c r="A32" s="5">
        <v>44561</v>
      </c>
      <c r="B32">
        <v>0.36599999999999999</v>
      </c>
      <c r="C32">
        <v>0.39800000000000002</v>
      </c>
      <c r="D32">
        <v>0.36199999999999999</v>
      </c>
      <c r="E32">
        <v>0.378</v>
      </c>
      <c r="F32">
        <v>9413969.9000000004</v>
      </c>
      <c r="G32">
        <v>0.378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-0.1111111111111111</v>
      </c>
      <c r="Q32">
        <f t="shared" ref="Q32" si="136">F32*P32</f>
        <v>-1045996.6555555556</v>
      </c>
      <c r="R32">
        <f t="shared" ref="R32" si="137">R33+Q32</f>
        <v>-440719282.98169702</v>
      </c>
      <c r="S32">
        <f t="shared" ref="S32" si="138">R32/100000</f>
        <v>-4407.1928298169705</v>
      </c>
      <c r="T32">
        <f t="shared" ref="T32" si="139">S32/1000</f>
        <v>-4.4071928298169709</v>
      </c>
    </row>
    <row r="33" spans="1:20" x14ac:dyDescent="0.25">
      <c r="A33" s="5">
        <v>44560</v>
      </c>
      <c r="B33">
        <v>0.36599999999999999</v>
      </c>
      <c r="C33">
        <v>0.376</v>
      </c>
      <c r="D33">
        <v>0.36099999999999999</v>
      </c>
      <c r="E33">
        <v>0.36599999999999999</v>
      </c>
      <c r="F33">
        <v>5030231.8</v>
      </c>
      <c r="G33">
        <v>0.36599999999999999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-0.33333333333333331</v>
      </c>
      <c r="Q33">
        <f t="shared" ref="Q33" si="141">F33*P33</f>
        <v>-1676743.9333333331</v>
      </c>
      <c r="R33">
        <f t="shared" ref="R33" si="142">R34+Q33</f>
        <v>-439673286.32614148</v>
      </c>
      <c r="S33">
        <f t="shared" ref="S33" si="143">R33/100000</f>
        <v>-4396.7328632614144</v>
      </c>
      <c r="T33">
        <f t="shared" ref="T33" si="144">S33/1000</f>
        <v>-4.3967328632614144</v>
      </c>
    </row>
    <row r="34" spans="1:20" x14ac:dyDescent="0.25">
      <c r="A34" s="5">
        <v>44559</v>
      </c>
      <c r="B34">
        <v>0.377</v>
      </c>
      <c r="C34">
        <v>0.38900000000000001</v>
      </c>
      <c r="D34">
        <v>0.36</v>
      </c>
      <c r="E34">
        <v>0.36599999999999999</v>
      </c>
      <c r="F34">
        <v>6991581.5999999996</v>
      </c>
      <c r="G34">
        <v>0.36599999999999999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-0.58620689655172409</v>
      </c>
      <c r="Q34">
        <f t="shared" ref="Q34" si="146">F34*P34</f>
        <v>-4098513.3517241376</v>
      </c>
      <c r="R34">
        <f t="shared" ref="R34" si="147">R35+Q34</f>
        <v>-437996542.39280814</v>
      </c>
      <c r="S34">
        <f t="shared" ref="S34" si="148">R34/100000</f>
        <v>-4379.9654239280817</v>
      </c>
      <c r="T34">
        <f t="shared" ref="T34" si="149">S34/1000</f>
        <v>-4.3799654239280814</v>
      </c>
    </row>
    <row r="35" spans="1:20" x14ac:dyDescent="0.25">
      <c r="A35" s="5">
        <v>44558</v>
      </c>
      <c r="B35">
        <v>0.40500000000000003</v>
      </c>
      <c r="C35">
        <v>0.41299999999999998</v>
      </c>
      <c r="D35">
        <v>0.375</v>
      </c>
      <c r="E35">
        <v>0.377</v>
      </c>
      <c r="F35">
        <v>11727899.5</v>
      </c>
      <c r="G35">
        <v>0.377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-0.89473684210526305</v>
      </c>
      <c r="Q35">
        <f t="shared" ref="Q35" si="151">F35*P35</f>
        <v>-10493383.763157893</v>
      </c>
      <c r="R35">
        <f t="shared" ref="R35" si="152">R36+Q35</f>
        <v>-433898029.04108399</v>
      </c>
      <c r="S35">
        <f t="shared" ref="S35" si="153">R35/100000</f>
        <v>-4338.9802904108401</v>
      </c>
      <c r="T35">
        <f t="shared" ref="T35" si="154">S35/1000</f>
        <v>-4.3389802904108397</v>
      </c>
    </row>
    <row r="36" spans="1:20" x14ac:dyDescent="0.25">
      <c r="A36" s="5">
        <v>44557</v>
      </c>
      <c r="B36">
        <v>0.41599999999999998</v>
      </c>
      <c r="C36">
        <v>0.42699999999999999</v>
      </c>
      <c r="D36">
        <v>0.40300000000000002</v>
      </c>
      <c r="E36">
        <v>0.40500000000000003</v>
      </c>
      <c r="F36">
        <v>10558495.800000001</v>
      </c>
      <c r="G36">
        <v>0.40500000000000003</v>
      </c>
      <c r="L36" t="s">
        <v>8</v>
      </c>
      <c r="M36" t="s">
        <v>7</v>
      </c>
      <c r="N36" t="s">
        <v>8</v>
      </c>
      <c r="P36">
        <f t="shared" ref="P36" si="155">IF(C36=D36,0,((E36-D36)-(C36-E36))/(C36-D36))</f>
        <v>-0.83333333333333293</v>
      </c>
      <c r="Q36">
        <f t="shared" ref="Q36" si="156">F36*P36</f>
        <v>-8798746.4999999963</v>
      </c>
      <c r="R36">
        <f t="shared" ref="R36" si="157">R37+Q36</f>
        <v>-423404645.27792609</v>
      </c>
      <c r="S36">
        <f t="shared" ref="S36" si="158">R36/100000</f>
        <v>-4234.046452779261</v>
      </c>
      <c r="T36">
        <f t="shared" ref="T36" si="159">S36/1000</f>
        <v>-4.2340464527792614</v>
      </c>
    </row>
    <row r="37" spans="1:20" x14ac:dyDescent="0.25">
      <c r="A37" s="5">
        <v>44556</v>
      </c>
      <c r="B37">
        <v>0.41799999999999998</v>
      </c>
      <c r="C37">
        <v>0.44500000000000001</v>
      </c>
      <c r="D37">
        <v>0.39400000000000002</v>
      </c>
      <c r="E37">
        <v>0.41599999999999998</v>
      </c>
      <c r="F37">
        <v>23678965.800000001</v>
      </c>
      <c r="G37">
        <v>0.41599999999999998</v>
      </c>
      <c r="L37" t="s">
        <v>7</v>
      </c>
      <c r="M37" t="s">
        <v>7</v>
      </c>
      <c r="N37" t="s">
        <v>8</v>
      </c>
      <c r="P37">
        <f t="shared" ref="P37" si="160">IF(C37=D37,0,((E37-D37)-(C37-E37))/(C37-D37))</f>
        <v>-0.13725490196078555</v>
      </c>
      <c r="Q37">
        <f t="shared" ref="Q37" si="161">F37*P37</f>
        <v>-3250054.1294117938</v>
      </c>
      <c r="R37">
        <f t="shared" ref="R37" si="162">R38+Q37</f>
        <v>-414605898.77792609</v>
      </c>
      <c r="S37">
        <f t="shared" ref="S37" si="163">R37/100000</f>
        <v>-4146.0589877792609</v>
      </c>
      <c r="T37">
        <f t="shared" ref="T37" si="164">S37/1000</f>
        <v>-4.1460589877792611</v>
      </c>
    </row>
    <row r="38" spans="1:20" x14ac:dyDescent="0.25">
      <c r="A38" s="5">
        <v>44555</v>
      </c>
      <c r="B38">
        <v>0.379</v>
      </c>
      <c r="C38">
        <v>0.48699999999999999</v>
      </c>
      <c r="D38">
        <v>0.378</v>
      </c>
      <c r="E38">
        <v>0.41899999999999998</v>
      </c>
      <c r="F38">
        <v>31640074.100000001</v>
      </c>
      <c r="G38">
        <v>0.41899999999999998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-0.24770642201834889</v>
      </c>
      <c r="Q38">
        <f t="shared" ref="Q38" si="166">F38*P38</f>
        <v>-7837449.5477064308</v>
      </c>
      <c r="R38">
        <f t="shared" ref="R38" si="167">R39+Q38</f>
        <v>-411355844.64851427</v>
      </c>
      <c r="S38">
        <f t="shared" ref="S38" si="168">R38/100000</f>
        <v>-4113.5584464851427</v>
      </c>
      <c r="T38">
        <f t="shared" ref="T38" si="169">S38/1000</f>
        <v>-4.1135584464851425</v>
      </c>
    </row>
    <row r="39" spans="1:20" x14ac:dyDescent="0.25">
      <c r="A39" s="5">
        <v>44554</v>
      </c>
      <c r="B39">
        <v>0.39</v>
      </c>
      <c r="C39">
        <v>0.4</v>
      </c>
      <c r="D39">
        <v>0.378</v>
      </c>
      <c r="E39">
        <v>0.38</v>
      </c>
      <c r="F39">
        <v>11500879.4</v>
      </c>
      <c r="G39">
        <v>0.38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-0.81818181818181823</v>
      </c>
      <c r="Q39">
        <f t="shared" ref="Q39" si="171">F39*P39</f>
        <v>-9409810.4181818198</v>
      </c>
      <c r="R39">
        <f t="shared" ref="R39" si="172">R40+Q39</f>
        <v>-403518395.10080785</v>
      </c>
      <c r="S39">
        <f t="shared" ref="S39" si="173">R39/100000</f>
        <v>-4035.1839510080786</v>
      </c>
      <c r="T39">
        <f t="shared" ref="T39" si="174">S39/1000</f>
        <v>-4.0351839510080785</v>
      </c>
    </row>
    <row r="40" spans="1:20" x14ac:dyDescent="0.25">
      <c r="A40" s="5">
        <v>44553</v>
      </c>
      <c r="B40">
        <v>0.38200000000000001</v>
      </c>
      <c r="C40">
        <v>0.39400000000000002</v>
      </c>
      <c r="D40">
        <v>0.37</v>
      </c>
      <c r="E40">
        <v>0.39</v>
      </c>
      <c r="F40">
        <v>12661720.9</v>
      </c>
      <c r="G40">
        <v>0.39</v>
      </c>
      <c r="L40" t="s">
        <v>7</v>
      </c>
      <c r="M40" t="s">
        <v>7</v>
      </c>
      <c r="N40" t="s">
        <v>7</v>
      </c>
      <c r="P40">
        <f t="shared" ref="P40" si="175">IF(C40=D40,0,((E40-D40)-(C40-E40))/(C40-D40))</f>
        <v>0.66666666666666663</v>
      </c>
      <c r="Q40">
        <f t="shared" ref="Q40" si="176">F40*P40</f>
        <v>8441147.2666666657</v>
      </c>
      <c r="R40">
        <f t="shared" ref="R40" si="177">R41+Q40</f>
        <v>-394108584.68262601</v>
      </c>
      <c r="S40">
        <f t="shared" ref="S40" si="178">R40/100000</f>
        <v>-3941.08584682626</v>
      </c>
      <c r="T40">
        <f t="shared" ref="T40" si="179">S40/1000</f>
        <v>-3.94108584682626</v>
      </c>
    </row>
    <row r="41" spans="1:20" x14ac:dyDescent="0.25">
      <c r="A41" s="5">
        <v>44552</v>
      </c>
      <c r="B41">
        <v>0.37</v>
      </c>
      <c r="C41">
        <v>0.39900000000000002</v>
      </c>
      <c r="D41">
        <v>0.36399999999999999</v>
      </c>
      <c r="E41">
        <v>0.38200000000000001</v>
      </c>
      <c r="F41">
        <v>12377992.699999999</v>
      </c>
      <c r="G41">
        <v>0.38200000000000001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2.8571428571428571E-2</v>
      </c>
      <c r="Q41">
        <f t="shared" ref="Q41" si="181">F41*P41</f>
        <v>353656.93428571423</v>
      </c>
      <c r="R41">
        <f t="shared" ref="R41" si="182">R42+Q41</f>
        <v>-402549731.94929266</v>
      </c>
      <c r="S41">
        <f t="shared" ref="S41" si="183">R41/100000</f>
        <v>-4025.4973194929266</v>
      </c>
      <c r="T41">
        <f t="shared" ref="T41" si="184">S41/1000</f>
        <v>-4.0254973194929269</v>
      </c>
    </row>
    <row r="42" spans="1:20" x14ac:dyDescent="0.25">
      <c r="A42" s="5">
        <v>44551</v>
      </c>
      <c r="B42">
        <v>0.36099999999999999</v>
      </c>
      <c r="C42">
        <v>0.379</v>
      </c>
      <c r="D42">
        <v>0.36</v>
      </c>
      <c r="E42">
        <v>0.37</v>
      </c>
      <c r="F42">
        <v>8283771.2999999998</v>
      </c>
      <c r="G42">
        <v>0.37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5.2631578947368418E-2</v>
      </c>
      <c r="Q42">
        <f t="shared" ref="Q42" si="186">F42*P42</f>
        <v>435987.96315789473</v>
      </c>
      <c r="R42">
        <f t="shared" ref="R42" si="187">R43+Q42</f>
        <v>-402903388.88357836</v>
      </c>
      <c r="S42">
        <f t="shared" ref="S42" si="188">R42/100000</f>
        <v>-4029.0338888357837</v>
      </c>
      <c r="T42">
        <f t="shared" ref="T42" si="189">S42/1000</f>
        <v>-4.0290338888357837</v>
      </c>
    </row>
    <row r="43" spans="1:20" x14ac:dyDescent="0.25">
      <c r="A43" s="5">
        <v>44550</v>
      </c>
      <c r="B43">
        <v>0.36799999999999999</v>
      </c>
      <c r="C43">
        <v>0.37</v>
      </c>
      <c r="D43">
        <v>0.35</v>
      </c>
      <c r="E43">
        <v>0.36</v>
      </c>
      <c r="F43">
        <v>8928683.6999999993</v>
      </c>
      <c r="G43">
        <v>0.36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</v>
      </c>
      <c r="Q43">
        <f t="shared" ref="Q43" si="191">F43*P43</f>
        <v>0</v>
      </c>
      <c r="R43">
        <f t="shared" ref="R43" si="192">R44+Q43</f>
        <v>-403339376.84673625</v>
      </c>
      <c r="S43">
        <f t="shared" ref="S43" si="193">R43/100000</f>
        <v>-4033.3937684673624</v>
      </c>
      <c r="T43">
        <f t="shared" ref="T43" si="194">S43/1000</f>
        <v>-4.033393768467362</v>
      </c>
    </row>
    <row r="44" spans="1:20" x14ac:dyDescent="0.25">
      <c r="A44" s="5">
        <v>44549</v>
      </c>
      <c r="B44">
        <v>0.38700000000000001</v>
      </c>
      <c r="C44">
        <v>0.39800000000000002</v>
      </c>
      <c r="D44">
        <v>0.36699999999999999</v>
      </c>
      <c r="E44">
        <v>0.36899999999999999</v>
      </c>
      <c r="F44">
        <v>10810372.9</v>
      </c>
      <c r="G44">
        <v>0.36899999999999999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-0.87096774193548387</v>
      </c>
      <c r="Q44">
        <f t="shared" ref="Q44" si="196">F44*P44</f>
        <v>-9415486.0741935484</v>
      </c>
      <c r="R44">
        <f t="shared" ref="R44" si="197">R45+Q44</f>
        <v>-403339376.84673625</v>
      </c>
      <c r="S44">
        <f t="shared" ref="S44" si="198">R44/100000</f>
        <v>-4033.3937684673624</v>
      </c>
      <c r="T44">
        <f t="shared" ref="T44" si="199">S44/1000</f>
        <v>-4.033393768467362</v>
      </c>
    </row>
    <row r="45" spans="1:20" x14ac:dyDescent="0.25">
      <c r="A45" s="5">
        <v>44548</v>
      </c>
      <c r="B45">
        <v>0.38700000000000001</v>
      </c>
      <c r="C45">
        <v>0.41299999999999998</v>
      </c>
      <c r="D45">
        <v>0.375</v>
      </c>
      <c r="E45">
        <v>0.38700000000000001</v>
      </c>
      <c r="F45">
        <v>12338882.300000001</v>
      </c>
      <c r="G45">
        <v>0.38700000000000001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-0.36842105263157804</v>
      </c>
      <c r="Q45">
        <f t="shared" ref="Q45" si="201">F45*P45</f>
        <v>-4545904.0052631469</v>
      </c>
      <c r="R45">
        <f t="shared" ref="R45" si="202">R46+Q45</f>
        <v>-393923890.77254272</v>
      </c>
      <c r="S45">
        <f t="shared" ref="S45" si="203">R45/100000</f>
        <v>-3939.238907725427</v>
      </c>
      <c r="T45">
        <f t="shared" ref="T45" si="204">S45/1000</f>
        <v>-3.9392389077254268</v>
      </c>
    </row>
    <row r="46" spans="1:20" x14ac:dyDescent="0.25">
      <c r="A46" s="5">
        <v>44547</v>
      </c>
      <c r="B46">
        <v>0.39200000000000002</v>
      </c>
      <c r="C46">
        <v>0.44400000000000001</v>
      </c>
      <c r="D46">
        <v>0.38700000000000001</v>
      </c>
      <c r="E46">
        <v>0.38700000000000001</v>
      </c>
      <c r="F46">
        <v>38454545.700000003</v>
      </c>
      <c r="G46">
        <v>0.38700000000000001</v>
      </c>
      <c r="L46" t="s">
        <v>8</v>
      </c>
      <c r="M46" t="s">
        <v>8</v>
      </c>
      <c r="N46" t="s">
        <v>7</v>
      </c>
      <c r="P46">
        <f t="shared" ref="P46" si="205">IF(C46=D46,0,((E46-D46)-(C46-E46))/(C46-D46))</f>
        <v>-1</v>
      </c>
      <c r="Q46">
        <f t="shared" ref="Q46" si="206">F46*P46</f>
        <v>-38454545.700000003</v>
      </c>
      <c r="R46">
        <f t="shared" ref="R46" si="207">R47+Q46</f>
        <v>-389377986.76727957</v>
      </c>
      <c r="S46">
        <f t="shared" ref="S46" si="208">R46/100000</f>
        <v>-3893.7798676727957</v>
      </c>
      <c r="T46">
        <f t="shared" ref="T46" si="209">S46/1000</f>
        <v>-3.8937798676727957</v>
      </c>
    </row>
    <row r="47" spans="1:20" x14ac:dyDescent="0.25">
      <c r="A47" s="5">
        <v>44546</v>
      </c>
      <c r="B47">
        <v>0.378</v>
      </c>
      <c r="C47">
        <v>0.43</v>
      </c>
      <c r="D47">
        <v>0.372</v>
      </c>
      <c r="E47">
        <v>0.39200000000000002</v>
      </c>
      <c r="F47">
        <v>24696373.100000001</v>
      </c>
      <c r="G47">
        <v>0.39200000000000002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-0.31034482758620624</v>
      </c>
      <c r="Q47">
        <f t="shared" ref="Q47" si="211">F47*P47</f>
        <v>-7664391.6517241225</v>
      </c>
      <c r="R47">
        <f t="shared" ref="R47" si="212">R48+Q47</f>
        <v>-350923441.06727958</v>
      </c>
      <c r="S47">
        <f t="shared" ref="S47" si="213">R47/100000</f>
        <v>-3509.2344106727955</v>
      </c>
      <c r="T47">
        <f t="shared" ref="T47" si="214">S47/1000</f>
        <v>-3.5092344106727955</v>
      </c>
    </row>
    <row r="48" spans="1:20" x14ac:dyDescent="0.25">
      <c r="A48" s="5">
        <v>44545</v>
      </c>
      <c r="B48">
        <v>0.38100000000000001</v>
      </c>
      <c r="C48">
        <v>0.38600000000000001</v>
      </c>
      <c r="D48">
        <v>0.35099999999999998</v>
      </c>
      <c r="E48">
        <v>0.378</v>
      </c>
      <c r="F48">
        <v>15164323.9</v>
      </c>
      <c r="G48">
        <v>0.378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0.54285714285714282</v>
      </c>
      <c r="Q48">
        <f t="shared" ref="Q48" si="216">F48*P48</f>
        <v>8232061.5457142852</v>
      </c>
      <c r="R48">
        <f t="shared" ref="R48" si="217">R49+Q48</f>
        <v>-343259049.41555548</v>
      </c>
      <c r="S48">
        <f t="shared" ref="S48" si="218">R48/100000</f>
        <v>-3432.5904941555546</v>
      </c>
      <c r="T48">
        <f t="shared" ref="T48" si="219">S48/1000</f>
        <v>-3.4325904941555545</v>
      </c>
    </row>
    <row r="49" spans="1:20" x14ac:dyDescent="0.25">
      <c r="A49" s="5">
        <v>44544</v>
      </c>
      <c r="B49">
        <v>0.39900000000000002</v>
      </c>
      <c r="C49">
        <v>0.40500000000000003</v>
      </c>
      <c r="D49">
        <v>0.372</v>
      </c>
      <c r="E49">
        <v>0.38100000000000001</v>
      </c>
      <c r="F49">
        <v>19895970.300000001</v>
      </c>
      <c r="G49">
        <v>0.38100000000000001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-0.45454545454545453</v>
      </c>
      <c r="Q49">
        <f t="shared" ref="Q49" si="221">F49*P49</f>
        <v>-9043622.8636363633</v>
      </c>
      <c r="R49">
        <f t="shared" ref="R49" si="222">R50+Q49</f>
        <v>-351491110.96126974</v>
      </c>
      <c r="S49">
        <f t="shared" ref="S49" si="223">R49/100000</f>
        <v>-3514.9111096126971</v>
      </c>
      <c r="T49">
        <f t="shared" ref="T49" si="224">S49/1000</f>
        <v>-3.5149111096126973</v>
      </c>
    </row>
    <row r="50" spans="1:20" x14ac:dyDescent="0.25">
      <c r="A50" s="5">
        <v>44543</v>
      </c>
      <c r="B50">
        <v>0.499</v>
      </c>
      <c r="C50">
        <v>0.499</v>
      </c>
      <c r="D50">
        <v>0.39</v>
      </c>
      <c r="E50">
        <v>0.4</v>
      </c>
      <c r="F50">
        <v>25795451.800000001</v>
      </c>
      <c r="G50">
        <v>0.4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-0.81651376146788968</v>
      </c>
      <c r="Q50">
        <f t="shared" ref="Q50" si="226">F50*P50</f>
        <v>-21062341.377981648</v>
      </c>
      <c r="R50">
        <f t="shared" ref="R50" si="227">R51+Q50</f>
        <v>-342447488.09763336</v>
      </c>
      <c r="S50">
        <f t="shared" ref="S50" si="228">R50/100000</f>
        <v>-3424.4748809763337</v>
      </c>
      <c r="T50">
        <f t="shared" ref="T50" si="229">S50/1000</f>
        <v>-3.4244748809763337</v>
      </c>
    </row>
    <row r="51" spans="1:20" x14ac:dyDescent="0.25">
      <c r="A51" s="5">
        <v>44542</v>
      </c>
      <c r="B51">
        <v>0.42099999999999999</v>
      </c>
      <c r="C51">
        <v>0.57799999999999996</v>
      </c>
      <c r="D51">
        <v>0.41899999999999998</v>
      </c>
      <c r="E51">
        <v>0.499</v>
      </c>
      <c r="F51">
        <v>65132905.899999999</v>
      </c>
      <c r="G51">
        <v>0.499</v>
      </c>
      <c r="L51" t="s">
        <v>8</v>
      </c>
      <c r="M51" t="s">
        <v>8</v>
      </c>
      <c r="N51" t="s">
        <v>8</v>
      </c>
      <c r="P51">
        <f t="shared" ref="P51" si="230">IF(C51=D51,0,((E51-D51)-(C51-E51))/(C51-D51))</f>
        <v>6.2893081761009849E-3</v>
      </c>
      <c r="Q51">
        <f t="shared" ref="Q51" si="231">F51*P51</f>
        <v>409640.91761008609</v>
      </c>
      <c r="R51">
        <f t="shared" ref="R51" si="232">R52+Q51</f>
        <v>-321385146.7196517</v>
      </c>
      <c r="S51">
        <f t="shared" ref="S51" si="233">R51/100000</f>
        <v>-3213.8514671965172</v>
      </c>
      <c r="T51">
        <f t="shared" ref="T51" si="234">S51/1000</f>
        <v>-3.213851467196517</v>
      </c>
    </row>
    <row r="52" spans="1:20" x14ac:dyDescent="0.25">
      <c r="A52" s="5">
        <v>44541</v>
      </c>
      <c r="B52">
        <v>0.42099999999999999</v>
      </c>
      <c r="C52">
        <v>0.42399999999999999</v>
      </c>
      <c r="D52">
        <v>0.41199999999999998</v>
      </c>
      <c r="E52">
        <v>0.42199999999999999</v>
      </c>
      <c r="F52">
        <v>294565.3</v>
      </c>
      <c r="G52">
        <v>0.42199999999999999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0.66666666666666663</v>
      </c>
      <c r="Q52">
        <f t="shared" ref="Q52" si="236">F52*P52</f>
        <v>196376.86666666664</v>
      </c>
      <c r="R52">
        <f t="shared" ref="R52" si="237">R53+Q52</f>
        <v>-321794787.63726181</v>
      </c>
      <c r="S52">
        <f t="shared" ref="S52" si="238">R52/100000</f>
        <v>-3217.9478763726179</v>
      </c>
      <c r="T52">
        <f t="shared" ref="T52" si="239">S52/1000</f>
        <v>-3.2179478763726177</v>
      </c>
    </row>
    <row r="53" spans="1:20" x14ac:dyDescent="0.25">
      <c r="A53" s="5">
        <v>44540</v>
      </c>
      <c r="B53">
        <v>0.45200000000000001</v>
      </c>
      <c r="C53">
        <v>0.47199999999999998</v>
      </c>
      <c r="D53">
        <v>0.41799999999999998</v>
      </c>
      <c r="E53">
        <v>0.42099999999999999</v>
      </c>
      <c r="F53">
        <v>8163816</v>
      </c>
      <c r="G53">
        <v>0.42099999999999999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-0.88888888888888873</v>
      </c>
      <c r="Q53">
        <f t="shared" ref="Q53" si="241">F53*P53</f>
        <v>-7256725.3333333321</v>
      </c>
      <c r="R53">
        <f t="shared" ref="R53" si="242">R54+Q53</f>
        <v>-321991164.50392848</v>
      </c>
      <c r="S53">
        <f t="shared" ref="S53" si="243">R53/100000</f>
        <v>-3219.9116450392848</v>
      </c>
      <c r="T53">
        <f t="shared" ref="T53" si="244">S53/1000</f>
        <v>-3.2199116450392848</v>
      </c>
    </row>
    <row r="54" spans="1:20" x14ac:dyDescent="0.25">
      <c r="A54" s="5">
        <v>44539</v>
      </c>
      <c r="B54">
        <v>0.49</v>
      </c>
      <c r="C54">
        <v>0.501</v>
      </c>
      <c r="D54">
        <v>0.45</v>
      </c>
      <c r="E54">
        <v>0.45200000000000001</v>
      </c>
      <c r="F54">
        <v>6473628.5</v>
      </c>
      <c r="G54">
        <v>0.45200000000000001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-0.92156862745098034</v>
      </c>
      <c r="Q54">
        <f t="shared" ref="Q54" si="246">F54*P54</f>
        <v>-5965892.9313725485</v>
      </c>
      <c r="R54">
        <f t="shared" ref="R54" si="247">R55+Q54</f>
        <v>-314734439.17059517</v>
      </c>
      <c r="S54">
        <f t="shared" ref="S54" si="248">R54/100000</f>
        <v>-3147.3443917059517</v>
      </c>
      <c r="T54">
        <f t="shared" ref="T54" si="249">S54/1000</f>
        <v>-3.1473443917059516</v>
      </c>
    </row>
    <row r="55" spans="1:20" x14ac:dyDescent="0.25">
      <c r="A55" s="5">
        <v>44538</v>
      </c>
      <c r="B55">
        <v>0.47799999999999998</v>
      </c>
      <c r="C55">
        <v>0.50600000000000001</v>
      </c>
      <c r="D55">
        <v>0.47399999999999998</v>
      </c>
      <c r="E55">
        <v>0.49</v>
      </c>
      <c r="F55">
        <v>6409948.7000000002</v>
      </c>
      <c r="G55">
        <v>0.49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0</v>
      </c>
      <c r="Q55">
        <f t="shared" ref="Q55" si="251">F55*P55</f>
        <v>0</v>
      </c>
      <c r="R55">
        <f t="shared" ref="R55" si="252">R56+Q55</f>
        <v>-308768546.23922265</v>
      </c>
      <c r="S55">
        <f t="shared" ref="S55" si="253">R55/100000</f>
        <v>-3087.6854623922263</v>
      </c>
      <c r="T55">
        <f t="shared" ref="T55" si="254">S55/1000</f>
        <v>-3.0876854623922263</v>
      </c>
    </row>
    <row r="56" spans="1:20" x14ac:dyDescent="0.25">
      <c r="A56" s="5">
        <v>44537</v>
      </c>
      <c r="B56">
        <v>0.502</v>
      </c>
      <c r="C56">
        <v>0.52100000000000002</v>
      </c>
      <c r="D56">
        <v>0.47199999999999998</v>
      </c>
      <c r="E56">
        <v>0.47799999999999998</v>
      </c>
      <c r="F56">
        <v>8774702.5</v>
      </c>
      <c r="G56">
        <v>0.47799999999999998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-0.75510204081632648</v>
      </c>
      <c r="Q56">
        <f t="shared" ref="Q56" si="256">F56*P56</f>
        <v>-6625795.7653061217</v>
      </c>
      <c r="R56">
        <f t="shared" ref="R56" si="257">R57+Q56</f>
        <v>-308768546.23922265</v>
      </c>
      <c r="S56">
        <f t="shared" ref="S56" si="258">R56/100000</f>
        <v>-3087.6854623922263</v>
      </c>
      <c r="T56">
        <f t="shared" ref="T56" si="259">S56/1000</f>
        <v>-3.0876854623922263</v>
      </c>
    </row>
    <row r="57" spans="1:20" x14ac:dyDescent="0.25">
      <c r="A57" s="5">
        <v>44536</v>
      </c>
      <c r="B57">
        <v>0.51700000000000002</v>
      </c>
      <c r="C57">
        <v>0.51800000000000002</v>
      </c>
      <c r="D57">
        <v>0.45800000000000002</v>
      </c>
      <c r="E57">
        <v>0.502</v>
      </c>
      <c r="F57">
        <v>11782894.6</v>
      </c>
      <c r="G57">
        <v>0.502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0.46666666666666617</v>
      </c>
      <c r="Q57">
        <f t="shared" ref="Q57" si="261">F57*P57</f>
        <v>5498684.1466666609</v>
      </c>
      <c r="R57">
        <f t="shared" ref="R57" si="262">R58+Q57</f>
        <v>-302142750.47391653</v>
      </c>
      <c r="S57">
        <f t="shared" ref="S57" si="263">R57/100000</f>
        <v>-3021.4275047391652</v>
      </c>
      <c r="T57">
        <f t="shared" ref="T57" si="264">S57/1000</f>
        <v>-3.0214275047391652</v>
      </c>
    </row>
    <row r="58" spans="1:20" x14ac:dyDescent="0.25">
      <c r="A58" s="5">
        <v>44535</v>
      </c>
      <c r="B58">
        <v>0.55200000000000005</v>
      </c>
      <c r="C58">
        <v>0.55600000000000005</v>
      </c>
      <c r="D58">
        <v>0.51100000000000001</v>
      </c>
      <c r="E58">
        <v>0.51600000000000001</v>
      </c>
      <c r="F58">
        <v>7170479.9000000004</v>
      </c>
      <c r="G58">
        <v>0.51600000000000001</v>
      </c>
      <c r="L58" t="s">
        <v>8</v>
      </c>
      <c r="M58" t="s">
        <v>7</v>
      </c>
      <c r="N58" t="s">
        <v>7</v>
      </c>
      <c r="P58">
        <f t="shared" ref="P58" si="265">IF(C58=D58,0,((E58-D58)-(C58-E58))/(C58-D58))</f>
        <v>-0.77777777777777779</v>
      </c>
      <c r="Q58">
        <f t="shared" ref="Q58" si="266">F58*P58</f>
        <v>-5577039.9222222222</v>
      </c>
      <c r="R58">
        <f t="shared" ref="R58" si="267">R59+Q58</f>
        <v>-307641434.62058318</v>
      </c>
      <c r="S58">
        <f t="shared" ref="S58" si="268">R58/100000</f>
        <v>-3076.4143462058319</v>
      </c>
      <c r="T58">
        <f t="shared" ref="T58" si="269">S58/1000</f>
        <v>-3.0764143462058318</v>
      </c>
    </row>
    <row r="59" spans="1:20" x14ac:dyDescent="0.25">
      <c r="A59" s="5">
        <v>44534</v>
      </c>
      <c r="B59">
        <v>0.66</v>
      </c>
      <c r="C59">
        <v>0.66300000000000003</v>
      </c>
      <c r="D59">
        <v>0.51</v>
      </c>
      <c r="E59">
        <v>0.55100000000000005</v>
      </c>
      <c r="F59">
        <v>12481503.4</v>
      </c>
      <c r="G59">
        <v>0.55100000000000005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-0.46405228758169897</v>
      </c>
      <c r="Q59">
        <f t="shared" ref="Q59" si="271">F59*P59</f>
        <v>-5792070.2052287534</v>
      </c>
      <c r="R59">
        <f t="shared" ref="R59" si="272">R60+Q59</f>
        <v>-302064394.69836098</v>
      </c>
      <c r="S59">
        <f t="shared" ref="S59" si="273">R59/100000</f>
        <v>-3020.64394698361</v>
      </c>
      <c r="T59">
        <f t="shared" ref="T59" si="274">S59/1000</f>
        <v>-3.0206439469836099</v>
      </c>
    </row>
    <row r="60" spans="1:20" x14ac:dyDescent="0.25">
      <c r="A60" s="5">
        <v>44533</v>
      </c>
      <c r="B60">
        <v>0.65600000000000003</v>
      </c>
      <c r="C60">
        <v>0.72599999999999998</v>
      </c>
      <c r="D60">
        <v>0.64900000000000002</v>
      </c>
      <c r="E60">
        <v>0.66</v>
      </c>
      <c r="F60">
        <v>17659325.600000001</v>
      </c>
      <c r="G60">
        <v>0.66</v>
      </c>
      <c r="L60" t="s">
        <v>8</v>
      </c>
      <c r="M60" t="s">
        <v>8</v>
      </c>
      <c r="N60" t="s">
        <v>7</v>
      </c>
      <c r="P60">
        <f t="shared" ref="P60" si="275">IF(C60=D60,0,((E60-D60)-(C60-E60))/(C60-D60))</f>
        <v>-0.71428571428571386</v>
      </c>
      <c r="Q60">
        <f t="shared" ref="Q60" si="276">F60*P60</f>
        <v>-12613803.999999994</v>
      </c>
      <c r="R60">
        <f t="shared" ref="R60" si="277">R61+Q60</f>
        <v>-296272324.49313223</v>
      </c>
      <c r="S60">
        <f t="shared" ref="S60" si="278">R60/100000</f>
        <v>-2962.7232449313224</v>
      </c>
      <c r="T60">
        <f t="shared" ref="T60" si="279">S60/1000</f>
        <v>-2.9627232449313223</v>
      </c>
    </row>
    <row r="61" spans="1:20" x14ac:dyDescent="0.25">
      <c r="A61" s="5">
        <v>44532</v>
      </c>
      <c r="B61">
        <v>0.65800000000000003</v>
      </c>
      <c r="C61">
        <v>0.66700000000000004</v>
      </c>
      <c r="D61">
        <v>0.628</v>
      </c>
      <c r="E61">
        <v>0.65500000000000003</v>
      </c>
      <c r="F61">
        <v>8319147.4000000004</v>
      </c>
      <c r="G61">
        <v>0.65500000000000003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0.38461538461538464</v>
      </c>
      <c r="Q61">
        <f t="shared" ref="Q61" si="281">F61*P61</f>
        <v>3199672.0769230775</v>
      </c>
      <c r="R61">
        <f t="shared" ref="R61" si="282">R62+Q61</f>
        <v>-283658520.49313223</v>
      </c>
      <c r="S61">
        <f t="shared" ref="S61" si="283">R61/100000</f>
        <v>-2836.5852049313226</v>
      </c>
      <c r="T61">
        <f t="shared" ref="T61" si="284">S61/1000</f>
        <v>-2.8365852049313225</v>
      </c>
    </row>
    <row r="62" spans="1:20" x14ac:dyDescent="0.25">
      <c r="A62" s="5">
        <v>44531</v>
      </c>
      <c r="B62">
        <v>0.64200000000000002</v>
      </c>
      <c r="C62">
        <v>0.73199999999999998</v>
      </c>
      <c r="D62">
        <v>0.63800000000000001</v>
      </c>
      <c r="E62">
        <v>0.65800000000000003</v>
      </c>
      <c r="F62">
        <v>19910620.399999999</v>
      </c>
      <c r="G62">
        <v>0.65800000000000003</v>
      </c>
      <c r="L62" t="s">
        <v>8</v>
      </c>
      <c r="M62" t="s">
        <v>8</v>
      </c>
      <c r="N62" t="s">
        <v>7</v>
      </c>
      <c r="P62">
        <f t="shared" ref="P62" si="285">IF(C62=D62,0,((E62-D62)-(C62-E62))/(C62-D62))</f>
        <v>-0.57446808510638248</v>
      </c>
      <c r="Q62">
        <f t="shared" ref="Q62" si="286">F62*P62</f>
        <v>-11438015.974468075</v>
      </c>
      <c r="R62">
        <f t="shared" ref="R62" si="287">R63+Q62</f>
        <v>-286858192.57005531</v>
      </c>
      <c r="S62">
        <f t="shared" ref="S62" si="288">R62/100000</f>
        <v>-2868.5819257005533</v>
      </c>
      <c r="T62">
        <f t="shared" ref="T62" si="289">S62/1000</f>
        <v>-2.8685819257005534</v>
      </c>
    </row>
    <row r="63" spans="1:20" x14ac:dyDescent="0.25">
      <c r="A63" s="5">
        <v>44530</v>
      </c>
      <c r="B63">
        <v>0.66300000000000003</v>
      </c>
      <c r="C63">
        <v>0.66600000000000004</v>
      </c>
      <c r="D63">
        <v>0.63300000000000001</v>
      </c>
      <c r="E63">
        <v>0.64100000000000001</v>
      </c>
      <c r="F63">
        <v>5784512.5999999996</v>
      </c>
      <c r="G63">
        <v>0.64100000000000001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-0.51515151515151514</v>
      </c>
      <c r="Q63">
        <f t="shared" ref="Q63" si="291">F63*P63</f>
        <v>-2979900.4303030302</v>
      </c>
      <c r="R63">
        <f t="shared" ref="R63" si="292">R64+Q63</f>
        <v>-275420176.59558725</v>
      </c>
      <c r="S63">
        <f t="shared" ref="S63" si="293">R63/100000</f>
        <v>-2754.2017659558724</v>
      </c>
      <c r="T63">
        <f t="shared" ref="T63" si="294">S63/1000</f>
        <v>-2.7542017659558722</v>
      </c>
    </row>
    <row r="64" spans="1:20" x14ac:dyDescent="0.25">
      <c r="A64" s="5">
        <v>44529</v>
      </c>
      <c r="B64">
        <v>0.65400000000000003</v>
      </c>
      <c r="C64">
        <v>0.68200000000000005</v>
      </c>
      <c r="D64">
        <v>0.65</v>
      </c>
      <c r="E64">
        <v>0.66300000000000003</v>
      </c>
      <c r="F64">
        <v>7626669.2000000002</v>
      </c>
      <c r="G64">
        <v>0.66300000000000003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-0.1875</v>
      </c>
      <c r="Q64">
        <f t="shared" ref="Q64" si="296">F64*P64</f>
        <v>-1430000.4750000001</v>
      </c>
      <c r="R64">
        <f t="shared" ref="R64" si="297">R65+Q64</f>
        <v>-272440276.16528422</v>
      </c>
      <c r="S64">
        <f t="shared" ref="S64" si="298">R64/100000</f>
        <v>-2724.4027616528419</v>
      </c>
      <c r="T64">
        <f t="shared" ref="T64" si="299">S64/1000</f>
        <v>-2.7244027616528421</v>
      </c>
    </row>
    <row r="65" spans="1:20" x14ac:dyDescent="0.25">
      <c r="A65" s="5">
        <v>44528</v>
      </c>
      <c r="B65">
        <v>0.66800000000000004</v>
      </c>
      <c r="C65">
        <v>0.66800000000000004</v>
      </c>
      <c r="D65">
        <v>0.61</v>
      </c>
      <c r="E65">
        <v>0.65500000000000003</v>
      </c>
      <c r="F65">
        <v>6273924.5999999996</v>
      </c>
      <c r="G65">
        <v>0.65500000000000003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0.55172413793103448</v>
      </c>
      <c r="Q65">
        <f t="shared" ref="Q65" si="301">F65*P65</f>
        <v>3461475.6413793103</v>
      </c>
      <c r="R65">
        <f t="shared" ref="R65" si="302">R66+Q65</f>
        <v>-271010275.69028419</v>
      </c>
      <c r="S65">
        <f t="shared" ref="S65" si="303">R65/100000</f>
        <v>-2710.102756902842</v>
      </c>
      <c r="T65">
        <f t="shared" ref="T65" si="304">S65/1000</f>
        <v>-2.7101027569028422</v>
      </c>
    </row>
    <row r="66" spans="1:20" x14ac:dyDescent="0.25">
      <c r="A66" s="5">
        <v>44527</v>
      </c>
      <c r="B66">
        <v>0.65700000000000003</v>
      </c>
      <c r="C66">
        <v>0.68500000000000005</v>
      </c>
      <c r="D66">
        <v>0.65200000000000002</v>
      </c>
      <c r="E66">
        <v>0.67</v>
      </c>
      <c r="F66">
        <v>5226113.3</v>
      </c>
      <c r="G66">
        <v>0.67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9.0909090909090912E-2</v>
      </c>
      <c r="Q66">
        <f t="shared" ref="Q66" si="306">F66*P66</f>
        <v>475101.20909090911</v>
      </c>
      <c r="R66">
        <f t="shared" ref="R66" si="307">R67+Q66</f>
        <v>-274471751.33166349</v>
      </c>
      <c r="S66">
        <f t="shared" ref="S66" si="308">R66/100000</f>
        <v>-2744.7175133166347</v>
      </c>
      <c r="T66">
        <f t="shared" ref="T66" si="309">S66/1000</f>
        <v>-2.7447175133166346</v>
      </c>
    </row>
    <row r="67" spans="1:20" x14ac:dyDescent="0.25">
      <c r="A67" s="5">
        <v>44526</v>
      </c>
      <c r="B67">
        <v>0.72399999999999998</v>
      </c>
      <c r="C67">
        <v>0.72499999999999998</v>
      </c>
      <c r="D67">
        <v>0.64200000000000002</v>
      </c>
      <c r="E67">
        <v>0.65600000000000003</v>
      </c>
      <c r="F67">
        <v>8012525.5</v>
      </c>
      <c r="G67">
        <v>0.65600000000000003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-0.66265060240963813</v>
      </c>
      <c r="Q67">
        <f t="shared" ref="Q67" si="311">F67*P67</f>
        <v>-5309504.8493975867</v>
      </c>
      <c r="R67">
        <f t="shared" ref="R67" si="312">R68+Q67</f>
        <v>-274946852.54075438</v>
      </c>
      <c r="S67">
        <f t="shared" ref="S67" si="313">R67/100000</f>
        <v>-2749.4685254075439</v>
      </c>
      <c r="T67">
        <f t="shared" ref="T67" si="314">S67/1000</f>
        <v>-2.7494685254075439</v>
      </c>
    </row>
    <row r="68" spans="1:20" x14ac:dyDescent="0.25">
      <c r="A68" s="5">
        <v>44525</v>
      </c>
      <c r="B68">
        <v>0.70599999999999996</v>
      </c>
      <c r="C68">
        <v>0.74399999999999999</v>
      </c>
      <c r="D68">
        <v>0.70099999999999996</v>
      </c>
      <c r="E68">
        <v>0.72299999999999998</v>
      </c>
      <c r="F68">
        <v>8658813.1999999993</v>
      </c>
      <c r="G68">
        <v>0.72299999999999998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2.3255813953488372E-2</v>
      </c>
      <c r="Q68">
        <f t="shared" ref="Q68" si="316">F68*P68</f>
        <v>201367.74883720928</v>
      </c>
      <c r="R68">
        <f t="shared" ref="R68" si="317">R69+Q68</f>
        <v>-269637347.69135678</v>
      </c>
      <c r="S68">
        <f t="shared" ref="S68" si="318">R68/100000</f>
        <v>-2696.3734769135676</v>
      </c>
      <c r="T68">
        <f t="shared" ref="T68" si="319">S68/1000</f>
        <v>-2.6963734769135677</v>
      </c>
    </row>
    <row r="69" spans="1:20" x14ac:dyDescent="0.25">
      <c r="A69" s="5">
        <v>44524</v>
      </c>
      <c r="B69">
        <v>0.754</v>
      </c>
      <c r="C69">
        <v>0.76</v>
      </c>
      <c r="D69">
        <v>0.72199999999999998</v>
      </c>
      <c r="E69">
        <v>0.73599999999999999</v>
      </c>
      <c r="F69">
        <v>5512979</v>
      </c>
      <c r="G69">
        <v>0.73599999999999999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-0.26315789473684209</v>
      </c>
      <c r="Q69">
        <f t="shared" ref="Q69" si="321">F69*P69</f>
        <v>-1450783.9473684209</v>
      </c>
      <c r="R69">
        <f t="shared" ref="R69" si="322">R70+Q69</f>
        <v>-269838715.44019401</v>
      </c>
      <c r="S69">
        <f t="shared" ref="S69" si="323">R69/100000</f>
        <v>-2698.3871544019403</v>
      </c>
      <c r="T69">
        <f t="shared" ref="T69" si="324">S69/1000</f>
        <v>-2.6983871544019404</v>
      </c>
    </row>
    <row r="70" spans="1:20" x14ac:dyDescent="0.25">
      <c r="A70" s="5">
        <v>44523</v>
      </c>
      <c r="B70">
        <v>0.79</v>
      </c>
      <c r="C70">
        <v>0.81599999999999995</v>
      </c>
      <c r="D70">
        <v>0.751</v>
      </c>
      <c r="E70">
        <v>0.754</v>
      </c>
      <c r="F70">
        <v>9949190.1999999993</v>
      </c>
      <c r="G70">
        <v>0.754</v>
      </c>
      <c r="L70" t="s">
        <v>8</v>
      </c>
      <c r="M70" t="s">
        <v>7</v>
      </c>
      <c r="N70" t="s">
        <v>7</v>
      </c>
      <c r="P70">
        <f t="shared" ref="P70" si="325">IF(C70=D70,0,((E70-D70)-(C70-E70))/(C70-D70))</f>
        <v>-0.90769230769230758</v>
      </c>
      <c r="Q70">
        <f t="shared" ref="Q70" si="326">F70*P70</f>
        <v>-9030803.4123076908</v>
      </c>
      <c r="R70">
        <f t="shared" ref="R70" si="327">R71+Q70</f>
        <v>-268387931.4928256</v>
      </c>
      <c r="S70">
        <f t="shared" ref="S70" si="328">R70/100000</f>
        <v>-2683.879314928256</v>
      </c>
      <c r="T70">
        <f t="shared" ref="T70" si="329">S70/1000</f>
        <v>-2.683879314928256</v>
      </c>
    </row>
    <row r="71" spans="1:20" x14ac:dyDescent="0.25">
      <c r="A71" s="5">
        <v>44522</v>
      </c>
      <c r="B71">
        <v>0.77300000000000002</v>
      </c>
      <c r="C71">
        <v>0.88100000000000001</v>
      </c>
      <c r="D71">
        <v>0.746</v>
      </c>
      <c r="E71">
        <v>0.79</v>
      </c>
      <c r="F71">
        <v>25886005.800000001</v>
      </c>
      <c r="G71">
        <v>0.79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-0.3481481481481476</v>
      </c>
      <c r="Q71">
        <f t="shared" ref="Q71" si="331">F71*P71</f>
        <v>-9012164.9822222088</v>
      </c>
      <c r="R71">
        <f t="shared" ref="R71" si="332">R72+Q71</f>
        <v>-259357128.08051792</v>
      </c>
      <c r="S71">
        <f t="shared" ref="S71" si="333">R71/100000</f>
        <v>-2593.571280805179</v>
      </c>
      <c r="T71">
        <f t="shared" ref="T71" si="334">S71/1000</f>
        <v>-2.593571280805179</v>
      </c>
    </row>
    <row r="72" spans="1:20" x14ac:dyDescent="0.25">
      <c r="A72" s="5">
        <v>44521</v>
      </c>
      <c r="B72">
        <v>0.73699999999999999</v>
      </c>
      <c r="C72">
        <v>0.97699999999999998</v>
      </c>
      <c r="D72">
        <v>0.71899999999999997</v>
      </c>
      <c r="E72">
        <v>0.77300000000000002</v>
      </c>
      <c r="F72">
        <v>25941974.600000001</v>
      </c>
      <c r="G72">
        <v>0.77300000000000002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-0.58139534883720889</v>
      </c>
      <c r="Q72">
        <f t="shared" ref="Q72" si="336">F72*P72</f>
        <v>-15082543.372093013</v>
      </c>
      <c r="R72">
        <f t="shared" ref="R72" si="337">R73+Q72</f>
        <v>-250344963.09829572</v>
      </c>
      <c r="S72">
        <f t="shared" ref="S72" si="338">R72/100000</f>
        <v>-2503.4496309829574</v>
      </c>
      <c r="T72">
        <f t="shared" ref="T72" si="339">S72/1000</f>
        <v>-2.5034496309829573</v>
      </c>
    </row>
    <row r="73" spans="1:20" x14ac:dyDescent="0.25">
      <c r="A73" s="5">
        <v>44520</v>
      </c>
      <c r="B73">
        <v>0.747</v>
      </c>
      <c r="C73">
        <v>0.753</v>
      </c>
      <c r="D73">
        <v>0.71299999999999997</v>
      </c>
      <c r="E73">
        <v>0.73699999999999999</v>
      </c>
      <c r="F73">
        <v>5204443.5999999996</v>
      </c>
      <c r="G73">
        <v>0.73699999999999999</v>
      </c>
      <c r="L73" t="s">
        <v>7</v>
      </c>
      <c r="M73" t="s">
        <v>7</v>
      </c>
      <c r="N73" t="s">
        <v>7</v>
      </c>
      <c r="P73">
        <f t="shared" ref="P73" si="340">IF(C73=D73,0,((E73-D73)-(C73-E73))/(C73-D73))</f>
        <v>0.2</v>
      </c>
      <c r="Q73">
        <f t="shared" ref="Q73" si="341">F73*P73</f>
        <v>1040888.72</v>
      </c>
      <c r="R73">
        <f t="shared" ref="R73" si="342">R74+Q73</f>
        <v>-235262419.7262027</v>
      </c>
      <c r="S73">
        <f t="shared" ref="S73" si="343">R73/100000</f>
        <v>-2352.6241972620269</v>
      </c>
      <c r="T73">
        <f t="shared" ref="T73" si="344">S73/1000</f>
        <v>-2.3526241972620268</v>
      </c>
    </row>
    <row r="74" spans="1:20" x14ac:dyDescent="0.25">
      <c r="A74" s="5">
        <v>44519</v>
      </c>
      <c r="B74">
        <v>0.71199999999999997</v>
      </c>
      <c r="C74">
        <v>0.76500000000000001</v>
      </c>
      <c r="D74">
        <v>0.70499999999999996</v>
      </c>
      <c r="E74">
        <v>0.748</v>
      </c>
      <c r="F74">
        <v>4749133.2</v>
      </c>
      <c r="G74">
        <v>0.748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0.43333333333333335</v>
      </c>
      <c r="Q74">
        <f t="shared" ref="Q74" si="346">F74*P74</f>
        <v>2057957.7200000002</v>
      </c>
      <c r="R74">
        <f t="shared" ref="R74" si="347">R75+Q74</f>
        <v>-236303308.4462027</v>
      </c>
      <c r="S74">
        <f t="shared" ref="S74" si="348">R74/100000</f>
        <v>-2363.0330844620271</v>
      </c>
      <c r="T74">
        <f t="shared" ref="T74" si="349">S74/1000</f>
        <v>-2.3630330844620273</v>
      </c>
    </row>
    <row r="75" spans="1:20" x14ac:dyDescent="0.25">
      <c r="A75" s="5">
        <v>44518</v>
      </c>
      <c r="B75">
        <v>0.78900000000000003</v>
      </c>
      <c r="C75">
        <v>0.80200000000000005</v>
      </c>
      <c r="D75">
        <v>0.7</v>
      </c>
      <c r="E75">
        <v>0.71199999999999997</v>
      </c>
      <c r="F75">
        <v>6999672.1900000004</v>
      </c>
      <c r="G75">
        <v>0.71199999999999997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-0.76470588235294112</v>
      </c>
      <c r="Q75">
        <f t="shared" ref="Q75" si="351">F75*P75</f>
        <v>-5352690.4982352937</v>
      </c>
      <c r="R75">
        <f t="shared" ref="R75" si="352">R76+Q75</f>
        <v>-238361266.16620269</v>
      </c>
      <c r="S75">
        <f t="shared" ref="S75" si="353">R75/100000</f>
        <v>-2383.6126616620268</v>
      </c>
      <c r="T75">
        <f t="shared" ref="T75" si="354">S75/1000</f>
        <v>-2.3836126616620268</v>
      </c>
    </row>
    <row r="76" spans="1:20" x14ac:dyDescent="0.25">
      <c r="A76" s="5">
        <v>44517</v>
      </c>
      <c r="B76">
        <v>0.79700000000000004</v>
      </c>
      <c r="C76">
        <v>0.80400000000000005</v>
      </c>
      <c r="D76">
        <v>0.76300000000000001</v>
      </c>
      <c r="E76">
        <v>0.79</v>
      </c>
      <c r="F76">
        <v>5750132.0999999996</v>
      </c>
      <c r="G76">
        <v>0.79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0.31707317073170732</v>
      </c>
      <c r="Q76">
        <f t="shared" ref="Q76" si="356">F76*P76</f>
        <v>1823212.6170731706</v>
      </c>
      <c r="R76">
        <f t="shared" ref="R76" si="357">R77+Q76</f>
        <v>-233008575.66796741</v>
      </c>
      <c r="S76">
        <f t="shared" ref="S76" si="358">R76/100000</f>
        <v>-2330.085756679674</v>
      </c>
      <c r="T76">
        <f t="shared" ref="T76" si="359">S76/1000</f>
        <v>-2.330085756679674</v>
      </c>
    </row>
    <row r="77" spans="1:20" x14ac:dyDescent="0.25">
      <c r="A77" s="5">
        <v>44516</v>
      </c>
      <c r="B77">
        <v>0.86099999999999999</v>
      </c>
      <c r="C77">
        <v>0.86699999999999999</v>
      </c>
      <c r="D77">
        <v>0.78100000000000003</v>
      </c>
      <c r="E77">
        <v>0.79800000000000004</v>
      </c>
      <c r="F77">
        <v>7813093.79</v>
      </c>
      <c r="G77">
        <v>0.79800000000000004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-0.60465116279069719</v>
      </c>
      <c r="Q77">
        <f t="shared" ref="Q77" si="361">F77*P77</f>
        <v>-4724196.2451162757</v>
      </c>
      <c r="R77">
        <f t="shared" ref="R77" si="362">R78+Q77</f>
        <v>-234831788.28504059</v>
      </c>
      <c r="S77">
        <f t="shared" ref="S77" si="363">R77/100000</f>
        <v>-2348.317882850406</v>
      </c>
      <c r="T77">
        <f t="shared" ref="T77" si="364">S77/1000</f>
        <v>-2.3483178828504059</v>
      </c>
    </row>
    <row r="78" spans="1:20" x14ac:dyDescent="0.25">
      <c r="A78" s="5">
        <v>44515</v>
      </c>
      <c r="B78">
        <v>0.88600000000000001</v>
      </c>
      <c r="C78">
        <v>0.90300000000000002</v>
      </c>
      <c r="D78">
        <v>0.85399999999999998</v>
      </c>
      <c r="E78">
        <v>0.86099999999999999</v>
      </c>
      <c r="F78">
        <v>6247744.7000000002</v>
      </c>
      <c r="G78">
        <v>0.86099999999999999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-0.7142857142857143</v>
      </c>
      <c r="Q78">
        <f t="shared" ref="Q78" si="366">F78*P78</f>
        <v>-4462674.7857142864</v>
      </c>
      <c r="R78">
        <f t="shared" ref="R78" si="367">R79+Q78</f>
        <v>-230107592.03992432</v>
      </c>
      <c r="S78">
        <f t="shared" ref="S78" si="368">R78/100000</f>
        <v>-2301.0759203992434</v>
      </c>
      <c r="T78">
        <f t="shared" ref="T78" si="369">S78/1000</f>
        <v>-2.3010759203992435</v>
      </c>
    </row>
    <row r="79" spans="1:20" x14ac:dyDescent="0.25">
      <c r="A79" s="5">
        <v>44514</v>
      </c>
      <c r="B79">
        <v>0.92100000000000004</v>
      </c>
      <c r="C79">
        <v>0.93700000000000006</v>
      </c>
      <c r="D79">
        <v>0.876</v>
      </c>
      <c r="E79">
        <v>0.88700000000000001</v>
      </c>
      <c r="F79">
        <v>6497719</v>
      </c>
      <c r="G79">
        <v>0.88700000000000001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-0.63934426229508201</v>
      </c>
      <c r="Q79">
        <f t="shared" ref="Q79" si="371">F79*P79</f>
        <v>-4154279.360655738</v>
      </c>
      <c r="R79">
        <f t="shared" ref="R79" si="372">R80+Q79</f>
        <v>-225644917.25421003</v>
      </c>
      <c r="S79">
        <f t="shared" ref="S79" si="373">R79/100000</f>
        <v>-2256.4491725421003</v>
      </c>
      <c r="T79">
        <f t="shared" ref="T79" si="374">S79/1000</f>
        <v>-2.2564491725421005</v>
      </c>
    </row>
    <row r="80" spans="1:20" x14ac:dyDescent="0.25">
      <c r="A80" s="5">
        <v>44513</v>
      </c>
      <c r="B80">
        <v>0.89500000000000002</v>
      </c>
      <c r="C80">
        <v>0.95799999999999996</v>
      </c>
      <c r="D80">
        <v>0.88800000000000001</v>
      </c>
      <c r="E80">
        <v>0.92</v>
      </c>
      <c r="F80">
        <v>10582251.699999999</v>
      </c>
      <c r="G80">
        <v>0.92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-8.5714285714284258E-2</v>
      </c>
      <c r="Q80">
        <f t="shared" ref="Q80" si="376">F80*P80</f>
        <v>-907050.14571427018</v>
      </c>
      <c r="R80">
        <f t="shared" ref="R80" si="377">R81+Q80</f>
        <v>-221490637.8935543</v>
      </c>
      <c r="S80">
        <f t="shared" ref="S80" si="378">R80/100000</f>
        <v>-2214.9063789355432</v>
      </c>
      <c r="T80">
        <f t="shared" ref="T80" si="379">S80/1000</f>
        <v>-2.2149063789355434</v>
      </c>
    </row>
    <row r="81" spans="1:20" x14ac:dyDescent="0.25">
      <c r="A81" s="5">
        <v>44512</v>
      </c>
      <c r="B81">
        <v>0.88800000000000001</v>
      </c>
      <c r="C81">
        <v>0.95399999999999996</v>
      </c>
      <c r="D81">
        <v>0.84399999999999997</v>
      </c>
      <c r="E81">
        <v>0.89700000000000002</v>
      </c>
      <c r="F81">
        <v>14064934.050000001</v>
      </c>
      <c r="G81">
        <v>0.89700000000000002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-3.636363636363539E-2</v>
      </c>
      <c r="Q81">
        <f t="shared" ref="Q81" si="381">F81*P81</f>
        <v>-511452.1472727136</v>
      </c>
      <c r="R81">
        <f t="shared" ref="R81" si="382">R82+Q81</f>
        <v>-220583587.74784002</v>
      </c>
      <c r="S81">
        <f t="shared" ref="S81" si="383">R81/100000</f>
        <v>-2205.8358774784001</v>
      </c>
      <c r="T81">
        <f t="shared" ref="T81" si="384">S81/1000</f>
        <v>-2.2058358774784002</v>
      </c>
    </row>
    <row r="82" spans="1:20" x14ac:dyDescent="0.25">
      <c r="A82" s="5">
        <v>44511</v>
      </c>
      <c r="B82">
        <v>0.88900000000000001</v>
      </c>
      <c r="C82">
        <v>0.92300000000000004</v>
      </c>
      <c r="D82">
        <v>0.86199999999999999</v>
      </c>
      <c r="E82">
        <v>0.88800000000000001</v>
      </c>
      <c r="F82">
        <v>5432240.2000000002</v>
      </c>
      <c r="G82">
        <v>0.88800000000000001</v>
      </c>
      <c r="L82" t="s">
        <v>7</v>
      </c>
      <c r="M82" t="s">
        <v>7</v>
      </c>
      <c r="N82" t="s">
        <v>7</v>
      </c>
      <c r="P82">
        <f t="shared" ref="P82" si="385">IF(C82=D82,0,((E82-D82)-(C82-E82))/(C82-D82))</f>
        <v>-0.14754098360655737</v>
      </c>
      <c r="Q82">
        <f t="shared" ref="Q82" si="386">F82*P82</f>
        <v>-801478.06229508203</v>
      </c>
      <c r="R82">
        <f t="shared" ref="R82" si="387">R83+Q82</f>
        <v>-220072135.60056731</v>
      </c>
      <c r="S82">
        <f t="shared" ref="S82" si="388">R82/100000</f>
        <v>-2200.721356005673</v>
      </c>
      <c r="T82">
        <f t="shared" ref="T82" si="389">S82/1000</f>
        <v>-2.2007213560056731</v>
      </c>
    </row>
    <row r="83" spans="1:20" x14ac:dyDescent="0.25">
      <c r="A83" s="5">
        <v>44510</v>
      </c>
      <c r="B83">
        <v>0.95</v>
      </c>
      <c r="C83">
        <v>0.95699999999999996</v>
      </c>
      <c r="D83">
        <v>0.878</v>
      </c>
      <c r="E83">
        <v>0.88900000000000001</v>
      </c>
      <c r="F83">
        <v>10258971.6</v>
      </c>
      <c r="G83">
        <v>0.88900000000000001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-0.72151898734177178</v>
      </c>
      <c r="Q83">
        <f t="shared" ref="Q83" si="391">F83*P83</f>
        <v>-7402042.7999999961</v>
      </c>
      <c r="R83">
        <f t="shared" ref="R83" si="392">R84+Q83</f>
        <v>-219270657.53827223</v>
      </c>
      <c r="S83">
        <f t="shared" ref="S83" si="393">R83/100000</f>
        <v>-2192.7065753827223</v>
      </c>
      <c r="T83">
        <f t="shared" ref="T83" si="394">S83/1000</f>
        <v>-2.1927065753827222</v>
      </c>
    </row>
    <row r="84" spans="1:20" x14ac:dyDescent="0.25">
      <c r="A84" s="5">
        <v>44509</v>
      </c>
      <c r="B84">
        <v>0.97799999999999998</v>
      </c>
      <c r="C84">
        <v>0.98899999999999999</v>
      </c>
      <c r="D84">
        <v>0.95</v>
      </c>
      <c r="E84">
        <v>0.95</v>
      </c>
      <c r="F84">
        <v>7572706.2000000002</v>
      </c>
      <c r="G84">
        <v>0.95</v>
      </c>
      <c r="L84" t="s">
        <v>7</v>
      </c>
      <c r="M84" t="s">
        <v>7</v>
      </c>
      <c r="N84" t="s">
        <v>7</v>
      </c>
      <c r="P84">
        <f t="shared" ref="P84" si="395">IF(C84=D84,0,((E84-D84)-(C84-E84))/(C84-D84))</f>
        <v>-1</v>
      </c>
      <c r="Q84">
        <f t="shared" ref="Q84" si="396">F84*P84</f>
        <v>-7572706.2000000002</v>
      </c>
      <c r="R84">
        <f t="shared" ref="R84" si="397">R85+Q84</f>
        <v>-211868614.73827225</v>
      </c>
      <c r="S84">
        <f t="shared" ref="S84" si="398">R84/100000</f>
        <v>-2118.6861473827225</v>
      </c>
      <c r="T84">
        <f t="shared" ref="T84" si="399">S84/1000</f>
        <v>-2.1186861473827223</v>
      </c>
    </row>
    <row r="85" spans="1:20" x14ac:dyDescent="0.25">
      <c r="A85" s="5">
        <v>44508</v>
      </c>
      <c r="B85">
        <v>0.998</v>
      </c>
      <c r="C85">
        <v>1.0069999999999999</v>
      </c>
      <c r="D85">
        <v>0.97399999999999998</v>
      </c>
      <c r="E85">
        <v>0.97799999999999998</v>
      </c>
      <c r="F85">
        <v>7108750.9000000004</v>
      </c>
      <c r="G85">
        <v>0.97799999999999998</v>
      </c>
      <c r="L85" t="s">
        <v>7</v>
      </c>
      <c r="M85" t="s">
        <v>7</v>
      </c>
      <c r="N85" t="s">
        <v>7</v>
      </c>
      <c r="P85">
        <f t="shared" ref="P85" si="400">IF(C85=D85,0,((E85-D85)-(C85-E85))/(C85-D85))</f>
        <v>-0.75757575757575679</v>
      </c>
      <c r="Q85">
        <f t="shared" ref="Q85" si="401">F85*P85</f>
        <v>-5385417.348484843</v>
      </c>
      <c r="R85">
        <f t="shared" ref="R85" si="402">R86+Q85</f>
        <v>-204295908.53827226</v>
      </c>
      <c r="S85">
        <f t="shared" ref="S85" si="403">R85/100000</f>
        <v>-2042.9590853827226</v>
      </c>
      <c r="T85">
        <f t="shared" ref="T85" si="404">S85/1000</f>
        <v>-2.0429590853827224</v>
      </c>
    </row>
    <row r="86" spans="1:20" x14ac:dyDescent="0.25">
      <c r="A86" s="5">
        <v>44507</v>
      </c>
      <c r="B86">
        <v>1.0069999999999999</v>
      </c>
      <c r="C86">
        <v>1.03</v>
      </c>
      <c r="D86">
        <v>0.99399999999999999</v>
      </c>
      <c r="E86">
        <v>0.998</v>
      </c>
      <c r="F86">
        <v>6496248.7000000002</v>
      </c>
      <c r="G86">
        <v>0.998</v>
      </c>
      <c r="L86" t="s">
        <v>7</v>
      </c>
      <c r="M86" t="s">
        <v>7</v>
      </c>
      <c r="N86" t="s">
        <v>7</v>
      </c>
      <c r="P86">
        <f t="shared" ref="P86" si="405">IF(C86=D86,0,((E86-D86)-(C86-E86))/(C86-D86))</f>
        <v>-0.77777777777777779</v>
      </c>
      <c r="Q86">
        <f t="shared" ref="Q86" si="406">F86*P86</f>
        <v>-5052637.8777777776</v>
      </c>
      <c r="R86">
        <f t="shared" ref="R86" si="407">R87+Q86</f>
        <v>-198910491.18978742</v>
      </c>
      <c r="S86">
        <f t="shared" ref="S86" si="408">R86/100000</f>
        <v>-1989.1049118978742</v>
      </c>
      <c r="T86">
        <f t="shared" ref="T86" si="409">S86/1000</f>
        <v>-1.9891049118978743</v>
      </c>
    </row>
    <row r="87" spans="1:20" x14ac:dyDescent="0.25">
      <c r="A87" s="5">
        <v>44506</v>
      </c>
      <c r="B87">
        <v>1.032</v>
      </c>
      <c r="C87">
        <v>1.034</v>
      </c>
      <c r="D87">
        <v>0.995</v>
      </c>
      <c r="E87">
        <v>1.0069999999999999</v>
      </c>
      <c r="F87">
        <v>4481794.5</v>
      </c>
      <c r="G87">
        <v>1.0069999999999999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-0.3846153846153903</v>
      </c>
      <c r="Q87">
        <f t="shared" ref="Q87" si="411">F87*P87</f>
        <v>-1723767.1153846409</v>
      </c>
      <c r="R87">
        <f t="shared" ref="R87" si="412">R88+Q87</f>
        <v>-193857853.31200963</v>
      </c>
      <c r="S87">
        <f t="shared" ref="S87" si="413">R87/100000</f>
        <v>-1938.5785331200964</v>
      </c>
      <c r="T87">
        <f t="shared" ref="T87" si="414">S87/1000</f>
        <v>-1.9385785331200964</v>
      </c>
    </row>
    <row r="88" spans="1:20" x14ac:dyDescent="0.25">
      <c r="A88" s="5">
        <v>44505</v>
      </c>
      <c r="B88">
        <v>1.0409999999999999</v>
      </c>
      <c r="C88">
        <v>1.08</v>
      </c>
      <c r="D88">
        <v>1.03</v>
      </c>
      <c r="E88">
        <v>1.0309999999999999</v>
      </c>
      <c r="F88">
        <v>4266276.0999999996</v>
      </c>
      <c r="G88">
        <v>1.0309999999999999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-0.96000000000000441</v>
      </c>
      <c r="Q88">
        <f t="shared" ref="Q88" si="416">F88*P88</f>
        <v>-4095625.0560000185</v>
      </c>
      <c r="R88">
        <f t="shared" ref="R88" si="417">R89+Q88</f>
        <v>-192134086.19662499</v>
      </c>
      <c r="S88">
        <f t="shared" ref="S88" si="418">R88/100000</f>
        <v>-1921.34086196625</v>
      </c>
      <c r="T88">
        <f t="shared" ref="T88" si="419">S88/1000</f>
        <v>-1.92134086196625</v>
      </c>
    </row>
    <row r="89" spans="1:20" x14ac:dyDescent="0.25">
      <c r="A89" s="5">
        <v>44504</v>
      </c>
      <c r="B89">
        <v>1.0840000000000001</v>
      </c>
      <c r="C89">
        <v>1.0940000000000001</v>
      </c>
      <c r="D89">
        <v>1.03</v>
      </c>
      <c r="E89">
        <v>1.0409999999999999</v>
      </c>
      <c r="F89">
        <v>4456343.2</v>
      </c>
      <c r="G89">
        <v>1.0409999999999999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-0.65625000000000344</v>
      </c>
      <c r="Q89">
        <f t="shared" ref="Q89" si="421">F89*P89</f>
        <v>-2924475.2250000155</v>
      </c>
      <c r="R89">
        <f t="shared" ref="R89" si="422">R90+Q89</f>
        <v>-188038461.14062497</v>
      </c>
      <c r="S89">
        <f t="shared" ref="S89" si="423">R89/100000</f>
        <v>-1880.3846114062496</v>
      </c>
      <c r="T89">
        <f t="shared" ref="T89" si="424">S89/1000</f>
        <v>-1.8803846114062497</v>
      </c>
    </row>
    <row r="90" spans="1:20" x14ac:dyDescent="0.25">
      <c r="A90" s="5">
        <v>44503</v>
      </c>
      <c r="B90">
        <v>1.07</v>
      </c>
      <c r="C90">
        <v>1.1319999999999999</v>
      </c>
      <c r="D90">
        <v>1.0469999999999999</v>
      </c>
      <c r="E90">
        <v>1.0840000000000001</v>
      </c>
      <c r="F90">
        <v>6323001.2999999998</v>
      </c>
      <c r="G90">
        <v>1.0840000000000001</v>
      </c>
      <c r="L90" t="s">
        <v>8</v>
      </c>
      <c r="M90" t="s">
        <v>7</v>
      </c>
      <c r="N90" t="s">
        <v>7</v>
      </c>
      <c r="P90">
        <f t="shared" ref="P90" si="425">IF(C90=D90,0,((E90-D90)-(C90-E90))/(C90-D90))</f>
        <v>-0.12941176470587859</v>
      </c>
      <c r="Q90">
        <f t="shared" ref="Q90" si="426">F90*P90</f>
        <v>-818270.7564705644</v>
      </c>
      <c r="R90">
        <f t="shared" ref="R90" si="427">R91+Q90</f>
        <v>-185113985.91562495</v>
      </c>
      <c r="S90">
        <f t="shared" ref="S90" si="428">R90/100000</f>
        <v>-1851.1398591562495</v>
      </c>
      <c r="T90">
        <f t="shared" ref="T90" si="429">S90/1000</f>
        <v>-1.8511398591562496</v>
      </c>
    </row>
    <row r="91" spans="1:20" x14ac:dyDescent="0.25">
      <c r="A91" s="5">
        <v>44502</v>
      </c>
      <c r="B91">
        <v>1.026</v>
      </c>
      <c r="C91">
        <v>1.091</v>
      </c>
      <c r="D91">
        <v>1.02</v>
      </c>
      <c r="E91">
        <v>1.071</v>
      </c>
      <c r="F91">
        <v>5040441.8</v>
      </c>
      <c r="G91">
        <v>1.071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0.4366197183098583</v>
      </c>
      <c r="Q91">
        <f t="shared" ref="Q91" si="431">F91*P91</f>
        <v>2200756.278873235</v>
      </c>
      <c r="R91">
        <f t="shared" ref="R91" si="432">R92+Q91</f>
        <v>-184295715.15915439</v>
      </c>
      <c r="S91">
        <f t="shared" ref="S91" si="433">R91/100000</f>
        <v>-1842.9571515915438</v>
      </c>
      <c r="T91">
        <f t="shared" ref="T91" si="434">S91/1000</f>
        <v>-1.8429571515915439</v>
      </c>
    </row>
    <row r="92" spans="1:20" x14ac:dyDescent="0.25">
      <c r="A92" s="5">
        <v>44501</v>
      </c>
      <c r="B92">
        <v>1.0089999999999999</v>
      </c>
      <c r="C92">
        <v>1.0649999999999999</v>
      </c>
      <c r="D92">
        <v>0.99199999999999999</v>
      </c>
      <c r="E92">
        <v>1.026</v>
      </c>
      <c r="F92">
        <v>5512241.7999999998</v>
      </c>
      <c r="G92">
        <v>1.026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-6.8493150684930088E-2</v>
      </c>
      <c r="Q92">
        <f t="shared" ref="Q92" si="436">F92*P92</f>
        <v>-377550.80821917026</v>
      </c>
      <c r="R92">
        <f t="shared" ref="R92" si="437">R93+Q92</f>
        <v>-186496471.43802762</v>
      </c>
      <c r="S92">
        <f t="shared" ref="S92" si="438">R92/100000</f>
        <v>-1864.9647143802763</v>
      </c>
      <c r="T92">
        <f t="shared" ref="T92" si="439">S92/1000</f>
        <v>-1.8649647143802763</v>
      </c>
    </row>
    <row r="93" spans="1:20" x14ac:dyDescent="0.25">
      <c r="A93" s="5">
        <v>44500</v>
      </c>
      <c r="B93">
        <v>1.012</v>
      </c>
      <c r="C93">
        <v>1.0780000000000001</v>
      </c>
      <c r="D93">
        <v>1.002</v>
      </c>
      <c r="E93">
        <v>1.01</v>
      </c>
      <c r="F93">
        <v>5319363.3</v>
      </c>
      <c r="G93">
        <v>1.01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-0.78947368421052633</v>
      </c>
      <c r="Q93">
        <f t="shared" ref="Q93" si="441">F93*P93</f>
        <v>-4199497.3421052629</v>
      </c>
      <c r="R93">
        <f t="shared" ref="R93" si="442">R94+Q93</f>
        <v>-186118920.62980846</v>
      </c>
      <c r="S93">
        <f t="shared" ref="S93" si="443">R93/100000</f>
        <v>-1861.1892062980846</v>
      </c>
      <c r="T93">
        <f t="shared" ref="T93" si="444">S93/1000</f>
        <v>-1.8611892062980846</v>
      </c>
    </row>
    <row r="94" spans="1:20" x14ac:dyDescent="0.25">
      <c r="A94" s="5">
        <v>44499</v>
      </c>
      <c r="B94">
        <v>1.0369999999999999</v>
      </c>
      <c r="C94">
        <v>1.0469999999999999</v>
      </c>
      <c r="D94">
        <v>1</v>
      </c>
      <c r="E94">
        <v>1.012</v>
      </c>
      <c r="F94">
        <v>8552931.8000000007</v>
      </c>
      <c r="G94">
        <v>1.012</v>
      </c>
      <c r="L94" t="s">
        <v>7</v>
      </c>
      <c r="M94" t="s">
        <v>7</v>
      </c>
      <c r="N94" t="s">
        <v>7</v>
      </c>
      <c r="P94">
        <f t="shared" ref="P94" si="445">IF(C94=D94,0,((E94-D94)-(C94-E94))/(C94-D94))</f>
        <v>-0.48936170212765839</v>
      </c>
      <c r="Q94">
        <f t="shared" ref="Q94" si="446">F94*P94</f>
        <v>-4185477.2638297775</v>
      </c>
      <c r="R94">
        <f t="shared" ref="R94" si="447">R95+Q94</f>
        <v>-181919423.28770319</v>
      </c>
      <c r="S94">
        <f t="shared" ref="S94" si="448">R94/100000</f>
        <v>-1819.1942328770319</v>
      </c>
      <c r="T94">
        <f t="shared" ref="T94" si="449">S94/1000</f>
        <v>-1.8191942328770319</v>
      </c>
    </row>
    <row r="95" spans="1:20" x14ac:dyDescent="0.25">
      <c r="A95" s="5">
        <v>44498</v>
      </c>
      <c r="B95">
        <v>1.022</v>
      </c>
      <c r="C95">
        <v>1.1000000000000001</v>
      </c>
      <c r="D95">
        <v>1.02</v>
      </c>
      <c r="E95">
        <v>1.0369999999999999</v>
      </c>
      <c r="F95">
        <v>7930893.5</v>
      </c>
      <c r="G95">
        <v>1.0369999999999999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-0.57500000000000273</v>
      </c>
      <c r="Q95">
        <f t="shared" ref="Q95" si="451">F95*P95</f>
        <v>-4560263.7625000216</v>
      </c>
      <c r="R95">
        <f t="shared" ref="R95" si="452">R96+Q95</f>
        <v>-177733946.02387342</v>
      </c>
      <c r="S95">
        <f t="shared" ref="S95" si="453">R95/100000</f>
        <v>-1777.3394602387341</v>
      </c>
      <c r="T95">
        <f t="shared" ref="T95" si="454">S95/1000</f>
        <v>-1.777339460238734</v>
      </c>
    </row>
    <row r="96" spans="1:20" x14ac:dyDescent="0.25">
      <c r="A96" s="5">
        <v>44497</v>
      </c>
      <c r="B96">
        <v>1.02</v>
      </c>
      <c r="C96">
        <v>1.077</v>
      </c>
      <c r="D96">
        <v>0.998</v>
      </c>
      <c r="E96">
        <v>1.022</v>
      </c>
      <c r="F96">
        <v>5023067.0999999996</v>
      </c>
      <c r="G96">
        <v>1.022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-0.39240506329113839</v>
      </c>
      <c r="Q96">
        <f t="shared" ref="Q96" si="456">F96*P96</f>
        <v>-1971076.9632911349</v>
      </c>
      <c r="R96">
        <f t="shared" ref="R96" si="457">R97+Q96</f>
        <v>-173173682.2613734</v>
      </c>
      <c r="S96">
        <f t="shared" ref="S96" si="458">R96/100000</f>
        <v>-1731.7368226137339</v>
      </c>
      <c r="T96">
        <f t="shared" ref="T96" si="459">S96/1000</f>
        <v>-1.731736822613734</v>
      </c>
    </row>
    <row r="97" spans="1:20" x14ac:dyDescent="0.25">
      <c r="A97" s="5">
        <v>44496</v>
      </c>
      <c r="B97">
        <v>1.137</v>
      </c>
      <c r="C97">
        <v>1.1419999999999999</v>
      </c>
      <c r="D97">
        <v>1.0149999999999999</v>
      </c>
      <c r="E97">
        <v>1.0189999999999999</v>
      </c>
      <c r="F97">
        <v>5355979</v>
      </c>
      <c r="G97">
        <v>1.0189999999999999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-0.93700787401574792</v>
      </c>
      <c r="Q97">
        <f t="shared" ref="Q97" si="461">F97*P97</f>
        <v>-5018594.4960629912</v>
      </c>
      <c r="R97">
        <f t="shared" ref="R97" si="462">R98+Q97</f>
        <v>-171202605.29808226</v>
      </c>
      <c r="S97">
        <f t="shared" ref="S97" si="463">R97/100000</f>
        <v>-1712.0260529808227</v>
      </c>
      <c r="T97">
        <f t="shared" ref="T97" si="464">S97/1000</f>
        <v>-1.7120260529808227</v>
      </c>
    </row>
    <row r="98" spans="1:20" x14ac:dyDescent="0.25">
      <c r="A98" s="5">
        <v>44495</v>
      </c>
      <c r="B98">
        <v>1.1539999999999999</v>
      </c>
      <c r="C98">
        <v>1.1850000000000001</v>
      </c>
      <c r="D98">
        <v>1.1339999999999999</v>
      </c>
      <c r="E98">
        <v>1.135</v>
      </c>
      <c r="F98">
        <v>3470245.3</v>
      </c>
      <c r="G98">
        <v>1.135</v>
      </c>
      <c r="L98" t="s">
        <v>7</v>
      </c>
      <c r="M98" t="s">
        <v>7</v>
      </c>
      <c r="N98" t="s">
        <v>7</v>
      </c>
      <c r="P98">
        <f t="shared" ref="P98" si="465">IF(C98=D98,0,((E98-D98)-(C98-E98))/(C98-D98))</f>
        <v>-0.96078431372548589</v>
      </c>
      <c r="Q98">
        <f t="shared" ref="Q98" si="466">F98*P98</f>
        <v>-3334157.2490195925</v>
      </c>
      <c r="R98">
        <f t="shared" ref="R98" si="467">R99+Q98</f>
        <v>-166184010.80201927</v>
      </c>
      <c r="S98">
        <f t="shared" ref="S98" si="468">R98/100000</f>
        <v>-1661.8401080201927</v>
      </c>
      <c r="T98">
        <f t="shared" ref="T98" si="469">S98/1000</f>
        <v>-1.6618401080201928</v>
      </c>
    </row>
    <row r="99" spans="1:20" x14ac:dyDescent="0.25">
      <c r="A99" s="5">
        <v>44494</v>
      </c>
      <c r="B99">
        <v>1.131</v>
      </c>
      <c r="C99">
        <v>1.1819999999999999</v>
      </c>
      <c r="D99">
        <v>1.129</v>
      </c>
      <c r="E99">
        <v>1.1539999999999999</v>
      </c>
      <c r="F99">
        <v>3728379.1</v>
      </c>
      <c r="G99">
        <v>1.1539999999999999</v>
      </c>
      <c r="L99" t="s">
        <v>7</v>
      </c>
      <c r="M99" t="s">
        <v>7</v>
      </c>
      <c r="N99" t="s">
        <v>7</v>
      </c>
      <c r="P99">
        <f t="shared" ref="P99" si="470">IF(C99=D99,0,((E99-D99)-(C99-E99))/(C99-D99))</f>
        <v>-5.6603773584907875E-2</v>
      </c>
      <c r="Q99">
        <f t="shared" ref="Q99" si="471">F99*P99</f>
        <v>-211040.32641510261</v>
      </c>
      <c r="R99">
        <f t="shared" ref="R99" si="472">R100+Q99</f>
        <v>-162849853.55299968</v>
      </c>
      <c r="S99">
        <f t="shared" ref="S99" si="473">R99/100000</f>
        <v>-1628.4985355299968</v>
      </c>
      <c r="T99">
        <f t="shared" ref="T99" si="474">S99/1000</f>
        <v>-1.6284985355299968</v>
      </c>
    </row>
    <row r="100" spans="1:20" x14ac:dyDescent="0.25">
      <c r="A100" s="5">
        <v>44493</v>
      </c>
      <c r="B100">
        <v>1.165</v>
      </c>
      <c r="C100">
        <v>1.2</v>
      </c>
      <c r="D100">
        <v>1.129</v>
      </c>
      <c r="E100">
        <v>1.131</v>
      </c>
      <c r="F100">
        <v>5566671.9000000004</v>
      </c>
      <c r="G100">
        <v>1.131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-0.94366197183098588</v>
      </c>
      <c r="Q100">
        <f t="shared" ref="Q100" si="476">F100*P100</f>
        <v>-5253056.581690141</v>
      </c>
      <c r="R100">
        <f t="shared" ref="R100" si="477">R101+Q100</f>
        <v>-162638813.22658458</v>
      </c>
      <c r="S100">
        <f t="shared" ref="S100" si="478">R100/100000</f>
        <v>-1626.3881322658458</v>
      </c>
      <c r="T100">
        <f t="shared" ref="T100" si="479">S100/1000</f>
        <v>-1.6263881322658458</v>
      </c>
    </row>
    <row r="101" spans="1:20" x14ac:dyDescent="0.25">
      <c r="A101" s="5">
        <v>44492</v>
      </c>
      <c r="B101">
        <v>1.1819999999999999</v>
      </c>
      <c r="C101">
        <v>1.1879999999999999</v>
      </c>
      <c r="D101">
        <v>1.157</v>
      </c>
      <c r="E101">
        <v>1.1639999999999999</v>
      </c>
      <c r="F101">
        <v>3521431.7</v>
      </c>
      <c r="G101">
        <v>1.1639999999999999</v>
      </c>
      <c r="L101" t="s">
        <v>7</v>
      </c>
      <c r="M101" t="s">
        <v>7</v>
      </c>
      <c r="N101" t="s">
        <v>7</v>
      </c>
      <c r="P101">
        <f t="shared" ref="P101" si="480">IF(C101=D101,0,((E101-D101)-(C101-E101))/(C101-D101))</f>
        <v>-0.54838709677419906</v>
      </c>
      <c r="Q101">
        <f t="shared" ref="Q101" si="481">F101*P101</f>
        <v>-1931107.7064516323</v>
      </c>
      <c r="R101">
        <f t="shared" ref="R101" si="482">R102+Q101</f>
        <v>-157385756.64489445</v>
      </c>
      <c r="S101">
        <f t="shared" ref="S101" si="483">R101/100000</f>
        <v>-1573.8575664489445</v>
      </c>
      <c r="T101">
        <f t="shared" ref="T101" si="484">S101/1000</f>
        <v>-1.5738575664489445</v>
      </c>
    </row>
    <row r="102" spans="1:20" x14ac:dyDescent="0.25">
      <c r="A102" s="5">
        <v>44491</v>
      </c>
      <c r="B102">
        <v>1.1859999999999999</v>
      </c>
      <c r="C102">
        <v>1.2010000000000001</v>
      </c>
      <c r="D102">
        <v>1.175</v>
      </c>
      <c r="E102">
        <v>1.181</v>
      </c>
      <c r="F102">
        <v>3448435.1</v>
      </c>
      <c r="G102">
        <v>1.181</v>
      </c>
      <c r="L102" t="s">
        <v>8</v>
      </c>
      <c r="M102" t="s">
        <v>7</v>
      </c>
      <c r="N102" t="s">
        <v>7</v>
      </c>
      <c r="P102">
        <f t="shared" ref="P102" si="485">IF(C102=D102,0,((E102-D102)-(C102-E102))/(C102-D102))</f>
        <v>-0.53846153846153844</v>
      </c>
      <c r="Q102">
        <f t="shared" ref="Q102" si="486">F102*P102</f>
        <v>-1856849.6692307692</v>
      </c>
      <c r="R102">
        <f t="shared" ref="R102" si="487">R103+Q102</f>
        <v>-155454648.93844283</v>
      </c>
      <c r="S102">
        <f t="shared" ref="S102" si="488">R102/100000</f>
        <v>-1554.5464893844282</v>
      </c>
      <c r="T102">
        <f t="shared" ref="T102" si="489">S102/1000</f>
        <v>-1.5545464893844283</v>
      </c>
    </row>
    <row r="103" spans="1:20" x14ac:dyDescent="0.25">
      <c r="A103" s="5">
        <v>44490</v>
      </c>
      <c r="B103">
        <v>1.2090000000000001</v>
      </c>
      <c r="C103">
        <v>1.2350000000000001</v>
      </c>
      <c r="D103">
        <v>1.18</v>
      </c>
      <c r="E103">
        <v>1.1859999999999999</v>
      </c>
      <c r="F103">
        <v>6374799.9000000004</v>
      </c>
      <c r="G103">
        <v>1.1859999999999999</v>
      </c>
      <c r="L103" t="s">
        <v>8</v>
      </c>
      <c r="M103" t="s">
        <v>7</v>
      </c>
      <c r="N103" t="s">
        <v>7</v>
      </c>
      <c r="P103">
        <f t="shared" ref="P103" si="490">IF(C103=D103,0,((E103-D103)-(C103-E103))/(C103-D103))</f>
        <v>-0.7818181818181823</v>
      </c>
      <c r="Q103">
        <f t="shared" ref="Q103" si="491">F103*P103</f>
        <v>-4983934.4672727305</v>
      </c>
      <c r="R103">
        <f t="shared" ref="R103" si="492">R104+Q103</f>
        <v>-153597799.26921207</v>
      </c>
      <c r="S103">
        <f t="shared" ref="S103" si="493">R103/100000</f>
        <v>-1535.9779926921208</v>
      </c>
      <c r="T103">
        <f t="shared" ref="T103" si="494">S103/1000</f>
        <v>-1.5359779926921209</v>
      </c>
    </row>
    <row r="104" spans="1:20" x14ac:dyDescent="0.25">
      <c r="A104" s="5">
        <v>44489</v>
      </c>
      <c r="B104">
        <v>1.1739999999999999</v>
      </c>
      <c r="C104">
        <v>1.2470000000000001</v>
      </c>
      <c r="D104">
        <v>1.1719999999999999</v>
      </c>
      <c r="E104">
        <v>1.21</v>
      </c>
      <c r="F104">
        <v>7983894.7999999998</v>
      </c>
      <c r="G104">
        <v>1.21</v>
      </c>
      <c r="L104" t="s">
        <v>8</v>
      </c>
      <c r="M104" t="s">
        <v>7</v>
      </c>
      <c r="N104" t="s">
        <v>7</v>
      </c>
      <c r="P104">
        <f t="shared" ref="P104" si="495">IF(C104=D104,0,((E104-D104)-(C104-E104))/(C104-D104))</f>
        <v>1.3333333333331834E-2</v>
      </c>
      <c r="Q104">
        <f t="shared" ref="Q104" si="496">F104*P104</f>
        <v>106451.93066665469</v>
      </c>
      <c r="R104">
        <f t="shared" ref="R104" si="497">R105+Q104</f>
        <v>-148613864.80193934</v>
      </c>
      <c r="S104">
        <f t="shared" ref="S104" si="498">R104/100000</f>
        <v>-1486.1386480193935</v>
      </c>
      <c r="T104">
        <f t="shared" ref="T104" si="499">S104/1000</f>
        <v>-1.4861386480193934</v>
      </c>
    </row>
    <row r="105" spans="1:20" x14ac:dyDescent="0.25">
      <c r="A105" s="5">
        <v>44488</v>
      </c>
      <c r="B105">
        <v>1.177</v>
      </c>
      <c r="C105">
        <v>1.202</v>
      </c>
      <c r="D105">
        <v>1.1599999999999999</v>
      </c>
      <c r="E105">
        <v>1.1739999999999999</v>
      </c>
      <c r="F105">
        <v>6593683.7000000002</v>
      </c>
      <c r="G105">
        <v>1.1739999999999999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-0.33333333333333331</v>
      </c>
      <c r="Q105">
        <f t="shared" ref="Q105" si="501">F105*P105</f>
        <v>-2197894.5666666664</v>
      </c>
      <c r="R105">
        <f t="shared" ref="R105" si="502">R106+Q105</f>
        <v>-148720316.73260599</v>
      </c>
      <c r="S105">
        <f t="shared" ref="S105" si="503">R105/100000</f>
        <v>-1487.2031673260599</v>
      </c>
      <c r="T105">
        <f t="shared" ref="T105" si="504">S105/1000</f>
        <v>-1.4872031673260599</v>
      </c>
    </row>
    <row r="106" spans="1:20" x14ac:dyDescent="0.25">
      <c r="A106" s="5">
        <v>44487</v>
      </c>
      <c r="B106">
        <v>1.177</v>
      </c>
      <c r="C106">
        <v>1.238</v>
      </c>
      <c r="D106">
        <v>1.153</v>
      </c>
      <c r="E106">
        <v>1.177</v>
      </c>
      <c r="F106">
        <v>10638200.9</v>
      </c>
      <c r="G106">
        <v>1.177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-0.43529411764705811</v>
      </c>
      <c r="Q106">
        <f t="shared" ref="Q106" si="506">F106*P106</f>
        <v>-4630746.2741176393</v>
      </c>
      <c r="R106">
        <f t="shared" ref="R106" si="507">R107+Q106</f>
        <v>-146522422.16593933</v>
      </c>
      <c r="S106">
        <f t="shared" ref="S106" si="508">R106/100000</f>
        <v>-1465.2242216593934</v>
      </c>
      <c r="T106">
        <f t="shared" ref="T106" si="509">S106/1000</f>
        <v>-1.4652242216593934</v>
      </c>
    </row>
    <row r="107" spans="1:20" x14ac:dyDescent="0.25">
      <c r="A107" s="5">
        <v>44486</v>
      </c>
      <c r="B107">
        <v>1.2470000000000001</v>
      </c>
      <c r="C107">
        <v>1.2709999999999999</v>
      </c>
      <c r="D107">
        <v>1.1599999999999999</v>
      </c>
      <c r="E107">
        <v>1.1759999999999999</v>
      </c>
      <c r="F107">
        <v>14859073.9</v>
      </c>
      <c r="G107">
        <v>1.1759999999999999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-0.71171171171171144</v>
      </c>
      <c r="Q107">
        <f t="shared" ref="Q107" si="511">F107*P107</f>
        <v>-10575376.919819815</v>
      </c>
      <c r="R107">
        <f t="shared" ref="R107" si="512">R108+Q107</f>
        <v>-141891675.89182168</v>
      </c>
      <c r="S107">
        <f t="shared" ref="S107" si="513">R107/100000</f>
        <v>-1418.9167589182168</v>
      </c>
      <c r="T107">
        <f t="shared" ref="T107" si="514">S107/1000</f>
        <v>-1.4189167589182168</v>
      </c>
    </row>
    <row r="108" spans="1:20" x14ac:dyDescent="0.25">
      <c r="A108" s="5">
        <v>44485</v>
      </c>
      <c r="B108">
        <v>1.3120000000000001</v>
      </c>
      <c r="C108">
        <v>1.341</v>
      </c>
      <c r="D108">
        <v>1.2370000000000001</v>
      </c>
      <c r="E108">
        <v>1.248</v>
      </c>
      <c r="F108">
        <v>7620906.5999999996</v>
      </c>
      <c r="G108">
        <v>1.248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-0.7884615384615401</v>
      </c>
      <c r="Q108">
        <f t="shared" ref="Q108" si="516">F108*P108</f>
        <v>-6008791.7423077049</v>
      </c>
      <c r="R108">
        <f t="shared" ref="R108" si="517">R109+Q108</f>
        <v>-131316298.97200187</v>
      </c>
      <c r="S108">
        <f t="shared" ref="S108" si="518">R108/100000</f>
        <v>-1313.1629897200187</v>
      </c>
      <c r="T108">
        <f t="shared" ref="T108" si="519">S108/1000</f>
        <v>-1.3131629897200188</v>
      </c>
    </row>
    <row r="109" spans="1:20" x14ac:dyDescent="0.25">
      <c r="A109" s="5">
        <v>44484</v>
      </c>
      <c r="B109">
        <v>1.357</v>
      </c>
      <c r="C109">
        <v>1.393</v>
      </c>
      <c r="D109">
        <v>1.3049999999999999</v>
      </c>
      <c r="E109">
        <v>1.3109999999999999</v>
      </c>
      <c r="F109">
        <v>6636463.7000000002</v>
      </c>
      <c r="G109">
        <v>1.3109999999999999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-0.86363636363636365</v>
      </c>
      <c r="Q109">
        <f t="shared" ref="Q109" si="521">F109*P109</f>
        <v>-5731491.3772727279</v>
      </c>
      <c r="R109">
        <f t="shared" ref="R109" si="522">R110+Q109</f>
        <v>-125307507.22969416</v>
      </c>
      <c r="S109">
        <f t="shared" ref="S109" si="523">R109/100000</f>
        <v>-1253.0750722969415</v>
      </c>
      <c r="T109">
        <f t="shared" ref="T109" si="524">S109/1000</f>
        <v>-1.2530750722969415</v>
      </c>
    </row>
    <row r="110" spans="1:20" x14ac:dyDescent="0.25">
      <c r="A110" s="5">
        <v>44483</v>
      </c>
      <c r="B110">
        <v>1.4119999999999999</v>
      </c>
      <c r="C110">
        <v>1.4590000000000001</v>
      </c>
      <c r="D110">
        <v>1.3460000000000001</v>
      </c>
      <c r="E110">
        <v>1.3580000000000001</v>
      </c>
      <c r="F110">
        <v>9381682.0999999996</v>
      </c>
      <c r="G110">
        <v>1.3580000000000001</v>
      </c>
      <c r="L110" t="s">
        <v>7</v>
      </c>
      <c r="M110" t="s">
        <v>7</v>
      </c>
      <c r="N110" t="s">
        <v>8</v>
      </c>
      <c r="P110">
        <f t="shared" ref="P110" si="525">IF(C110=D110,0,((E110-D110)-(C110-E110))/(C110-D110))</f>
        <v>-0.78761061946902633</v>
      </c>
      <c r="Q110">
        <f t="shared" ref="Q110" si="526">F110*P110</f>
        <v>-7389112.4504424753</v>
      </c>
      <c r="R110">
        <f t="shared" ref="R110" si="527">R111+Q110</f>
        <v>-119576015.85242143</v>
      </c>
      <c r="S110">
        <f t="shared" ref="S110" si="528">R110/100000</f>
        <v>-1195.7601585242144</v>
      </c>
      <c r="T110">
        <f t="shared" ref="T110" si="529">S110/1000</f>
        <v>-1.1957601585242144</v>
      </c>
    </row>
    <row r="111" spans="1:20" x14ac:dyDescent="0.25">
      <c r="A111" s="5">
        <v>44482</v>
      </c>
      <c r="B111">
        <v>1.544</v>
      </c>
      <c r="C111">
        <v>1.573</v>
      </c>
      <c r="D111">
        <v>1.4059999999999999</v>
      </c>
      <c r="E111">
        <v>1.413</v>
      </c>
      <c r="F111">
        <v>10442027.300000001</v>
      </c>
      <c r="G111">
        <v>1.413</v>
      </c>
      <c r="L111" t="s">
        <v>7</v>
      </c>
      <c r="M111" t="s">
        <v>7</v>
      </c>
      <c r="N111" t="s">
        <v>8</v>
      </c>
      <c r="P111">
        <f t="shared" ref="P111" si="530">IF(C111=D111,0,((E111-D111)-(C111-E111))/(C111-D111))</f>
        <v>-0.91616766467065724</v>
      </c>
      <c r="Q111">
        <f t="shared" ref="Q111" si="531">F111*P111</f>
        <v>-9566647.7658682484</v>
      </c>
      <c r="R111">
        <f t="shared" ref="R111" si="532">R112+Q111</f>
        <v>-112186903.40197895</v>
      </c>
      <c r="S111">
        <f t="shared" ref="S111" si="533">R111/100000</f>
        <v>-1121.8690340197895</v>
      </c>
      <c r="T111">
        <f t="shared" ref="T111" si="534">S111/1000</f>
        <v>-1.1218690340197894</v>
      </c>
    </row>
    <row r="112" spans="1:20" x14ac:dyDescent="0.25">
      <c r="A112" s="5">
        <v>44481</v>
      </c>
      <c r="B112">
        <v>1.554</v>
      </c>
      <c r="C112">
        <v>1.66</v>
      </c>
      <c r="D112">
        <v>1.47</v>
      </c>
      <c r="E112">
        <v>1.544</v>
      </c>
      <c r="F112">
        <v>16847094.5</v>
      </c>
      <c r="G112">
        <v>1.544</v>
      </c>
      <c r="L112" t="s">
        <v>7</v>
      </c>
      <c r="M112" t="s">
        <v>8</v>
      </c>
      <c r="N112" t="s">
        <v>8</v>
      </c>
      <c r="P112">
        <f t="shared" ref="P112" si="535">IF(C112=D112,0,((E112-D112)-(C112-E112))/(C112-D112))</f>
        <v>-0.22105263157894645</v>
      </c>
      <c r="Q112">
        <f t="shared" ref="Q112" si="536">F112*P112</f>
        <v>-3724094.5736841951</v>
      </c>
      <c r="R112">
        <f t="shared" ref="R112" si="537">R113+Q112</f>
        <v>-102620255.63611071</v>
      </c>
      <c r="S112">
        <f t="shared" ref="S112" si="538">R112/100000</f>
        <v>-1026.2025563611071</v>
      </c>
      <c r="T112">
        <f t="shared" ref="T112" si="539">S112/1000</f>
        <v>-1.026202556361107</v>
      </c>
    </row>
    <row r="113" spans="1:20" x14ac:dyDescent="0.25">
      <c r="A113" s="5">
        <v>44480</v>
      </c>
      <c r="B113">
        <v>1.542</v>
      </c>
      <c r="C113">
        <v>1.6479999999999999</v>
      </c>
      <c r="D113">
        <v>1.462</v>
      </c>
      <c r="E113">
        <v>1.554</v>
      </c>
      <c r="F113">
        <v>17184963.800000001</v>
      </c>
      <c r="G113">
        <v>1.554</v>
      </c>
      <c r="L113" t="s">
        <v>8</v>
      </c>
      <c r="M113" t="s">
        <v>8</v>
      </c>
      <c r="N113" t="s">
        <v>8</v>
      </c>
      <c r="P113">
        <f t="shared" ref="P113" si="540">IF(C113=D113,0,((E113-D113)-(C113-E113))/(C113-D113))</f>
        <v>-1.075268817204183E-2</v>
      </c>
      <c r="Q113">
        <f t="shared" ref="Q113" si="541">F113*P113</f>
        <v>-184784.55698922704</v>
      </c>
      <c r="R113">
        <f t="shared" ref="R113" si="542">R114+Q113</f>
        <v>-98896161.062426507</v>
      </c>
      <c r="S113">
        <f t="shared" ref="S113" si="543">R113/100000</f>
        <v>-988.96161062426506</v>
      </c>
      <c r="T113">
        <f t="shared" ref="T113" si="544">S113/1000</f>
        <v>-0.98896161062426502</v>
      </c>
    </row>
    <row r="114" spans="1:20" x14ac:dyDescent="0.25">
      <c r="A114" s="5">
        <v>44479</v>
      </c>
      <c r="B114">
        <v>1.452</v>
      </c>
      <c r="C114">
        <v>1.6319999999999999</v>
      </c>
      <c r="D114">
        <v>1.385</v>
      </c>
      <c r="E114">
        <v>1.542</v>
      </c>
      <c r="F114">
        <v>16500538.9</v>
      </c>
      <c r="G114">
        <v>1.542</v>
      </c>
      <c r="L114" t="s">
        <v>8</v>
      </c>
      <c r="M114" t="s">
        <v>8</v>
      </c>
      <c r="N114" t="s">
        <v>8</v>
      </c>
      <c r="P114">
        <f t="shared" ref="P114" si="545">IF(C114=D114,0,((E114-D114)-(C114-E114))/(C114-D114))</f>
        <v>0.27125506072874578</v>
      </c>
      <c r="Q114">
        <f t="shared" ref="Q114" si="546">F114*P114</f>
        <v>4475854.6813765317</v>
      </c>
      <c r="R114">
        <f t="shared" ref="R114" si="547">R115+Q114</f>
        <v>-98711376.505437285</v>
      </c>
      <c r="S114">
        <f t="shared" ref="S114" si="548">R114/100000</f>
        <v>-987.11376505437283</v>
      </c>
      <c r="T114">
        <f t="shared" ref="T114" si="549">S114/1000</f>
        <v>-0.98711376505437287</v>
      </c>
    </row>
    <row r="115" spans="1:20" x14ac:dyDescent="0.25">
      <c r="A115" s="5">
        <v>44478</v>
      </c>
      <c r="B115">
        <v>1.347</v>
      </c>
      <c r="C115">
        <v>1.5629999999999999</v>
      </c>
      <c r="D115">
        <v>1.3340000000000001</v>
      </c>
      <c r="E115">
        <v>1.452</v>
      </c>
      <c r="F115">
        <v>14031259.199999999</v>
      </c>
      <c r="G115">
        <v>1.452</v>
      </c>
      <c r="L115" t="s">
        <v>7</v>
      </c>
      <c r="M115" t="s">
        <v>7</v>
      </c>
      <c r="N115" t="s">
        <v>8</v>
      </c>
      <c r="P115">
        <f t="shared" ref="P115" si="550">IF(C115=D115,0,((E115-D115)-(C115-E115))/(C115-D115))</f>
        <v>3.0567685589519212E-2</v>
      </c>
      <c r="Q115">
        <f t="shared" ref="Q115" si="551">F115*P115</f>
        <v>428903.11965064885</v>
      </c>
      <c r="R115">
        <f t="shared" ref="R115" si="552">R116+Q115</f>
        <v>-103187231.18681382</v>
      </c>
      <c r="S115">
        <f t="shared" ref="S115" si="553">R115/100000</f>
        <v>-1031.8723118681382</v>
      </c>
      <c r="T115">
        <f t="shared" ref="T115" si="554">S115/1000</f>
        <v>-1.0318723118681383</v>
      </c>
    </row>
    <row r="116" spans="1:20" x14ac:dyDescent="0.25">
      <c r="A116" s="5">
        <v>44477</v>
      </c>
      <c r="B116">
        <v>1.306</v>
      </c>
      <c r="C116">
        <v>1.56</v>
      </c>
      <c r="D116">
        <v>1.298</v>
      </c>
      <c r="E116">
        <v>1.347</v>
      </c>
      <c r="F116">
        <v>32816986.100000001</v>
      </c>
      <c r="G116">
        <v>1.347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-0.62595419847328293</v>
      </c>
      <c r="Q116">
        <f t="shared" ref="Q116" si="556">F116*P116</f>
        <v>-20541930.230534367</v>
      </c>
      <c r="R116">
        <f t="shared" ref="R116" si="557">R117+Q116</f>
        <v>-103616134.30646446</v>
      </c>
      <c r="S116">
        <f t="shared" ref="S116" si="558">R116/100000</f>
        <v>-1036.1613430646446</v>
      </c>
      <c r="T116">
        <f t="shared" ref="T116" si="559">S116/1000</f>
        <v>-1.0361613430646446</v>
      </c>
    </row>
    <row r="117" spans="1:20" x14ac:dyDescent="0.25">
      <c r="A117" s="5">
        <v>44476</v>
      </c>
      <c r="B117">
        <v>1.1599999999999999</v>
      </c>
      <c r="C117">
        <v>1.413</v>
      </c>
      <c r="D117">
        <v>1.1200000000000001</v>
      </c>
      <c r="E117">
        <v>1.306</v>
      </c>
      <c r="F117">
        <v>21570123.100000001</v>
      </c>
      <c r="G117">
        <v>1.306</v>
      </c>
      <c r="L117" t="s">
        <v>7</v>
      </c>
      <c r="M117" t="s">
        <v>8</v>
      </c>
      <c r="N117" t="s">
        <v>8</v>
      </c>
      <c r="P117">
        <f t="shared" ref="P117" si="560">IF(C117=D117,0,((E117-D117)-(C117-E117))/(C117-D117))</f>
        <v>0.26962457337883949</v>
      </c>
      <c r="Q117">
        <f t="shared" ref="Q117" si="561">F117*P117</f>
        <v>5815835.2385665514</v>
      </c>
      <c r="R117">
        <f t="shared" ref="R117" si="562">R118+Q117</f>
        <v>-83074204.075930104</v>
      </c>
      <c r="S117">
        <f t="shared" ref="S117" si="563">R117/100000</f>
        <v>-830.74204075930106</v>
      </c>
      <c r="T117">
        <f t="shared" ref="T117" si="564">S117/1000</f>
        <v>-0.83074204075930103</v>
      </c>
    </row>
    <row r="118" spans="1:20" x14ac:dyDescent="0.25">
      <c r="A118" s="5">
        <v>44475</v>
      </c>
      <c r="B118">
        <v>1.204</v>
      </c>
      <c r="C118">
        <v>1.24</v>
      </c>
      <c r="D118">
        <v>1.1559999999999999</v>
      </c>
      <c r="E118">
        <v>1.1599999999999999</v>
      </c>
      <c r="F118">
        <v>7031320.7999999998</v>
      </c>
      <c r="G118">
        <v>1.1599999999999999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-0.90476190476190477</v>
      </c>
      <c r="Q118">
        <f t="shared" ref="Q118" si="566">F118*P118</f>
        <v>-6361671.2000000002</v>
      </c>
      <c r="R118">
        <f t="shared" ref="R118" si="567">R119+Q118</f>
        <v>-88890039.314496651</v>
      </c>
      <c r="S118">
        <f t="shared" ref="S118" si="568">R118/100000</f>
        <v>-888.90039314496653</v>
      </c>
      <c r="T118">
        <f t="shared" ref="T118" si="569">S118/1000</f>
        <v>-0.88890039314496649</v>
      </c>
    </row>
    <row r="119" spans="1:20" x14ac:dyDescent="0.25">
      <c r="A119" s="5">
        <v>44474</v>
      </c>
      <c r="B119">
        <v>1.202</v>
      </c>
      <c r="C119">
        <v>1.278</v>
      </c>
      <c r="D119">
        <v>1.181</v>
      </c>
      <c r="E119">
        <v>1.202</v>
      </c>
      <c r="F119">
        <v>5125722.8</v>
      </c>
      <c r="G119">
        <v>1.202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-0.56701030927835228</v>
      </c>
      <c r="Q119">
        <f t="shared" ref="Q119" si="571">F119*P119</f>
        <v>-2906337.6701031015</v>
      </c>
      <c r="R119">
        <f t="shared" ref="R119" si="572">R120+Q119</f>
        <v>-82528368.114496648</v>
      </c>
      <c r="S119">
        <f t="shared" ref="S119" si="573">R119/100000</f>
        <v>-825.28368114496652</v>
      </c>
      <c r="T119">
        <f t="shared" ref="T119" si="574">S119/1000</f>
        <v>-0.82528368114496653</v>
      </c>
    </row>
    <row r="120" spans="1:20" x14ac:dyDescent="0.25">
      <c r="A120" s="5">
        <v>44473</v>
      </c>
      <c r="B120">
        <v>1.2569999999999999</v>
      </c>
      <c r="C120">
        <v>1.2569999999999999</v>
      </c>
      <c r="D120">
        <v>1.1819999999999999</v>
      </c>
      <c r="E120">
        <v>1.206</v>
      </c>
      <c r="F120">
        <v>4312903</v>
      </c>
      <c r="G120">
        <v>1.206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-0.35999999999999904</v>
      </c>
      <c r="Q120">
        <f t="shared" ref="Q120" si="576">F120*P120</f>
        <v>-1552645.0799999959</v>
      </c>
      <c r="R120">
        <f t="shared" ref="R120" si="577">R121+Q120</f>
        <v>-79622030.444393545</v>
      </c>
      <c r="S120">
        <f t="shared" ref="S120" si="578">R120/100000</f>
        <v>-796.22030444393545</v>
      </c>
      <c r="T120">
        <f t="shared" ref="T120" si="579">S120/1000</f>
        <v>-0.79622030444393543</v>
      </c>
    </row>
    <row r="121" spans="1:20" x14ac:dyDescent="0.25">
      <c r="A121" s="5">
        <v>44472</v>
      </c>
      <c r="B121">
        <v>1.2230000000000001</v>
      </c>
      <c r="C121">
        <v>1.3440000000000001</v>
      </c>
      <c r="D121">
        <v>1.1859999999999999</v>
      </c>
      <c r="E121">
        <v>1.2549999999999999</v>
      </c>
      <c r="F121">
        <v>8334350.4000000004</v>
      </c>
      <c r="G121">
        <v>1.2549999999999999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-0.12658227848101405</v>
      </c>
      <c r="Q121">
        <f t="shared" ref="Q121" si="581">F121*P121</f>
        <v>-1054981.0632911508</v>
      </c>
      <c r="R121">
        <f t="shared" ref="R121" si="582">R122+Q121</f>
        <v>-78069385.364393547</v>
      </c>
      <c r="S121">
        <f t="shared" ref="S121" si="583">R121/100000</f>
        <v>-780.69385364393543</v>
      </c>
      <c r="T121">
        <f t="shared" ref="T121" si="584">S121/1000</f>
        <v>-0.7806938536439354</v>
      </c>
    </row>
    <row r="122" spans="1:20" x14ac:dyDescent="0.25">
      <c r="A122" s="5">
        <v>44471</v>
      </c>
      <c r="B122">
        <v>1.2649999999999999</v>
      </c>
      <c r="C122">
        <v>1.278</v>
      </c>
      <c r="D122">
        <v>1.1919999999999999</v>
      </c>
      <c r="E122">
        <v>1.2230000000000001</v>
      </c>
      <c r="F122">
        <v>6140765</v>
      </c>
      <c r="G122">
        <v>1.2230000000000001</v>
      </c>
      <c r="L122" t="s">
        <v>7</v>
      </c>
      <c r="M122" t="s">
        <v>8</v>
      </c>
      <c r="N122" t="s">
        <v>8</v>
      </c>
      <c r="P122">
        <f t="shared" ref="P122" si="585">IF(C122=D122,0,((E122-D122)-(C122-E122))/(C122-D122))</f>
        <v>-0.27906976744185791</v>
      </c>
      <c r="Q122">
        <f t="shared" ref="Q122" si="586">F122*P122</f>
        <v>-1713701.8604651005</v>
      </c>
      <c r="R122">
        <f t="shared" ref="R122" si="587">R123+Q122</f>
        <v>-77014404.3011024</v>
      </c>
      <c r="S122">
        <f t="shared" ref="S122" si="588">R122/100000</f>
        <v>-770.144043011024</v>
      </c>
      <c r="T122">
        <f t="shared" ref="T122" si="589">S122/1000</f>
        <v>-0.77014404301102402</v>
      </c>
    </row>
    <row r="123" spans="1:20" x14ac:dyDescent="0.25">
      <c r="A123" s="5">
        <v>44470</v>
      </c>
      <c r="B123">
        <v>1.129</v>
      </c>
      <c r="C123">
        <v>1.3</v>
      </c>
      <c r="D123">
        <v>1.123</v>
      </c>
      <c r="E123">
        <v>1.2649999999999999</v>
      </c>
      <c r="F123">
        <v>6203173.7999999998</v>
      </c>
      <c r="G123">
        <v>1.2649999999999999</v>
      </c>
      <c r="L123" t="s">
        <v>8</v>
      </c>
      <c r="M123" t="s">
        <v>8</v>
      </c>
      <c r="N123" t="s">
        <v>8</v>
      </c>
      <c r="P123">
        <f t="shared" ref="P123" si="590">IF(C123=D123,0,((E123-D123)-(C123-E123))/(C123-D123))</f>
        <v>0.60451977401129797</v>
      </c>
      <c r="Q123">
        <f t="shared" ref="Q123" si="591">F123*P123</f>
        <v>3749941.2237288044</v>
      </c>
      <c r="R123">
        <f t="shared" ref="R123" si="592">R124+Q123</f>
        <v>-75300702.440637305</v>
      </c>
      <c r="S123">
        <f t="shared" ref="S123" si="593">R123/100000</f>
        <v>-753.00702440637303</v>
      </c>
      <c r="T123">
        <f t="shared" ref="T123" si="594">S123/1000</f>
        <v>-0.75300702440637302</v>
      </c>
    </row>
    <row r="124" spans="1:20" x14ac:dyDescent="0.25">
      <c r="A124" s="5">
        <v>44469</v>
      </c>
      <c r="B124">
        <v>1.08</v>
      </c>
      <c r="C124">
        <v>1.157</v>
      </c>
      <c r="D124">
        <v>1.071</v>
      </c>
      <c r="E124">
        <v>1.129</v>
      </c>
      <c r="F124">
        <v>4728922.8</v>
      </c>
      <c r="G124">
        <v>1.129</v>
      </c>
      <c r="L124" t="s">
        <v>8</v>
      </c>
      <c r="M124" t="s">
        <v>7</v>
      </c>
      <c r="N124" t="s">
        <v>8</v>
      </c>
      <c r="P124">
        <f t="shared" ref="P124" si="595">IF(C124=D124,0,((E124-D124)-(C124-E124))/(C124-D124))</f>
        <v>0.34883720930232559</v>
      </c>
      <c r="Q124">
        <f t="shared" ref="Q124" si="596">F124*P124</f>
        <v>1649624.2325581396</v>
      </c>
      <c r="R124">
        <f t="shared" ref="R124" si="597">R125+Q124</f>
        <v>-79050643.664366111</v>
      </c>
      <c r="S124">
        <f t="shared" ref="S124" si="598">R124/100000</f>
        <v>-790.50643664366112</v>
      </c>
      <c r="T124">
        <f t="shared" ref="T124" si="599">S124/1000</f>
        <v>-0.79050643664366116</v>
      </c>
    </row>
    <row r="125" spans="1:20" x14ac:dyDescent="0.25">
      <c r="A125" s="5">
        <v>44468</v>
      </c>
      <c r="B125">
        <v>1.1040000000000001</v>
      </c>
      <c r="C125">
        <v>1.131</v>
      </c>
      <c r="D125">
        <v>1.077</v>
      </c>
      <c r="E125">
        <v>1.081</v>
      </c>
      <c r="F125">
        <v>4005202.5</v>
      </c>
      <c r="G125">
        <v>1.081</v>
      </c>
      <c r="L125" t="s">
        <v>7</v>
      </c>
      <c r="M125" t="s">
        <v>7</v>
      </c>
      <c r="N125" t="s">
        <v>8</v>
      </c>
      <c r="P125">
        <f t="shared" ref="P125" si="600">IF(C125=D125,0,((E125-D125)-(C125-E125))/(C125-D125))</f>
        <v>-0.85185185185185186</v>
      </c>
      <c r="Q125">
        <f t="shared" ref="Q125" si="601">F125*P125</f>
        <v>-3411839.1666666665</v>
      </c>
      <c r="R125">
        <f t="shared" ref="R125" si="602">R126+Q125</f>
        <v>-80700267.896924257</v>
      </c>
      <c r="S125">
        <f t="shared" ref="S125" si="603">R125/100000</f>
        <v>-807.00267896924254</v>
      </c>
      <c r="T125">
        <f t="shared" ref="T125" si="604">S125/1000</f>
        <v>-0.80700267896924249</v>
      </c>
    </row>
    <row r="126" spans="1:20" x14ac:dyDescent="0.25">
      <c r="A126" s="5">
        <v>44467</v>
      </c>
      <c r="B126">
        <v>1.127</v>
      </c>
      <c r="C126">
        <v>1.1890000000000001</v>
      </c>
      <c r="D126">
        <v>1.091</v>
      </c>
      <c r="E126">
        <v>1.105</v>
      </c>
      <c r="F126">
        <v>9801627.9000000004</v>
      </c>
      <c r="G126">
        <v>1.105</v>
      </c>
      <c r="L126" t="s">
        <v>7</v>
      </c>
      <c r="M126" t="s">
        <v>7</v>
      </c>
      <c r="N126" t="s">
        <v>8</v>
      </c>
      <c r="P126">
        <f t="shared" ref="P126" si="605">IF(C126=D126,0,((E126-D126)-(C126-E126))/(C126-D126))</f>
        <v>-0.7142857142857143</v>
      </c>
      <c r="Q126">
        <f t="shared" ref="Q126" si="606">F126*P126</f>
        <v>-7001162.7857142864</v>
      </c>
      <c r="R126">
        <f t="shared" ref="R126" si="607">R127+Q126</f>
        <v>-77288428.730257586</v>
      </c>
      <c r="S126">
        <f t="shared" ref="S126" si="608">R126/100000</f>
        <v>-772.8842873025759</v>
      </c>
      <c r="T126">
        <f t="shared" ref="T126" si="609">S126/1000</f>
        <v>-0.77288428730257586</v>
      </c>
    </row>
    <row r="127" spans="1:20" x14ac:dyDescent="0.25">
      <c r="A127" s="5">
        <v>44466</v>
      </c>
      <c r="B127">
        <v>1.085</v>
      </c>
      <c r="C127">
        <v>1.345</v>
      </c>
      <c r="D127">
        <v>1.0509999999999999</v>
      </c>
      <c r="E127">
        <v>1.127</v>
      </c>
      <c r="F127">
        <v>27552870.399999999</v>
      </c>
      <c r="G127">
        <v>1.127</v>
      </c>
      <c r="L127" t="s">
        <v>8</v>
      </c>
      <c r="M127" t="s">
        <v>8</v>
      </c>
      <c r="N127" t="s">
        <v>8</v>
      </c>
      <c r="P127">
        <f t="shared" ref="P127" si="610">IF(C127=D127,0,((E127-D127)-(C127-E127))/(C127-D127))</f>
        <v>-0.48299319727891116</v>
      </c>
      <c r="Q127">
        <f t="shared" ref="Q127" si="611">F127*P127</f>
        <v>-13307848.96870747</v>
      </c>
      <c r="R127">
        <f t="shared" ref="R127" si="612">R128+Q127</f>
        <v>-70287265.944543302</v>
      </c>
      <c r="S127">
        <f t="shared" ref="S127" si="613">R127/100000</f>
        <v>-702.87265944543299</v>
      </c>
      <c r="T127">
        <f t="shared" ref="T127" si="614">S127/1000</f>
        <v>-0.70287265944543298</v>
      </c>
    </row>
    <row r="128" spans="1:20" x14ac:dyDescent="0.25">
      <c r="A128" s="5">
        <v>44465</v>
      </c>
      <c r="B128">
        <v>1.1240000000000001</v>
      </c>
      <c r="C128">
        <v>1.1499999999999999</v>
      </c>
      <c r="D128">
        <v>0.85199999999999998</v>
      </c>
      <c r="E128">
        <v>1.0860000000000001</v>
      </c>
      <c r="F128">
        <v>23677332.649999999</v>
      </c>
      <c r="G128">
        <v>1.0860000000000001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0.57046979865771918</v>
      </c>
      <c r="Q128">
        <f t="shared" ref="Q128" si="616">F128*P128</f>
        <v>13507203.18959734</v>
      </c>
      <c r="R128">
        <f t="shared" ref="R128" si="617">R129+Q128</f>
        <v>-56979416.97583583</v>
      </c>
      <c r="S128">
        <f t="shared" ref="S128" si="618">R128/100000</f>
        <v>-569.79416975835829</v>
      </c>
      <c r="T128">
        <f t="shared" ref="T128" si="619">S128/1000</f>
        <v>-0.56979416975835828</v>
      </c>
    </row>
    <row r="129" spans="1:20" x14ac:dyDescent="0.25">
      <c r="A129" s="5">
        <v>44464</v>
      </c>
      <c r="B129">
        <v>1.179</v>
      </c>
      <c r="C129">
        <v>1.1930000000000001</v>
      </c>
      <c r="D129">
        <v>1.105</v>
      </c>
      <c r="E129">
        <v>1.1220000000000001</v>
      </c>
      <c r="F129">
        <v>6006738.29</v>
      </c>
      <c r="G129">
        <v>1.1220000000000001</v>
      </c>
      <c r="L129" t="s">
        <v>7</v>
      </c>
      <c r="M129" t="s">
        <v>7</v>
      </c>
      <c r="N129" t="s">
        <v>7</v>
      </c>
      <c r="P129">
        <f t="shared" ref="P129" si="620">IF(C129=D129,0,((E129-D129)-(C129-E129))/(C129-D129))</f>
        <v>-0.61363636363636109</v>
      </c>
      <c r="Q129">
        <f t="shared" ref="Q129" si="621">F129*P129</f>
        <v>-3685953.0415908936</v>
      </c>
      <c r="R129">
        <f t="shared" ref="R129" si="622">R130+Q129</f>
        <v>-70486620.165433168</v>
      </c>
      <c r="S129">
        <f t="shared" ref="S129" si="623">R129/100000</f>
        <v>-704.86620165433169</v>
      </c>
      <c r="T129">
        <f t="shared" ref="T129" si="624">S129/1000</f>
        <v>-0.70486620165433167</v>
      </c>
    </row>
    <row r="130" spans="1:20" x14ac:dyDescent="0.25">
      <c r="A130" s="5">
        <v>44463</v>
      </c>
      <c r="B130">
        <v>1.359</v>
      </c>
      <c r="C130">
        <v>1.3620000000000001</v>
      </c>
      <c r="D130">
        <v>1.1240000000000001</v>
      </c>
      <c r="E130">
        <v>1.1779999999999999</v>
      </c>
      <c r="F130">
        <v>8822788.5099999998</v>
      </c>
      <c r="G130">
        <v>1.1779999999999999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-0.54621848739495937</v>
      </c>
      <c r="Q130">
        <f t="shared" ref="Q130" si="626">F130*P130</f>
        <v>-4819170.1945378268</v>
      </c>
      <c r="R130">
        <f t="shared" ref="R130" si="627">R131+Q130</f>
        <v>-66800667.123842277</v>
      </c>
      <c r="S130">
        <f t="shared" ref="S130" si="628">R130/100000</f>
        <v>-668.00667123842277</v>
      </c>
      <c r="T130">
        <f t="shared" ref="T130" si="629">S130/1000</f>
        <v>-0.66800667123842272</v>
      </c>
    </row>
    <row r="131" spans="1:20" x14ac:dyDescent="0.25">
      <c r="A131" s="5">
        <v>44462</v>
      </c>
      <c r="B131">
        <v>1.3540000000000001</v>
      </c>
      <c r="C131">
        <v>1.4039999999999999</v>
      </c>
      <c r="D131">
        <v>1.3220000000000001</v>
      </c>
      <c r="E131">
        <v>1.359</v>
      </c>
      <c r="F131">
        <v>3493380.9</v>
      </c>
      <c r="G131">
        <v>1.359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-9.7560975609756365E-2</v>
      </c>
      <c r="Q131">
        <f t="shared" ref="Q131" si="631">F131*P131</f>
        <v>-340817.6487804887</v>
      </c>
      <c r="R131">
        <f t="shared" ref="R131" si="632">R132+Q131</f>
        <v>-61981496.929304451</v>
      </c>
      <c r="S131">
        <f t="shared" ref="S131" si="633">R131/100000</f>
        <v>-619.81496929304456</v>
      </c>
      <c r="T131">
        <f t="shared" ref="T131" si="634">S131/1000</f>
        <v>-0.61981496929304458</v>
      </c>
    </row>
    <row r="132" spans="1:20" x14ac:dyDescent="0.25">
      <c r="A132" s="5">
        <v>44461</v>
      </c>
      <c r="B132">
        <v>1.26</v>
      </c>
      <c r="C132">
        <v>1.371</v>
      </c>
      <c r="D132">
        <v>1.25</v>
      </c>
      <c r="E132">
        <v>1.353</v>
      </c>
      <c r="F132">
        <v>2665660.9</v>
      </c>
      <c r="G132">
        <v>1.353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0.70247933884297498</v>
      </c>
      <c r="Q132">
        <f t="shared" ref="Q132" si="636">F132*P132</f>
        <v>1872571.7066115695</v>
      </c>
      <c r="R132">
        <f t="shared" ref="R132" si="637">R133+Q132</f>
        <v>-61640679.280523963</v>
      </c>
      <c r="S132">
        <f t="shared" ref="S132" si="638">R132/100000</f>
        <v>-616.40679280523966</v>
      </c>
      <c r="T132">
        <f t="shared" ref="T132" si="639">S132/1000</f>
        <v>-0.61640679280523969</v>
      </c>
    </row>
    <row r="133" spans="1:20" x14ac:dyDescent="0.25">
      <c r="A133" s="5">
        <v>44460</v>
      </c>
      <c r="B133">
        <v>1.333</v>
      </c>
      <c r="C133">
        <v>1.3680000000000001</v>
      </c>
      <c r="D133">
        <v>1.256</v>
      </c>
      <c r="E133">
        <v>1.258</v>
      </c>
      <c r="F133">
        <v>3288713.11</v>
      </c>
      <c r="G133">
        <v>1.258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-0.9642857142857143</v>
      </c>
      <c r="Q133">
        <f t="shared" ref="Q133" si="641">F133*P133</f>
        <v>-3171259.0703571429</v>
      </c>
      <c r="R133">
        <f t="shared" ref="R133" si="642">R134+Q133</f>
        <v>-63513250.98713553</v>
      </c>
      <c r="S133">
        <f t="shared" ref="S133" si="643">R133/100000</f>
        <v>-635.1325098713553</v>
      </c>
      <c r="T133">
        <f t="shared" ref="T133" si="644">S133/1000</f>
        <v>-0.63513250987135528</v>
      </c>
    </row>
    <row r="134" spans="1:20" x14ac:dyDescent="0.25">
      <c r="A134" s="5">
        <v>44459</v>
      </c>
      <c r="B134">
        <v>1.526</v>
      </c>
      <c r="C134">
        <v>1.536</v>
      </c>
      <c r="D134">
        <v>1.4410000000000001</v>
      </c>
      <c r="E134">
        <v>1.4590000000000001</v>
      </c>
      <c r="F134">
        <v>1536427.6</v>
      </c>
      <c r="G134">
        <v>1.4590000000000001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-0.62105263157894697</v>
      </c>
      <c r="Q134">
        <f t="shared" ref="Q134" si="646">F134*P134</f>
        <v>-954202.4042105258</v>
      </c>
      <c r="R134">
        <f t="shared" ref="R134" si="647">R135+Q134</f>
        <v>-60341991.916778386</v>
      </c>
      <c r="S134">
        <f t="shared" ref="S134" si="648">R134/100000</f>
        <v>-603.41991916778386</v>
      </c>
      <c r="T134">
        <f t="shared" ref="T134" si="649">S134/1000</f>
        <v>-0.60341991916778381</v>
      </c>
    </row>
    <row r="135" spans="1:20" x14ac:dyDescent="0.25">
      <c r="A135" s="5">
        <v>44458</v>
      </c>
      <c r="B135">
        <v>1.6120000000000001</v>
      </c>
      <c r="C135">
        <v>1.6140000000000001</v>
      </c>
      <c r="D135">
        <v>1.5149999999999999</v>
      </c>
      <c r="E135">
        <v>1.5249999999999999</v>
      </c>
      <c r="F135">
        <v>1927599.7</v>
      </c>
      <c r="G135">
        <v>1.5249999999999999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-0.79797979797979823</v>
      </c>
      <c r="Q135">
        <f t="shared" ref="Q135" si="651">F135*P135</f>
        <v>-1538185.6191919197</v>
      </c>
      <c r="R135">
        <f t="shared" ref="R135" si="652">R136+Q135</f>
        <v>-59387789.512567863</v>
      </c>
      <c r="S135">
        <f t="shared" ref="S135" si="653">R135/100000</f>
        <v>-593.87789512567861</v>
      </c>
      <c r="T135">
        <f t="shared" ref="T135" si="654">S135/1000</f>
        <v>-0.59387789512567857</v>
      </c>
    </row>
    <row r="136" spans="1:20" x14ac:dyDescent="0.25">
      <c r="A136" s="5">
        <v>44457</v>
      </c>
      <c r="B136">
        <v>1.6020000000000001</v>
      </c>
      <c r="C136">
        <v>1.694</v>
      </c>
      <c r="D136">
        <v>1.587</v>
      </c>
      <c r="E136">
        <v>1.6120000000000001</v>
      </c>
      <c r="F136">
        <v>2509939.2999999998</v>
      </c>
      <c r="G136">
        <v>1.6120000000000001</v>
      </c>
      <c r="L136" t="s">
        <v>7</v>
      </c>
      <c r="M136" t="s">
        <v>7</v>
      </c>
      <c r="N136" t="s">
        <v>8</v>
      </c>
      <c r="P136">
        <f t="shared" ref="P136" si="655">IF(C136=D136,0,((E136-D136)-(C136-E136))/(C136-D136))</f>
        <v>-0.53271028037382917</v>
      </c>
      <c r="Q136">
        <f t="shared" ref="Q136" si="656">F136*P136</f>
        <v>-1337070.4682242924</v>
      </c>
      <c r="R136">
        <f t="shared" ref="R136" si="657">R137+Q136</f>
        <v>-57849603.893375941</v>
      </c>
      <c r="S136">
        <f t="shared" ref="S136" si="658">R136/100000</f>
        <v>-578.49603893375945</v>
      </c>
      <c r="T136">
        <f t="shared" ref="T136" si="659">S136/1000</f>
        <v>-0.57849603893375945</v>
      </c>
    </row>
    <row r="137" spans="1:20" x14ac:dyDescent="0.25">
      <c r="A137" s="5">
        <v>44456</v>
      </c>
      <c r="B137">
        <v>1.661</v>
      </c>
      <c r="C137">
        <v>1.671</v>
      </c>
      <c r="D137">
        <v>1.591</v>
      </c>
      <c r="E137">
        <v>1.603</v>
      </c>
      <c r="F137">
        <v>2321973.2999999998</v>
      </c>
      <c r="G137">
        <v>1.603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-0.7</v>
      </c>
      <c r="Q137">
        <f t="shared" ref="Q137" si="661">F137*P137</f>
        <v>-1625381.3099999998</v>
      </c>
      <c r="R137">
        <f t="shared" ref="R137" si="662">R138+Q137</f>
        <v>-56512533.425151646</v>
      </c>
      <c r="S137">
        <f t="shared" ref="S137" si="663">R137/100000</f>
        <v>-565.12533425151651</v>
      </c>
      <c r="T137">
        <f t="shared" ref="T137" si="664">S137/1000</f>
        <v>-0.56512533425151645</v>
      </c>
    </row>
    <row r="138" spans="1:20" x14ac:dyDescent="0.25">
      <c r="A138" s="5">
        <v>44455</v>
      </c>
      <c r="B138">
        <v>1.716</v>
      </c>
      <c r="C138">
        <v>1.7450000000000001</v>
      </c>
      <c r="D138">
        <v>1.65</v>
      </c>
      <c r="E138">
        <v>1.66</v>
      </c>
      <c r="F138">
        <v>2849393.3</v>
      </c>
      <c r="G138">
        <v>1.66</v>
      </c>
      <c r="L138" t="s">
        <v>7</v>
      </c>
      <c r="M138" t="s">
        <v>7</v>
      </c>
      <c r="N138" t="s">
        <v>8</v>
      </c>
      <c r="P138">
        <f t="shared" ref="P138" si="665">IF(C138=D138,0,((E138-D138)-(C138-E138))/(C138-D138))</f>
        <v>-0.78947368421052655</v>
      </c>
      <c r="Q138">
        <f t="shared" ref="Q138" si="666">F138*P138</f>
        <v>-2249521.0263157901</v>
      </c>
      <c r="R138">
        <f t="shared" ref="R138" si="667">R139+Q138</f>
        <v>-54887152.115151644</v>
      </c>
      <c r="S138">
        <f t="shared" ref="S138" si="668">R138/100000</f>
        <v>-548.87152115151639</v>
      </c>
      <c r="T138">
        <f t="shared" ref="T138" si="669">S138/1000</f>
        <v>-0.54887152115151638</v>
      </c>
    </row>
    <row r="139" spans="1:20" x14ac:dyDescent="0.25">
      <c r="A139" s="5">
        <v>44454</v>
      </c>
      <c r="B139">
        <v>1.696</v>
      </c>
      <c r="C139">
        <v>1.7310000000000001</v>
      </c>
      <c r="D139">
        <v>1.673</v>
      </c>
      <c r="E139">
        <v>1.7170000000000001</v>
      </c>
      <c r="F139">
        <v>2768558.3</v>
      </c>
      <c r="G139">
        <v>1.7170000000000001</v>
      </c>
      <c r="L139" t="s">
        <v>7</v>
      </c>
      <c r="M139" t="s">
        <v>7</v>
      </c>
      <c r="N139" t="s">
        <v>8</v>
      </c>
      <c r="P139">
        <f t="shared" ref="P139" si="670">IF(C139=D139,0,((E139-D139)-(C139-E139))/(C139-D139))</f>
        <v>0.51724137931034486</v>
      </c>
      <c r="Q139">
        <f t="shared" ref="Q139" si="671">F139*P139</f>
        <v>1432012.9137931035</v>
      </c>
      <c r="R139">
        <f t="shared" ref="R139" si="672">R140+Q139</f>
        <v>-52637631.08883585</v>
      </c>
      <c r="S139">
        <f t="shared" ref="S139" si="673">R139/100000</f>
        <v>-526.37631088835849</v>
      </c>
      <c r="T139">
        <f t="shared" ref="T139" si="674">S139/1000</f>
        <v>-0.52637631088835846</v>
      </c>
    </row>
    <row r="140" spans="1:20" x14ac:dyDescent="0.25">
      <c r="A140" s="5">
        <v>44453</v>
      </c>
      <c r="B140">
        <v>1.7230000000000001</v>
      </c>
      <c r="C140">
        <v>1.7370000000000001</v>
      </c>
      <c r="D140">
        <v>1.6619999999999999</v>
      </c>
      <c r="E140">
        <v>1.6950000000000001</v>
      </c>
      <c r="F140">
        <v>3835554.2</v>
      </c>
      <c r="G140">
        <v>1.6950000000000001</v>
      </c>
      <c r="L140" t="s">
        <v>7</v>
      </c>
      <c r="M140" t="s">
        <v>7</v>
      </c>
      <c r="N140" t="s">
        <v>8</v>
      </c>
      <c r="P140">
        <f t="shared" ref="P140" si="675">IF(C140=D140,0,((E140-D140)-(C140-E140))/(C140-D140))</f>
        <v>-0.11999999999999834</v>
      </c>
      <c r="Q140">
        <f t="shared" ref="Q140" si="676">F140*P140</f>
        <v>-460266.50399999367</v>
      </c>
      <c r="R140">
        <f t="shared" ref="R140" si="677">R141+Q140</f>
        <v>-54069644.002628952</v>
      </c>
      <c r="S140">
        <f t="shared" ref="S140" si="678">R140/100000</f>
        <v>-540.69644002628957</v>
      </c>
      <c r="T140">
        <f t="shared" ref="T140" si="679">S140/1000</f>
        <v>-0.54069644002628958</v>
      </c>
    </row>
    <row r="141" spans="1:20" x14ac:dyDescent="0.25">
      <c r="A141" s="5">
        <v>44452</v>
      </c>
      <c r="B141">
        <v>1.827</v>
      </c>
      <c r="C141">
        <v>1.835</v>
      </c>
      <c r="D141">
        <v>1.661</v>
      </c>
      <c r="E141">
        <v>1.722</v>
      </c>
      <c r="F141">
        <v>4379817</v>
      </c>
      <c r="G141">
        <v>1.722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-0.29885057471264403</v>
      </c>
      <c r="Q141">
        <f t="shared" ref="Q141" si="681">F141*P141</f>
        <v>-1308910.8275862085</v>
      </c>
      <c r="R141">
        <f t="shared" ref="R141" si="682">R142+Q141</f>
        <v>-53609377.498628959</v>
      </c>
      <c r="S141">
        <f t="shared" ref="S141" si="683">R141/100000</f>
        <v>-536.09377498628965</v>
      </c>
      <c r="T141">
        <f t="shared" ref="T141" si="684">S141/1000</f>
        <v>-0.53609377498628963</v>
      </c>
    </row>
    <row r="142" spans="1:20" x14ac:dyDescent="0.25">
      <c r="A142" s="5">
        <v>44451</v>
      </c>
      <c r="B142">
        <v>1.8520000000000001</v>
      </c>
      <c r="C142">
        <v>1.883</v>
      </c>
      <c r="D142">
        <v>1.8</v>
      </c>
      <c r="E142">
        <v>1.829</v>
      </c>
      <c r="F142">
        <v>3421909.6</v>
      </c>
      <c r="G142">
        <v>1.829</v>
      </c>
      <c r="L142" t="s">
        <v>7</v>
      </c>
      <c r="M142" t="s">
        <v>8</v>
      </c>
      <c r="N142" t="s">
        <v>8</v>
      </c>
      <c r="P142">
        <f t="shared" ref="P142" si="685">IF(C142=D142,0,((E142-D142)-(C142-E142))/(C142-D142))</f>
        <v>-0.30120481927711018</v>
      </c>
      <c r="Q142">
        <f t="shared" ref="Q142" si="686">F142*P142</f>
        <v>-1030695.6626506085</v>
      </c>
      <c r="R142">
        <f t="shared" ref="R142" si="687">R143+Q142</f>
        <v>-52300466.671042748</v>
      </c>
      <c r="S142">
        <f t="shared" ref="S142" si="688">R142/100000</f>
        <v>-523.0046667104275</v>
      </c>
      <c r="T142">
        <f t="shared" ref="T142" si="689">S142/1000</f>
        <v>-0.52300466671042745</v>
      </c>
    </row>
    <row r="143" spans="1:20" x14ac:dyDescent="0.25">
      <c r="A143" s="5">
        <v>44450</v>
      </c>
      <c r="B143">
        <v>1.853</v>
      </c>
      <c r="C143">
        <v>1.9710000000000001</v>
      </c>
      <c r="D143">
        <v>1.8440000000000001</v>
      </c>
      <c r="E143">
        <v>1.8520000000000001</v>
      </c>
      <c r="F143">
        <v>3715835.3</v>
      </c>
      <c r="G143">
        <v>1.8520000000000001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-0.87401574803149595</v>
      </c>
      <c r="Q143">
        <f t="shared" ref="Q143" si="691">F143*P143</f>
        <v>-3247698.5692913379</v>
      </c>
      <c r="R143">
        <f t="shared" ref="R143" si="692">R144+Q143</f>
        <v>-51269771.00839214</v>
      </c>
      <c r="S143">
        <f t="shared" ref="S143" si="693">R143/100000</f>
        <v>-512.69771008392138</v>
      </c>
      <c r="T143">
        <f t="shared" ref="T143" si="694">S143/1000</f>
        <v>-0.5126977100839214</v>
      </c>
    </row>
    <row r="144" spans="1:20" x14ac:dyDescent="0.25">
      <c r="A144" s="5">
        <v>44449</v>
      </c>
      <c r="B144">
        <v>1.9339999999999999</v>
      </c>
      <c r="C144">
        <v>1.978</v>
      </c>
      <c r="D144">
        <v>1.8149999999999999</v>
      </c>
      <c r="E144">
        <v>1.853</v>
      </c>
      <c r="F144">
        <v>7837703.4000000004</v>
      </c>
      <c r="G144">
        <v>1.853</v>
      </c>
      <c r="L144" t="s">
        <v>7</v>
      </c>
      <c r="M144" t="s">
        <v>8</v>
      </c>
      <c r="N144" t="s">
        <v>8</v>
      </c>
      <c r="P144">
        <f t="shared" ref="P144" si="695">IF(C144=D144,0,((E144-D144)-(C144-E144))/(C144-D144))</f>
        <v>-0.53374233128834325</v>
      </c>
      <c r="Q144">
        <f t="shared" ref="Q144" si="696">F144*P144</f>
        <v>-4183314.0846625743</v>
      </c>
      <c r="R144">
        <f t="shared" ref="R144" si="697">R145+Q144</f>
        <v>-48022072.439100802</v>
      </c>
      <c r="S144">
        <f t="shared" ref="S144" si="698">R144/100000</f>
        <v>-480.22072439100805</v>
      </c>
      <c r="T144">
        <f t="shared" ref="T144" si="699">S144/1000</f>
        <v>-0.48022072439100805</v>
      </c>
    </row>
    <row r="145" spans="1:20" x14ac:dyDescent="0.25">
      <c r="A145" s="5">
        <v>44448</v>
      </c>
      <c r="B145">
        <v>1.746</v>
      </c>
      <c r="C145">
        <v>2.0329999999999999</v>
      </c>
      <c r="D145">
        <v>1.694</v>
      </c>
      <c r="E145">
        <v>1.931</v>
      </c>
      <c r="F145">
        <v>12065503</v>
      </c>
      <c r="G145">
        <v>1.931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0.39823008849557595</v>
      </c>
      <c r="Q145">
        <f t="shared" ref="Q145" si="701">F145*P145</f>
        <v>4804846.3274336373</v>
      </c>
      <c r="R145">
        <f t="shared" ref="R145" si="702">R146+Q145</f>
        <v>-43838758.35443823</v>
      </c>
      <c r="S145">
        <f t="shared" ref="S145" si="703">R145/100000</f>
        <v>-438.38758354438232</v>
      </c>
      <c r="T145">
        <f t="shared" ref="T145" si="704">S145/1000</f>
        <v>-0.43838758354438234</v>
      </c>
    </row>
    <row r="146" spans="1:20" x14ac:dyDescent="0.25">
      <c r="A146" s="5">
        <v>44447</v>
      </c>
      <c r="B146">
        <v>1.633</v>
      </c>
      <c r="C146">
        <v>1.85</v>
      </c>
      <c r="D146">
        <v>1.5069999999999999</v>
      </c>
      <c r="E146">
        <v>1.7450000000000001</v>
      </c>
      <c r="F146">
        <v>17583487.800000001</v>
      </c>
      <c r="G146">
        <v>1.7450000000000001</v>
      </c>
      <c r="L146" t="s">
        <v>8</v>
      </c>
      <c r="M146" t="s">
        <v>8</v>
      </c>
      <c r="N146" t="s">
        <v>8</v>
      </c>
      <c r="P146">
        <f t="shared" ref="P146" si="705">IF(C146=D146,0,((E146-D146)-(C146-E146))/(C146-D146))</f>
        <v>0.38775510204081676</v>
      </c>
      <c r="Q146">
        <f t="shared" ref="Q146" si="706">F146*P146</f>
        <v>6818087.1061224565</v>
      </c>
      <c r="R146">
        <f t="shared" ref="R146" si="707">R147+Q146</f>
        <v>-48643604.681871869</v>
      </c>
      <c r="S146">
        <f t="shared" ref="S146" si="708">R146/100000</f>
        <v>-486.43604681871869</v>
      </c>
      <c r="T146">
        <f t="shared" ref="T146" si="709">S146/1000</f>
        <v>-0.48643604681871871</v>
      </c>
    </row>
    <row r="147" spans="1:20" x14ac:dyDescent="0.25">
      <c r="A147" s="5">
        <v>44446</v>
      </c>
      <c r="B147">
        <v>2.0369999999999999</v>
      </c>
      <c r="C147">
        <v>2.04</v>
      </c>
      <c r="D147">
        <v>1.3</v>
      </c>
      <c r="E147">
        <v>1.6319999999999999</v>
      </c>
      <c r="F147">
        <v>17146414.719999999</v>
      </c>
      <c r="G147">
        <v>1.6319999999999999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-0.1027027027027031</v>
      </c>
      <c r="Q147">
        <f t="shared" ref="Q147" si="711">F147*P147</f>
        <v>-1760983.1334054121</v>
      </c>
      <c r="R147">
        <f t="shared" ref="R147" si="712">R148+Q147</f>
        <v>-55461691.787994325</v>
      </c>
      <c r="S147">
        <f t="shared" ref="S147" si="713">R147/100000</f>
        <v>-554.61691787994323</v>
      </c>
      <c r="T147">
        <f t="shared" ref="T147" si="714">S147/1000</f>
        <v>-0.55461691787994327</v>
      </c>
    </row>
    <row r="148" spans="1:20" x14ac:dyDescent="0.25">
      <c r="A148" s="5">
        <v>44445</v>
      </c>
      <c r="B148">
        <v>1.766</v>
      </c>
      <c r="C148">
        <v>2.1629999999999998</v>
      </c>
      <c r="D148">
        <v>1.7170000000000001</v>
      </c>
      <c r="E148">
        <v>2.0419999999999998</v>
      </c>
      <c r="F148">
        <v>25684769.530000001</v>
      </c>
      <c r="G148">
        <v>2.0419999999999998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0.45739910313901316</v>
      </c>
      <c r="Q148">
        <f t="shared" ref="Q148" si="716">F148*P148</f>
        <v>11748190.547354253</v>
      </c>
      <c r="R148">
        <f t="shared" ref="R148" si="717">R149+Q148</f>
        <v>-53700708.654588915</v>
      </c>
      <c r="S148">
        <f t="shared" ref="S148" si="718">R148/100000</f>
        <v>-537.00708654588914</v>
      </c>
      <c r="T148">
        <f t="shared" ref="T148" si="719">S148/1000</f>
        <v>-0.53700708654588913</v>
      </c>
    </row>
    <row r="149" spans="1:20" x14ac:dyDescent="0.25">
      <c r="A149" s="5">
        <v>44444</v>
      </c>
      <c r="B149">
        <v>1.653</v>
      </c>
      <c r="C149">
        <v>1.837</v>
      </c>
      <c r="D149">
        <v>1.6220000000000001</v>
      </c>
      <c r="E149">
        <v>1.766</v>
      </c>
      <c r="F149">
        <v>14060129.59</v>
      </c>
      <c r="G149">
        <v>1.766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0.33953488372093027</v>
      </c>
      <c r="Q149">
        <f t="shared" ref="Q149" si="721">F149*P149</f>
        <v>4773904.4654418612</v>
      </c>
      <c r="R149">
        <f t="shared" ref="R149" si="722">R150+Q149</f>
        <v>-65448899.201943167</v>
      </c>
      <c r="S149">
        <f t="shared" ref="S149" si="723">R149/100000</f>
        <v>-654.48899201943163</v>
      </c>
      <c r="T149">
        <f t="shared" ref="T149" si="724">S149/1000</f>
        <v>-0.65448899201943167</v>
      </c>
    </row>
    <row r="150" spans="1:20" x14ac:dyDescent="0.25">
      <c r="A150" s="5">
        <v>44443</v>
      </c>
      <c r="B150">
        <v>1.58</v>
      </c>
      <c r="C150">
        <v>1.7444</v>
      </c>
      <c r="D150">
        <v>1.532</v>
      </c>
      <c r="E150">
        <v>1.65</v>
      </c>
      <c r="F150">
        <v>16658587.279999999</v>
      </c>
      <c r="G150">
        <v>1.65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0.11111111111111041</v>
      </c>
      <c r="Q150">
        <f t="shared" ref="Q150" si="726">F150*P150</f>
        <v>1850954.1422222105</v>
      </c>
      <c r="R150">
        <f t="shared" ref="R150" si="727">R151+Q150</f>
        <v>-70222803.667385027</v>
      </c>
      <c r="S150">
        <f t="shared" ref="S150" si="728">R150/100000</f>
        <v>-702.22803667385028</v>
      </c>
      <c r="T150">
        <f t="shared" ref="T150" si="729">S150/1000</f>
        <v>-0.70222803667385025</v>
      </c>
    </row>
    <row r="151" spans="1:20" x14ac:dyDescent="0.25">
      <c r="A151" s="5">
        <v>44442</v>
      </c>
      <c r="B151">
        <v>1.472</v>
      </c>
      <c r="C151">
        <v>1.6910000000000001</v>
      </c>
      <c r="D151">
        <v>1.4350000000000001</v>
      </c>
      <c r="E151">
        <v>1.581</v>
      </c>
      <c r="F151">
        <v>15664978.42</v>
      </c>
      <c r="G151">
        <v>1.581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0.14062499999999925</v>
      </c>
      <c r="Q151">
        <f t="shared" ref="Q151" si="731">F151*P151</f>
        <v>2202887.5903124884</v>
      </c>
      <c r="R151">
        <f t="shared" ref="R151" si="732">R152+Q151</f>
        <v>-72073757.809607238</v>
      </c>
      <c r="S151">
        <f t="shared" ref="S151" si="733">R151/100000</f>
        <v>-720.73757809607241</v>
      </c>
      <c r="T151">
        <f t="shared" ref="T151" si="734">S151/1000</f>
        <v>-0.72073757809607242</v>
      </c>
    </row>
    <row r="152" spans="1:20" x14ac:dyDescent="0.25">
      <c r="A152" s="5">
        <v>44441</v>
      </c>
      <c r="B152">
        <v>1.427</v>
      </c>
      <c r="C152">
        <v>1.5469999999999999</v>
      </c>
      <c r="D152">
        <v>1.4119999999999999</v>
      </c>
      <c r="E152">
        <v>1.4730000000000001</v>
      </c>
      <c r="F152">
        <v>10286084.699999999</v>
      </c>
      <c r="G152">
        <v>1.4730000000000001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-9.629629629629391E-2</v>
      </c>
      <c r="Q152">
        <f t="shared" ref="Q152" si="736">F152*P152</f>
        <v>-990511.85999997542</v>
      </c>
      <c r="R152">
        <f t="shared" ref="R152" si="737">R153+Q152</f>
        <v>-74276645.399919719</v>
      </c>
      <c r="S152">
        <f t="shared" ref="S152" si="738">R152/100000</f>
        <v>-742.76645399919721</v>
      </c>
      <c r="T152">
        <f t="shared" ref="T152" si="739">S152/1000</f>
        <v>-0.74276645399919716</v>
      </c>
    </row>
    <row r="153" spans="1:20" x14ac:dyDescent="0.25">
      <c r="A153" s="5">
        <v>44440</v>
      </c>
      <c r="B153">
        <v>1.3919999999999999</v>
      </c>
      <c r="C153">
        <v>1.452</v>
      </c>
      <c r="D153">
        <v>1.347</v>
      </c>
      <c r="E153">
        <v>1.429</v>
      </c>
      <c r="F153">
        <v>5464849.8300000001</v>
      </c>
      <c r="G153">
        <v>1.429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0.56190476190476357</v>
      </c>
      <c r="Q153">
        <f t="shared" ref="Q153" si="741">F153*P153</f>
        <v>3070725.1425714376</v>
      </c>
      <c r="R153">
        <f t="shared" ref="R153" si="742">R154+Q153</f>
        <v>-73286133.539919749</v>
      </c>
      <c r="S153">
        <f t="shared" ref="S153" si="743">R153/100000</f>
        <v>-732.86133539919751</v>
      </c>
      <c r="T153">
        <f t="shared" ref="T153" si="744">S153/1000</f>
        <v>-0.73286133539919751</v>
      </c>
    </row>
    <row r="154" spans="1:20" x14ac:dyDescent="0.25">
      <c r="A154" s="5">
        <v>44439</v>
      </c>
      <c r="B154">
        <v>1.391</v>
      </c>
      <c r="C154">
        <v>1.423</v>
      </c>
      <c r="D154">
        <v>1.363</v>
      </c>
      <c r="E154">
        <v>1.3919999999999999</v>
      </c>
      <c r="F154">
        <v>4984712.3499999996</v>
      </c>
      <c r="G154">
        <v>1.3919999999999999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-3.3333333333337031E-2</v>
      </c>
      <c r="Q154">
        <f t="shared" ref="Q154" si="746">F154*P154</f>
        <v>-166157.07833335176</v>
      </c>
      <c r="R154">
        <f t="shared" ref="R154" si="747">R155+Q154</f>
        <v>-76356858.682491183</v>
      </c>
      <c r="S154">
        <f t="shared" ref="S154" si="748">R154/100000</f>
        <v>-763.56858682491179</v>
      </c>
      <c r="T154">
        <f t="shared" ref="T154" si="749">S154/1000</f>
        <v>-0.7635685868249118</v>
      </c>
    </row>
    <row r="155" spans="1:20" x14ac:dyDescent="0.25">
      <c r="A155" s="5">
        <v>44438</v>
      </c>
      <c r="B155">
        <v>1.4530000000000001</v>
      </c>
      <c r="C155">
        <v>1.48</v>
      </c>
      <c r="D155">
        <v>1.3766</v>
      </c>
      <c r="E155">
        <v>1.39</v>
      </c>
      <c r="F155">
        <v>5414737.8099999996</v>
      </c>
      <c r="G155">
        <v>1.39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-0.7408123791102541</v>
      </c>
      <c r="Q155">
        <f t="shared" ref="Q155" si="751">F155*P155</f>
        <v>-4011304.7992843469</v>
      </c>
      <c r="R155">
        <f t="shared" ref="R155" si="752">R156+Q155</f>
        <v>-76190701.604157835</v>
      </c>
      <c r="S155">
        <f t="shared" ref="S155" si="753">R155/100000</f>
        <v>-761.90701604157834</v>
      </c>
      <c r="T155">
        <f t="shared" ref="T155" si="754">S155/1000</f>
        <v>-0.7619070160415784</v>
      </c>
    </row>
    <row r="156" spans="1:20" x14ac:dyDescent="0.25">
      <c r="A156" s="5">
        <v>44437</v>
      </c>
      <c r="B156">
        <v>1.4570000000000001</v>
      </c>
      <c r="C156">
        <v>1.4910000000000001</v>
      </c>
      <c r="D156">
        <v>1.405</v>
      </c>
      <c r="E156">
        <v>1.4510000000000001</v>
      </c>
      <c r="F156">
        <v>5077872.9000000004</v>
      </c>
      <c r="G156">
        <v>1.4510000000000001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6.9767441860465115E-2</v>
      </c>
      <c r="Q156">
        <f t="shared" ref="Q156" si="756">F156*P156</f>
        <v>354270.2023255814</v>
      </c>
      <c r="R156">
        <f t="shared" ref="R156" si="757">R157+Q156</f>
        <v>-72179396.804873481</v>
      </c>
      <c r="S156">
        <f t="shared" ref="S156" si="758">R156/100000</f>
        <v>-721.79396804873477</v>
      </c>
      <c r="T156">
        <f t="shared" ref="T156" si="759">S156/1000</f>
        <v>-0.72179396804873475</v>
      </c>
    </row>
    <row r="157" spans="1:20" x14ac:dyDescent="0.25">
      <c r="A157" s="5">
        <v>44436</v>
      </c>
      <c r="B157">
        <v>1.508</v>
      </c>
      <c r="C157">
        <v>1.5209999999999999</v>
      </c>
      <c r="D157">
        <v>1.448</v>
      </c>
      <c r="E157">
        <v>1.456</v>
      </c>
      <c r="F157">
        <v>4779182.0999999996</v>
      </c>
      <c r="G157">
        <v>1.456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-0.78082191780821886</v>
      </c>
      <c r="Q157">
        <f t="shared" ref="Q157" si="761">F157*P157</f>
        <v>-3731690.1328767105</v>
      </c>
      <c r="R157">
        <f t="shared" ref="R157" si="762">R158+Q157</f>
        <v>-72533667.007199064</v>
      </c>
      <c r="S157">
        <f t="shared" ref="S157" si="763">R157/100000</f>
        <v>-725.33667007199062</v>
      </c>
      <c r="T157">
        <f t="shared" ref="T157" si="764">S157/1000</f>
        <v>-0.72533667007199065</v>
      </c>
    </row>
    <row r="158" spans="1:20" x14ac:dyDescent="0.25">
      <c r="A158" s="5">
        <v>44435</v>
      </c>
      <c r="B158">
        <v>1.4690000000000001</v>
      </c>
      <c r="C158">
        <v>1.514</v>
      </c>
      <c r="D158">
        <v>1.405</v>
      </c>
      <c r="E158">
        <v>1.508</v>
      </c>
      <c r="F158">
        <v>9470759.6799999997</v>
      </c>
      <c r="G158">
        <v>1.508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0.88990825688073383</v>
      </c>
      <c r="Q158">
        <f t="shared" ref="Q158" si="766">F158*P158</f>
        <v>8428107.2381651364</v>
      </c>
      <c r="R158">
        <f t="shared" ref="R158" si="767">R159+Q158</f>
        <v>-68801976.874322355</v>
      </c>
      <c r="S158">
        <f t="shared" ref="S158" si="768">R158/100000</f>
        <v>-688.01976874322349</v>
      </c>
      <c r="T158">
        <f t="shared" ref="T158" si="769">S158/1000</f>
        <v>-0.68801976874322346</v>
      </c>
    </row>
    <row r="159" spans="1:20" x14ac:dyDescent="0.25">
      <c r="A159" s="5">
        <v>44434</v>
      </c>
      <c r="B159">
        <v>1.6341000000000001</v>
      </c>
      <c r="C159">
        <v>1.6748000000000001</v>
      </c>
      <c r="D159">
        <v>1.4675</v>
      </c>
      <c r="E159">
        <v>1.47</v>
      </c>
      <c r="F159">
        <v>10413039.140000001</v>
      </c>
      <c r="G159">
        <v>1.47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-0.97588036661842792</v>
      </c>
      <c r="Q159">
        <f t="shared" ref="Q159" si="771">F159*P159</f>
        <v>-10161880.453555239</v>
      </c>
      <c r="R159">
        <f t="shared" ref="R159" si="772">R160+Q159</f>
        <v>-77230084.112487495</v>
      </c>
      <c r="S159">
        <f t="shared" ref="S159" si="773">R159/100000</f>
        <v>-772.30084112487498</v>
      </c>
      <c r="T159">
        <f t="shared" ref="T159" si="774">S159/1000</f>
        <v>-0.77230084112487496</v>
      </c>
    </row>
    <row r="160" spans="1:20" x14ac:dyDescent="0.25">
      <c r="A160" s="5">
        <v>44433</v>
      </c>
      <c r="B160">
        <v>1.5194000000000001</v>
      </c>
      <c r="C160">
        <v>1.72</v>
      </c>
      <c r="D160">
        <v>1.4550000000000001</v>
      </c>
      <c r="E160">
        <v>1.6341000000000001</v>
      </c>
      <c r="F160">
        <v>25712817.879999999</v>
      </c>
      <c r="G160">
        <v>1.6341000000000001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0.35169811320754796</v>
      </c>
      <c r="Q160">
        <f t="shared" ref="Q160" si="776">F160*P160</f>
        <v>9043149.5336453021</v>
      </c>
      <c r="R160">
        <f t="shared" ref="R160" si="777">R161+Q160</f>
        <v>-67068203.658932254</v>
      </c>
      <c r="S160">
        <f t="shared" ref="S160" si="778">R160/100000</f>
        <v>-670.68203658932259</v>
      </c>
      <c r="T160">
        <f t="shared" ref="T160" si="779">S160/1000</f>
        <v>-0.67068203658932257</v>
      </c>
    </row>
    <row r="161" spans="1:20" x14ac:dyDescent="0.25">
      <c r="A161" s="5">
        <v>44432</v>
      </c>
      <c r="B161">
        <v>1.4241999999999999</v>
      </c>
      <c r="C161">
        <v>1.7</v>
      </c>
      <c r="D161">
        <v>1.3766</v>
      </c>
      <c r="E161">
        <v>1.5195000000000001</v>
      </c>
      <c r="F161">
        <v>31775135.399999999</v>
      </c>
      <c r="G161">
        <v>1.5195000000000001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-0.11626468769325871</v>
      </c>
      <c r="Q161">
        <f t="shared" ref="Q161" si="781">F161*P161</f>
        <v>-3694326.193692009</v>
      </c>
      <c r="R161">
        <f t="shared" ref="R161" si="782">R162+Q161</f>
        <v>-76111353.192577556</v>
      </c>
      <c r="S161">
        <f t="shared" ref="S161" si="783">R161/100000</f>
        <v>-761.11353192577553</v>
      </c>
      <c r="T161">
        <f t="shared" ref="T161" si="784">S161/1000</f>
        <v>-0.76111353192577558</v>
      </c>
    </row>
    <row r="162" spans="1:20" x14ac:dyDescent="0.25">
      <c r="A162" s="5">
        <v>44431</v>
      </c>
      <c r="B162">
        <v>1.3584000000000001</v>
      </c>
      <c r="C162">
        <v>1.4361999999999999</v>
      </c>
      <c r="D162">
        <v>1.3489</v>
      </c>
      <c r="E162">
        <v>1.4246000000000001</v>
      </c>
      <c r="F162">
        <v>8981786.7799999993</v>
      </c>
      <c r="G162">
        <v>1.4246000000000001</v>
      </c>
      <c r="L162" t="s">
        <v>8</v>
      </c>
      <c r="M162" t="s">
        <v>7</v>
      </c>
      <c r="N162" t="s">
        <v>8</v>
      </c>
      <c r="P162">
        <f t="shared" ref="P162" si="785">IF(C162=D162,0,((E162-D162)-(C162-E162))/(C162-D162))</f>
        <v>0.73424971363116054</v>
      </c>
      <c r="Q162">
        <f t="shared" ref="Q162" si="786">F162*P162</f>
        <v>6594874.3711111434</v>
      </c>
      <c r="R162">
        <f t="shared" ref="R162" si="787">R163+Q162</f>
        <v>-72417026.998885542</v>
      </c>
      <c r="S162">
        <f t="shared" ref="S162" si="788">R162/100000</f>
        <v>-724.17026998885547</v>
      </c>
      <c r="T162">
        <f t="shared" ref="T162" si="789">S162/1000</f>
        <v>-0.72417026998885548</v>
      </c>
    </row>
    <row r="163" spans="1:20" x14ac:dyDescent="0.25">
      <c r="A163" s="5">
        <v>44430</v>
      </c>
      <c r="B163">
        <v>1.3414999999999999</v>
      </c>
      <c r="C163">
        <v>1.3927</v>
      </c>
      <c r="D163">
        <v>1.335</v>
      </c>
      <c r="E163">
        <v>1.3785000000000001</v>
      </c>
      <c r="F163">
        <v>2204867.2400000002</v>
      </c>
      <c r="G163">
        <v>1.3785000000000001</v>
      </c>
      <c r="L163" t="s">
        <v>8</v>
      </c>
      <c r="M163" t="s">
        <v>7</v>
      </c>
      <c r="N163" t="s">
        <v>8</v>
      </c>
      <c r="P163">
        <f t="shared" ref="P163" si="790">IF(C163=D163,0,((E163-D163)-(C163-E163))/(C163-D163))</f>
        <v>0.50779896013864922</v>
      </c>
      <c r="Q163">
        <f t="shared" ref="Q163" si="791">F163*P163</f>
        <v>1119629.2917157738</v>
      </c>
      <c r="R163">
        <f t="shared" ref="R163" si="792">R164+Q163</f>
        <v>-79011901.369996682</v>
      </c>
      <c r="S163">
        <f t="shared" ref="S163" si="793">R163/100000</f>
        <v>-790.11901369996679</v>
      </c>
      <c r="T163">
        <f t="shared" ref="T163" si="794">S163/1000</f>
        <v>-0.79011901369996673</v>
      </c>
    </row>
    <row r="164" spans="1:20" x14ac:dyDescent="0.25">
      <c r="A164" s="5">
        <v>44429</v>
      </c>
      <c r="B164">
        <v>1.3580000000000001</v>
      </c>
      <c r="C164">
        <v>1.3859999999999999</v>
      </c>
      <c r="D164">
        <v>1.3159000000000001</v>
      </c>
      <c r="E164">
        <v>1.3399000000000001</v>
      </c>
      <c r="F164">
        <v>7215446.0499999998</v>
      </c>
      <c r="G164">
        <v>1.3399000000000001</v>
      </c>
      <c r="L164" t="s">
        <v>8</v>
      </c>
      <c r="M164" t="s">
        <v>7</v>
      </c>
      <c r="N164" t="s">
        <v>8</v>
      </c>
      <c r="P164">
        <f t="shared" ref="P164" si="795">IF(C164=D164,0,((E164-D164)-(C164-E164))/(C164-D164))</f>
        <v>-0.31526390870185222</v>
      </c>
      <c r="Q164">
        <f t="shared" ref="Q164" si="796">F164*P164</f>
        <v>-2274769.72475034</v>
      </c>
      <c r="R164">
        <f t="shared" ref="R164" si="797">R165+Q164</f>
        <v>-80131530.661712453</v>
      </c>
      <c r="S164">
        <f t="shared" ref="S164" si="798">R164/100000</f>
        <v>-801.31530661712452</v>
      </c>
      <c r="T164">
        <f t="shared" ref="T164" si="799">S164/1000</f>
        <v>-0.80131530661712447</v>
      </c>
    </row>
    <row r="165" spans="1:20" x14ac:dyDescent="0.25">
      <c r="A165" s="5">
        <v>44428</v>
      </c>
      <c r="B165">
        <v>1.3273999999999999</v>
      </c>
      <c r="C165">
        <v>1.3711</v>
      </c>
      <c r="D165">
        <v>1.3121</v>
      </c>
      <c r="E165">
        <v>1.3567</v>
      </c>
      <c r="F165">
        <v>8429280.9800000004</v>
      </c>
      <c r="G165">
        <v>1.3567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0.51186440677966161</v>
      </c>
      <c r="Q165">
        <f t="shared" ref="Q165" si="801">F165*P165</f>
        <v>4314648.9084067848</v>
      </c>
      <c r="R165">
        <f t="shared" ref="R165" si="802">R166+Q165</f>
        <v>-77856760.936962113</v>
      </c>
      <c r="S165">
        <f t="shared" ref="S165" si="803">R165/100000</f>
        <v>-778.5676093696211</v>
      </c>
      <c r="T165">
        <f t="shared" ref="T165" si="804">S165/1000</f>
        <v>-0.77856760936962111</v>
      </c>
    </row>
    <row r="166" spans="1:20" x14ac:dyDescent="0.25">
      <c r="A166" s="5">
        <v>44427</v>
      </c>
      <c r="B166">
        <v>1.2861</v>
      </c>
      <c r="C166">
        <v>1.3292999999999999</v>
      </c>
      <c r="D166">
        <v>1.27</v>
      </c>
      <c r="E166">
        <v>1.3254999999999999</v>
      </c>
      <c r="F166">
        <v>8735158.8499999996</v>
      </c>
      <c r="G166">
        <v>1.3254999999999999</v>
      </c>
      <c r="L166" t="s">
        <v>7</v>
      </c>
      <c r="M166" t="s">
        <v>7</v>
      </c>
      <c r="N166" t="s">
        <v>8</v>
      </c>
      <c r="P166">
        <f t="shared" ref="P166" si="805">IF(C166=D166,0,((E166-D166)-(C166-E166))/(C166-D166))</f>
        <v>0.87183811129848121</v>
      </c>
      <c r="Q166">
        <f t="shared" ref="Q166" si="806">F166*P166</f>
        <v>7615644.393676213</v>
      </c>
      <c r="R166">
        <f t="shared" ref="R166" si="807">R167+Q166</f>
        <v>-82171409.845368892</v>
      </c>
      <c r="S166">
        <f t="shared" ref="S166" si="808">R166/100000</f>
        <v>-821.71409845368896</v>
      </c>
      <c r="T166">
        <f t="shared" ref="T166" si="809">S166/1000</f>
        <v>-0.82171409845368892</v>
      </c>
    </row>
    <row r="167" spans="1:20" x14ac:dyDescent="0.25">
      <c r="A167" s="5">
        <v>44426</v>
      </c>
      <c r="B167">
        <v>1.3561000000000001</v>
      </c>
      <c r="C167">
        <v>1.3935999999999999</v>
      </c>
      <c r="D167">
        <v>1.2662</v>
      </c>
      <c r="E167">
        <v>1.2849999999999999</v>
      </c>
      <c r="F167">
        <v>10450485.59</v>
      </c>
      <c r="G167">
        <v>1.2849999999999999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-0.70486656200942022</v>
      </c>
      <c r="Q167">
        <f t="shared" ref="Q167" si="811">F167*P167</f>
        <v>-7366197.8491522875</v>
      </c>
      <c r="R167">
        <f t="shared" ref="R167" si="812">R168+Q167</f>
        <v>-89787054.239045098</v>
      </c>
      <c r="S167">
        <f t="shared" ref="S167" si="813">R167/100000</f>
        <v>-897.87054239045096</v>
      </c>
      <c r="T167">
        <f t="shared" ref="T167" si="814">S167/1000</f>
        <v>-0.89787054239045094</v>
      </c>
    </row>
    <row r="168" spans="1:20" x14ac:dyDescent="0.25">
      <c r="A168" s="5">
        <v>44425</v>
      </c>
      <c r="B168">
        <v>1.4422999999999999</v>
      </c>
      <c r="C168">
        <v>1.4695</v>
      </c>
      <c r="D168">
        <v>1.35</v>
      </c>
      <c r="E168">
        <v>1.355</v>
      </c>
      <c r="F168">
        <v>10744670.880000001</v>
      </c>
      <c r="G168">
        <v>1.355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-0.91631799163180094</v>
      </c>
      <c r="Q168">
        <f t="shared" ref="Q168" si="816">F168*P168</f>
        <v>-9845535.2415062953</v>
      </c>
      <c r="R168">
        <f t="shared" ref="R168" si="817">R169+Q168</f>
        <v>-82420856.389892817</v>
      </c>
      <c r="S168">
        <f t="shared" ref="S168" si="818">R168/100000</f>
        <v>-824.20856389892822</v>
      </c>
      <c r="T168">
        <f t="shared" ref="T168" si="819">S168/1000</f>
        <v>-0.82420856389892827</v>
      </c>
    </row>
    <row r="169" spans="1:20" x14ac:dyDescent="0.25">
      <c r="A169" s="5">
        <v>44424</v>
      </c>
      <c r="B169">
        <v>1.3817999999999999</v>
      </c>
      <c r="C169">
        <v>1.4978</v>
      </c>
      <c r="D169">
        <v>1.3544</v>
      </c>
      <c r="E169">
        <v>1.4454</v>
      </c>
      <c r="F169">
        <v>10825541.33</v>
      </c>
      <c r="G169">
        <v>1.4454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0.26917712691771251</v>
      </c>
      <c r="Q169">
        <f t="shared" ref="Q169" si="821">F169*P169</f>
        <v>2913988.1125383521</v>
      </c>
      <c r="R169">
        <f t="shared" ref="R169" si="822">R170+Q169</f>
        <v>-72575321.148386523</v>
      </c>
      <c r="S169">
        <f t="shared" ref="S169" si="823">R169/100000</f>
        <v>-725.75321148386524</v>
      </c>
      <c r="T169">
        <f t="shared" ref="T169" si="824">S169/1000</f>
        <v>-0.72575321148386529</v>
      </c>
    </row>
    <row r="170" spans="1:20" x14ac:dyDescent="0.25">
      <c r="A170" s="5">
        <v>44423</v>
      </c>
      <c r="B170">
        <v>1.4144000000000001</v>
      </c>
      <c r="C170">
        <v>1.4365000000000001</v>
      </c>
      <c r="D170">
        <v>1.3303</v>
      </c>
      <c r="E170">
        <v>1.3817999999999999</v>
      </c>
      <c r="F170">
        <v>7760965.2199999997</v>
      </c>
      <c r="G170">
        <v>1.3817999999999999</v>
      </c>
      <c r="L170" t="s">
        <v>7</v>
      </c>
      <c r="M170" t="s">
        <v>8</v>
      </c>
      <c r="N170" t="s">
        <v>7</v>
      </c>
      <c r="P170">
        <f t="shared" ref="P170" si="825">IF(C170=D170,0,((E170-D170)-(C170-E170))/(C170-D170))</f>
        <v>-3.0131826741999167E-2</v>
      </c>
      <c r="Q170">
        <f t="shared" ref="Q170" si="826">F170*P170</f>
        <v>-233852.05935972143</v>
      </c>
      <c r="R170">
        <f t="shared" ref="R170" si="827">R171+Q170</f>
        <v>-75489309.260924876</v>
      </c>
      <c r="S170">
        <f t="shared" ref="S170" si="828">R170/100000</f>
        <v>-754.89309260924881</v>
      </c>
      <c r="T170">
        <f t="shared" ref="T170" si="829">S170/1000</f>
        <v>-0.75489309260924886</v>
      </c>
    </row>
    <row r="171" spans="1:20" x14ac:dyDescent="0.25">
      <c r="A171" s="5">
        <v>44422</v>
      </c>
      <c r="B171">
        <v>1.429</v>
      </c>
      <c r="C171">
        <v>1.44</v>
      </c>
      <c r="D171">
        <v>1.3704000000000001</v>
      </c>
      <c r="E171">
        <v>1.4146000000000001</v>
      </c>
      <c r="F171">
        <v>7062061.0899999999</v>
      </c>
      <c r="G171">
        <v>1.4146000000000001</v>
      </c>
      <c r="L171" t="s">
        <v>8</v>
      </c>
      <c r="M171" t="s">
        <v>8</v>
      </c>
      <c r="N171" t="s">
        <v>7</v>
      </c>
      <c r="P171">
        <f t="shared" ref="P171" si="830">IF(C171=D171,0,((E171-D171)-(C171-E171))/(C171-D171))</f>
        <v>0.27011494252873824</v>
      </c>
      <c r="Q171">
        <f t="shared" ref="Q171" si="831">F171*P171</f>
        <v>1907568.2254597885</v>
      </c>
      <c r="R171">
        <f t="shared" ref="R171" si="832">R172+Q171</f>
        <v>-75255457.201565161</v>
      </c>
      <c r="S171">
        <f t="shared" ref="S171" si="833">R171/100000</f>
        <v>-752.55457201565162</v>
      </c>
      <c r="T171">
        <f t="shared" ref="T171" si="834">S171/1000</f>
        <v>-0.75255457201565157</v>
      </c>
    </row>
    <row r="172" spans="1:20" x14ac:dyDescent="0.25">
      <c r="A172" s="5">
        <v>44421</v>
      </c>
      <c r="B172">
        <v>1.3503000000000001</v>
      </c>
      <c r="C172">
        <v>1.4551000000000001</v>
      </c>
      <c r="D172">
        <v>1.3478000000000001</v>
      </c>
      <c r="E172">
        <v>1.4292</v>
      </c>
      <c r="F172">
        <v>8756592.1799999997</v>
      </c>
      <c r="G172">
        <v>1.4292</v>
      </c>
      <c r="L172" t="s">
        <v>8</v>
      </c>
      <c r="M172" t="s">
        <v>8</v>
      </c>
      <c r="N172" t="s">
        <v>7</v>
      </c>
      <c r="P172">
        <f t="shared" ref="P172" si="835">IF(C172=D172,0,((E172-D172)-(C172-E172))/(C172-D172))</f>
        <v>0.51724137931034397</v>
      </c>
      <c r="Q172">
        <f t="shared" ref="Q172" si="836">F172*P172</f>
        <v>4529271.8172413716</v>
      </c>
      <c r="R172">
        <f t="shared" ref="R172" si="837">R173+Q172</f>
        <v>-77163025.427024946</v>
      </c>
      <c r="S172">
        <f t="shared" ref="S172" si="838">R172/100000</f>
        <v>-771.63025427024945</v>
      </c>
      <c r="T172">
        <f t="shared" ref="T172" si="839">S172/1000</f>
        <v>-0.77163025427024945</v>
      </c>
    </row>
    <row r="173" spans="1:20" x14ac:dyDescent="0.25">
      <c r="A173" s="5">
        <v>44420</v>
      </c>
      <c r="B173">
        <v>1.3748</v>
      </c>
      <c r="C173">
        <v>1.4138999999999999</v>
      </c>
      <c r="D173">
        <v>1.3111999999999999</v>
      </c>
      <c r="E173">
        <v>1.3496999999999999</v>
      </c>
      <c r="F173">
        <v>8423357.7200000007</v>
      </c>
      <c r="G173">
        <v>1.3496999999999999</v>
      </c>
      <c r="L173" t="s">
        <v>7</v>
      </c>
      <c r="M173" t="s">
        <v>8</v>
      </c>
      <c r="N173" t="s">
        <v>7</v>
      </c>
      <c r="P173">
        <f t="shared" ref="P173" si="840">IF(C173=D173,0,((E173-D173)-(C173-E173))/(C173-D173))</f>
        <v>-0.25024342745861783</v>
      </c>
      <c r="Q173">
        <f t="shared" ref="Q173" si="841">F173*P173</f>
        <v>-2107889.9065628084</v>
      </c>
      <c r="R173">
        <f t="shared" ref="R173" si="842">R174+Q173</f>
        <v>-81692297.244266316</v>
      </c>
      <c r="S173">
        <f t="shared" ref="S173" si="843">R173/100000</f>
        <v>-816.92297244266319</v>
      </c>
      <c r="T173">
        <f t="shared" ref="T173" si="844">S173/1000</f>
        <v>-0.81692297244266321</v>
      </c>
    </row>
    <row r="174" spans="1:20" x14ac:dyDescent="0.25">
      <c r="A174" s="5">
        <v>44419</v>
      </c>
      <c r="B174">
        <v>1.2927999999999999</v>
      </c>
      <c r="C174">
        <v>1.4416</v>
      </c>
      <c r="D174">
        <v>1.2833000000000001</v>
      </c>
      <c r="E174">
        <v>1.375</v>
      </c>
      <c r="F174">
        <v>11326239.140000001</v>
      </c>
      <c r="G174">
        <v>1.375</v>
      </c>
      <c r="L174" t="s">
        <v>8</v>
      </c>
      <c r="M174" t="s">
        <v>8</v>
      </c>
      <c r="N174" t="s">
        <v>7</v>
      </c>
      <c r="P174">
        <f t="shared" ref="P174" si="845">IF(C174=D174,0,((E174-D174)-(C174-E174))/(C174-D174))</f>
        <v>0.15855969677826859</v>
      </c>
      <c r="Q174">
        <f t="shared" ref="Q174" si="846">F174*P174</f>
        <v>1795885.0436765577</v>
      </c>
      <c r="R174">
        <f t="shared" ref="R174" si="847">R175+Q174</f>
        <v>-79584407.337703511</v>
      </c>
      <c r="S174">
        <f t="shared" ref="S174" si="848">R174/100000</f>
        <v>-795.8440733770351</v>
      </c>
      <c r="T174">
        <f t="shared" ref="T174" si="849">S174/1000</f>
        <v>-0.79584407337703511</v>
      </c>
    </row>
    <row r="175" spans="1:20" x14ac:dyDescent="0.25">
      <c r="A175" s="5">
        <v>44418</v>
      </c>
      <c r="B175">
        <v>1.3422000000000001</v>
      </c>
      <c r="C175">
        <v>1.3532</v>
      </c>
      <c r="D175">
        <v>1.2724</v>
      </c>
      <c r="E175">
        <v>1.2925</v>
      </c>
      <c r="F175">
        <v>7462326.7000000002</v>
      </c>
      <c r="G175">
        <v>1.2925</v>
      </c>
      <c r="L175" t="s">
        <v>8</v>
      </c>
      <c r="M175" t="s">
        <v>8</v>
      </c>
      <c r="N175" t="s">
        <v>7</v>
      </c>
      <c r="P175">
        <f t="shared" ref="P175" si="850">IF(C175=D175,0,((E175-D175)-(C175-E175))/(C175-D175))</f>
        <v>-0.50247524752475226</v>
      </c>
      <c r="Q175">
        <f t="shared" ref="Q175" si="851">F175*P175</f>
        <v>-3749634.455693068</v>
      </c>
      <c r="R175">
        <f t="shared" ref="R175" si="852">R176+Q175</f>
        <v>-81380292.381380066</v>
      </c>
      <c r="S175">
        <f t="shared" ref="S175" si="853">R175/100000</f>
        <v>-813.8029238138007</v>
      </c>
      <c r="T175">
        <f t="shared" ref="T175" si="854">S175/1000</f>
        <v>-0.8138029238138007</v>
      </c>
    </row>
    <row r="176" spans="1:20" x14ac:dyDescent="0.25">
      <c r="A176" s="5">
        <v>44417</v>
      </c>
      <c r="B176">
        <v>1.29</v>
      </c>
      <c r="C176">
        <v>1.3689</v>
      </c>
      <c r="D176">
        <v>1.2354000000000001</v>
      </c>
      <c r="E176">
        <v>1.3426</v>
      </c>
      <c r="F176">
        <v>8600444.8599999994</v>
      </c>
      <c r="G176">
        <v>1.3426</v>
      </c>
      <c r="L176" t="s">
        <v>7</v>
      </c>
      <c r="M176" t="s">
        <v>8</v>
      </c>
      <c r="N176" t="s">
        <v>7</v>
      </c>
      <c r="P176">
        <f t="shared" ref="P176" si="855">IF(C176=D176,0,((E176-D176)-(C176-E176))/(C176-D176))</f>
        <v>0.60599250936329585</v>
      </c>
      <c r="Q176">
        <f t="shared" ref="Q176" si="856">F176*P176</f>
        <v>5211805.162352059</v>
      </c>
      <c r="R176">
        <f t="shared" ref="R176" si="857">R177+Q176</f>
        <v>-77630657.925687</v>
      </c>
      <c r="S176">
        <f t="shared" ref="S176" si="858">R176/100000</f>
        <v>-776.30657925687001</v>
      </c>
      <c r="T176">
        <f t="shared" ref="T176" si="859">S176/1000</f>
        <v>-0.77630657925686997</v>
      </c>
    </row>
    <row r="177" spans="1:20" x14ac:dyDescent="0.25">
      <c r="A177" s="5">
        <v>44416</v>
      </c>
      <c r="B177">
        <v>1.3718999999999999</v>
      </c>
      <c r="C177">
        <v>1.3768</v>
      </c>
      <c r="D177">
        <v>1.2616000000000001</v>
      </c>
      <c r="E177">
        <v>1.29</v>
      </c>
      <c r="F177">
        <v>7667061.8700000001</v>
      </c>
      <c r="G177">
        <v>1.29</v>
      </c>
      <c r="L177" t="s">
        <v>7</v>
      </c>
      <c r="M177" t="s">
        <v>8</v>
      </c>
      <c r="N177" t="s">
        <v>7</v>
      </c>
      <c r="P177">
        <f t="shared" ref="P177" si="860">IF(C177=D177,0,((E177-D177)-(C177-E177))/(C177-D177))</f>
        <v>-0.50694444444444464</v>
      </c>
      <c r="Q177">
        <f t="shared" ref="Q177" si="861">F177*P177</f>
        <v>-3886774.4202083349</v>
      </c>
      <c r="R177">
        <f t="shared" ref="R177" si="862">R178+Q177</f>
        <v>-82842463.088039055</v>
      </c>
      <c r="S177">
        <f t="shared" ref="S177" si="863">R177/100000</f>
        <v>-828.42463088039051</v>
      </c>
      <c r="T177">
        <f t="shared" ref="T177" si="864">S177/1000</f>
        <v>-0.82842463088039053</v>
      </c>
    </row>
    <row r="178" spans="1:20" x14ac:dyDescent="0.25">
      <c r="A178" s="5">
        <v>44415</v>
      </c>
      <c r="B178">
        <v>1.2733000000000001</v>
      </c>
      <c r="C178">
        <v>1.4038999999999999</v>
      </c>
      <c r="D178">
        <v>1.2617</v>
      </c>
      <c r="E178">
        <v>1.3738999999999999</v>
      </c>
      <c r="F178">
        <v>13446784.560000001</v>
      </c>
      <c r="G178">
        <v>1.3738999999999999</v>
      </c>
      <c r="L178" t="s">
        <v>8</v>
      </c>
      <c r="M178" t="s">
        <v>8</v>
      </c>
      <c r="N178" t="s">
        <v>7</v>
      </c>
      <c r="P178">
        <f t="shared" ref="P178" si="865">IF(C178=D178,0,((E178-D178)-(C178-E178))/(C178-D178))</f>
        <v>0.57805907172995707</v>
      </c>
      <c r="Q178">
        <f t="shared" ref="Q178" si="866">F178*P178</f>
        <v>7773035.8005063199</v>
      </c>
      <c r="R178">
        <f t="shared" ref="R178" si="867">R179+Q178</f>
        <v>-78955688.667830721</v>
      </c>
      <c r="S178">
        <f t="shared" ref="S178" si="868">R178/100000</f>
        <v>-789.55688667830725</v>
      </c>
      <c r="T178">
        <f t="shared" ref="T178" si="869">S178/1000</f>
        <v>-0.78955688667830726</v>
      </c>
    </row>
    <row r="179" spans="1:20" x14ac:dyDescent="0.25">
      <c r="A179" s="5">
        <v>44414</v>
      </c>
      <c r="B179">
        <v>1.1755</v>
      </c>
      <c r="C179">
        <v>1.335</v>
      </c>
      <c r="D179">
        <v>1.1596</v>
      </c>
      <c r="E179">
        <v>1.2733000000000001</v>
      </c>
      <c r="F179">
        <v>12775341.34</v>
      </c>
      <c r="G179">
        <v>1.2733000000000001</v>
      </c>
      <c r="L179" t="s">
        <v>8</v>
      </c>
      <c r="M179" t="s">
        <v>8</v>
      </c>
      <c r="N179" t="s">
        <v>7</v>
      </c>
      <c r="P179">
        <f t="shared" ref="P179" si="870">IF(C179=D179,0,((E179-D179)-(C179-E179))/(C179-D179))</f>
        <v>0.29646522234891831</v>
      </c>
      <c r="Q179">
        <f t="shared" ref="Q179" si="871">F179*P179</f>
        <v>3787444.4109464278</v>
      </c>
      <c r="R179">
        <f t="shared" ref="R179" si="872">R180+Q179</f>
        <v>-86728724.468337044</v>
      </c>
      <c r="S179">
        <f t="shared" ref="S179" si="873">R179/100000</f>
        <v>-867.28724468337043</v>
      </c>
      <c r="T179">
        <f t="shared" ref="T179" si="874">S179/1000</f>
        <v>-0.86728724468337048</v>
      </c>
    </row>
    <row r="180" spans="1:20" x14ac:dyDescent="0.25">
      <c r="A180" s="5">
        <v>44413</v>
      </c>
      <c r="B180">
        <v>1.1858</v>
      </c>
      <c r="C180">
        <v>1.1899</v>
      </c>
      <c r="D180">
        <v>1.1294999999999999</v>
      </c>
      <c r="E180">
        <v>1.1756</v>
      </c>
      <c r="F180">
        <v>7128886.2000000002</v>
      </c>
      <c r="G180">
        <v>1.1756</v>
      </c>
      <c r="L180" t="s">
        <v>8</v>
      </c>
      <c r="M180" t="s">
        <v>7</v>
      </c>
      <c r="N180" t="s">
        <v>7</v>
      </c>
      <c r="P180">
        <f t="shared" ref="P180" si="875">IF(C180=D180,0,((E180-D180)-(C180-E180))/(C180-D180))</f>
        <v>0.52649006622516636</v>
      </c>
      <c r="Q180">
        <f t="shared" ref="Q180" si="876">F180*P180</f>
        <v>3753287.7675496745</v>
      </c>
      <c r="R180">
        <f t="shared" ref="R180" si="877">R181+Q180</f>
        <v>-90516168.879283473</v>
      </c>
      <c r="S180">
        <f t="shared" ref="S180" si="878">R180/100000</f>
        <v>-905.16168879283475</v>
      </c>
      <c r="T180">
        <f t="shared" ref="T180" si="879">S180/1000</f>
        <v>-0.90516168879283476</v>
      </c>
    </row>
    <row r="181" spans="1:20" x14ac:dyDescent="0.25">
      <c r="A181" s="5">
        <v>44412</v>
      </c>
      <c r="B181">
        <v>1.1232</v>
      </c>
      <c r="C181">
        <v>1.1950000000000001</v>
      </c>
      <c r="D181">
        <v>1.1037999999999999</v>
      </c>
      <c r="E181">
        <v>1.1841999999999999</v>
      </c>
      <c r="F181">
        <v>9056720.2599999998</v>
      </c>
      <c r="G181">
        <v>1.1841999999999999</v>
      </c>
      <c r="L181" t="s">
        <v>8</v>
      </c>
      <c r="M181" t="s">
        <v>7</v>
      </c>
      <c r="N181" t="s">
        <v>7</v>
      </c>
      <c r="P181">
        <f t="shared" ref="P181" si="880">IF(C181=D181,0,((E181-D181)-(C181-E181))/(C181-D181))</f>
        <v>0.76315789473683937</v>
      </c>
      <c r="Q181">
        <f t="shared" ref="Q181" si="881">F181*P181</f>
        <v>6911707.5668420801</v>
      </c>
      <c r="R181">
        <f t="shared" ref="R181" si="882">R182+Q181</f>
        <v>-94269456.646833152</v>
      </c>
      <c r="S181">
        <f t="shared" ref="S181" si="883">R181/100000</f>
        <v>-942.69456646833146</v>
      </c>
      <c r="T181">
        <f t="shared" ref="T181" si="884">S181/1000</f>
        <v>-0.9426945664683315</v>
      </c>
    </row>
    <row r="182" spans="1:20" x14ac:dyDescent="0.25">
      <c r="A182" s="5">
        <v>44411</v>
      </c>
      <c r="B182">
        <v>1.1387</v>
      </c>
      <c r="C182">
        <v>1.1698999999999999</v>
      </c>
      <c r="D182">
        <v>1.1000000000000001</v>
      </c>
      <c r="E182">
        <v>1.1225000000000001</v>
      </c>
      <c r="F182">
        <v>9042569.9900000002</v>
      </c>
      <c r="G182">
        <v>1.1225000000000001</v>
      </c>
      <c r="L182" t="s">
        <v>7</v>
      </c>
      <c r="M182" t="s">
        <v>7</v>
      </c>
      <c r="N182" t="s">
        <v>7</v>
      </c>
      <c r="P182">
        <f t="shared" ref="P182" si="885">IF(C182=D182,0,((E182-D182)-(C182-E182))/(C182-D182))</f>
        <v>-0.35622317596566488</v>
      </c>
      <c r="Q182">
        <f t="shared" ref="Q182" si="886">F182*P182</f>
        <v>-3221173.0007296107</v>
      </c>
      <c r="R182">
        <f t="shared" ref="R182" si="887">R183+Q182</f>
        <v>-101181164.21367523</v>
      </c>
      <c r="S182">
        <f t="shared" ref="S182" si="888">R182/100000</f>
        <v>-1011.8116421367523</v>
      </c>
      <c r="T182">
        <f t="shared" ref="T182" si="889">S182/1000</f>
        <v>-1.0118116421367522</v>
      </c>
    </row>
    <row r="183" spans="1:20" x14ac:dyDescent="0.25">
      <c r="A183" s="5">
        <v>44410</v>
      </c>
      <c r="B183">
        <v>1.0972</v>
      </c>
      <c r="C183">
        <v>1.1999</v>
      </c>
      <c r="D183">
        <v>1.089</v>
      </c>
      <c r="E183">
        <v>1.1386000000000001</v>
      </c>
      <c r="F183">
        <v>11891820.460000001</v>
      </c>
      <c r="G183">
        <v>1.1386000000000001</v>
      </c>
      <c r="L183" t="s">
        <v>8</v>
      </c>
      <c r="M183" t="s">
        <v>7</v>
      </c>
      <c r="N183" t="s">
        <v>7</v>
      </c>
      <c r="P183">
        <f t="shared" ref="P183" si="890">IF(C183=D183,0,((E183-D183)-(C183-E183))/(C183-D183))</f>
        <v>-0.10550045085662599</v>
      </c>
      <c r="Q183">
        <f t="shared" ref="Q183" si="891">F183*P183</f>
        <v>-1254592.4200360496</v>
      </c>
      <c r="R183">
        <f t="shared" ref="R183" si="892">R184+Q183</f>
        <v>-97959991.212945625</v>
      </c>
      <c r="S183">
        <f t="shared" ref="S183" si="893">R183/100000</f>
        <v>-979.59991212945624</v>
      </c>
      <c r="T183">
        <f t="shared" ref="T183" si="894">S183/1000</f>
        <v>-0.9795999121294563</v>
      </c>
    </row>
    <row r="184" spans="1:20" x14ac:dyDescent="0.25">
      <c r="A184" s="5">
        <v>44409</v>
      </c>
      <c r="B184">
        <v>1.1465000000000001</v>
      </c>
      <c r="C184">
        <v>1.1657</v>
      </c>
      <c r="D184">
        <v>1.0928</v>
      </c>
      <c r="E184">
        <v>1.0971</v>
      </c>
      <c r="F184">
        <v>9056121.4199999999</v>
      </c>
      <c r="G184">
        <v>1.0971</v>
      </c>
      <c r="L184" t="s">
        <v>7</v>
      </c>
      <c r="M184" t="s">
        <v>7</v>
      </c>
      <c r="N184" t="s">
        <v>7</v>
      </c>
      <c r="P184">
        <f t="shared" ref="P184" si="895">IF(C184=D184,0,((E184-D184)-(C184-E184))/(C184-D184))</f>
        <v>-0.88203017832647534</v>
      </c>
      <c r="Q184">
        <f t="shared" ref="Q184" si="896">F184*P184</f>
        <v>-7987772.3910288131</v>
      </c>
      <c r="R184">
        <f t="shared" ref="R184" si="897">R185+Q184</f>
        <v>-96705398.792909577</v>
      </c>
      <c r="S184">
        <f t="shared" ref="S184" si="898">R184/100000</f>
        <v>-967.0539879290958</v>
      </c>
      <c r="T184">
        <f t="shared" ref="T184" si="899">S184/1000</f>
        <v>-0.9670539879290958</v>
      </c>
    </row>
    <row r="185" spans="1:20" x14ac:dyDescent="0.25">
      <c r="A185" s="5">
        <v>44408</v>
      </c>
      <c r="B185">
        <v>1.1119000000000001</v>
      </c>
      <c r="C185">
        <v>1.2344999999999999</v>
      </c>
      <c r="D185">
        <v>1.0884</v>
      </c>
      <c r="E185">
        <v>1.1452</v>
      </c>
      <c r="F185">
        <v>11512863.51</v>
      </c>
      <c r="G185">
        <v>1.1452</v>
      </c>
      <c r="L185" t="s">
        <v>8</v>
      </c>
      <c r="M185" t="s">
        <v>7</v>
      </c>
      <c r="N185" t="s">
        <v>7</v>
      </c>
      <c r="P185">
        <f t="shared" ref="P185" si="900">IF(C185=D185,0,((E185-D185)-(C185-E185))/(C185-D185))</f>
        <v>-0.22245037645448321</v>
      </c>
      <c r="Q185">
        <f t="shared" ref="Q185" si="901">F185*P185</f>
        <v>-2561040.8218685826</v>
      </c>
      <c r="R185">
        <f t="shared" ref="R185" si="902">R186+Q185</f>
        <v>-88717626.401880771</v>
      </c>
      <c r="S185">
        <f t="shared" ref="S185" si="903">R185/100000</f>
        <v>-887.17626401880773</v>
      </c>
      <c r="T185">
        <f t="shared" ref="T185" si="904">S185/1000</f>
        <v>-0.88717626401880778</v>
      </c>
    </row>
    <row r="186" spans="1:20" x14ac:dyDescent="0.25">
      <c r="A186" s="5">
        <v>44407</v>
      </c>
      <c r="B186">
        <v>1.1093</v>
      </c>
      <c r="C186">
        <v>1.1240000000000001</v>
      </c>
      <c r="D186">
        <v>1.0541</v>
      </c>
      <c r="E186">
        <v>1.1122000000000001</v>
      </c>
      <c r="F186">
        <v>10749567.810000001</v>
      </c>
      <c r="G186">
        <v>1.1122000000000001</v>
      </c>
      <c r="L186" t="s">
        <v>7</v>
      </c>
      <c r="M186" t="s">
        <v>7</v>
      </c>
      <c r="N186" t="s">
        <v>7</v>
      </c>
      <c r="P186">
        <f t="shared" ref="P186" si="905">IF(C186=D186,0,((E186-D186)-(C186-E186))/(C186-D186))</f>
        <v>0.66237482117310387</v>
      </c>
      <c r="Q186">
        <f t="shared" ref="Q186" si="906">F186*P186</f>
        <v>7120243.0558369039</v>
      </c>
      <c r="R186">
        <f t="shared" ref="R186" si="907">R187+Q186</f>
        <v>-86156585.580012187</v>
      </c>
      <c r="S186">
        <f t="shared" ref="S186" si="908">R186/100000</f>
        <v>-861.56585580012188</v>
      </c>
      <c r="T186">
        <f t="shared" ref="T186" si="909">S186/1000</f>
        <v>-0.8615658558001219</v>
      </c>
    </row>
    <row r="187" spans="1:20" x14ac:dyDescent="0.25">
      <c r="A187" s="5">
        <v>44406</v>
      </c>
      <c r="B187">
        <v>1.1599999999999999</v>
      </c>
      <c r="C187">
        <v>1.1637999999999999</v>
      </c>
      <c r="D187">
        <v>1.0888</v>
      </c>
      <c r="E187">
        <v>1.1093</v>
      </c>
      <c r="F187">
        <v>7824107.4900000002</v>
      </c>
      <c r="G187">
        <v>1.1093</v>
      </c>
      <c r="L187" t="s">
        <v>7</v>
      </c>
      <c r="M187" t="s">
        <v>7</v>
      </c>
      <c r="N187" t="s">
        <v>7</v>
      </c>
      <c r="P187">
        <f t="shared" ref="P187" si="910">IF(C187=D187,0,((E187-D187)-(C187-E187))/(C187-D187))</f>
        <v>-0.45333333333333403</v>
      </c>
      <c r="Q187">
        <f t="shared" ref="Q187" si="911">F187*P187</f>
        <v>-3546928.7288000057</v>
      </c>
      <c r="R187">
        <f t="shared" ref="R187" si="912">R188+Q187</f>
        <v>-93276828.635849088</v>
      </c>
      <c r="S187">
        <f t="shared" ref="S187" si="913">R187/100000</f>
        <v>-932.76828635849085</v>
      </c>
      <c r="T187">
        <f t="shared" ref="T187" si="914">S187/1000</f>
        <v>-0.93276828635849085</v>
      </c>
    </row>
    <row r="188" spans="1:20" x14ac:dyDescent="0.25">
      <c r="A188" s="5">
        <v>44405</v>
      </c>
      <c r="B188">
        <v>1.1902999999999999</v>
      </c>
      <c r="C188">
        <v>1.1958</v>
      </c>
      <c r="D188">
        <v>1.1466000000000001</v>
      </c>
      <c r="E188">
        <v>1.1592</v>
      </c>
      <c r="F188">
        <v>7140003.1200000001</v>
      </c>
      <c r="G188">
        <v>1.1592</v>
      </c>
      <c r="L188" t="s">
        <v>7</v>
      </c>
      <c r="M188" t="s">
        <v>8</v>
      </c>
      <c r="N188" t="s">
        <v>7</v>
      </c>
      <c r="P188">
        <f t="shared" ref="P188" si="915">IF(C188=D188,0,((E188-D188)-(C188-E188))/(C188-D188))</f>
        <v>-0.48780487804878181</v>
      </c>
      <c r="Q188">
        <f t="shared" ref="Q188" si="916">F188*P188</f>
        <v>-3482928.3512195218</v>
      </c>
      <c r="R188">
        <f t="shared" ref="R188" si="917">R189+Q188</f>
        <v>-89729899.90704909</v>
      </c>
      <c r="S188">
        <f t="shared" ref="S188" si="918">R188/100000</f>
        <v>-897.29899907049094</v>
      </c>
      <c r="T188">
        <f t="shared" ref="T188" si="919">S188/1000</f>
        <v>-0.89729899907049093</v>
      </c>
    </row>
    <row r="189" spans="1:20" x14ac:dyDescent="0.25">
      <c r="A189" s="5">
        <v>44404</v>
      </c>
      <c r="B189">
        <v>1.1833</v>
      </c>
      <c r="C189">
        <v>1.2218</v>
      </c>
      <c r="D189">
        <v>1.1499999999999999</v>
      </c>
      <c r="E189">
        <v>1.1934</v>
      </c>
      <c r="F189">
        <v>8819485.2200000007</v>
      </c>
      <c r="G189">
        <v>1.1934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0.20891364902507112</v>
      </c>
      <c r="Q189">
        <f t="shared" ref="Q189" si="921">F189*P189</f>
        <v>1842510.8398328824</v>
      </c>
      <c r="R189">
        <f t="shared" ref="R189" si="922">R190+Q189</f>
        <v>-86246971.55582957</v>
      </c>
      <c r="S189">
        <f t="shared" ref="S189" si="923">R189/100000</f>
        <v>-862.46971555829566</v>
      </c>
      <c r="T189">
        <f t="shared" ref="T189" si="924">S189/1000</f>
        <v>-0.86246971555829566</v>
      </c>
    </row>
    <row r="190" spans="1:20" x14ac:dyDescent="0.25">
      <c r="A190" s="5">
        <v>44403</v>
      </c>
      <c r="B190">
        <v>1.1996</v>
      </c>
      <c r="C190">
        <v>1.2786</v>
      </c>
      <c r="D190">
        <v>1.179</v>
      </c>
      <c r="E190">
        <v>1.1833</v>
      </c>
      <c r="F190">
        <v>10245631.58</v>
      </c>
      <c r="G190">
        <v>1.1833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-0.91365461847389606</v>
      </c>
      <c r="Q190">
        <f t="shared" ref="Q190" si="926">F190*P190</f>
        <v>-9360968.6122490019</v>
      </c>
      <c r="R190">
        <f t="shared" ref="R190" si="927">R191+Q190</f>
        <v>-88089482.395662457</v>
      </c>
      <c r="S190">
        <f t="shared" ref="S190" si="928">R190/100000</f>
        <v>-880.89482395662458</v>
      </c>
      <c r="T190">
        <f t="shared" ref="T190" si="929">S190/1000</f>
        <v>-0.88089482395662455</v>
      </c>
    </row>
    <row r="191" spans="1:20" x14ac:dyDescent="0.25">
      <c r="A191" s="5">
        <v>44402</v>
      </c>
      <c r="B191">
        <v>1.2511000000000001</v>
      </c>
      <c r="C191">
        <v>1.2511000000000001</v>
      </c>
      <c r="D191">
        <v>1.157</v>
      </c>
      <c r="E191">
        <v>1.1996</v>
      </c>
      <c r="F191">
        <v>7048096.8200000003</v>
      </c>
      <c r="G191">
        <v>1.1996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-9.4580233793837648E-2</v>
      </c>
      <c r="Q191">
        <f t="shared" ref="Q191" si="931">F191*P191</f>
        <v>-666610.64503720368</v>
      </c>
      <c r="R191">
        <f t="shared" ref="R191" si="932">R192+Q191</f>
        <v>-78728513.783413455</v>
      </c>
      <c r="S191">
        <f t="shared" ref="S191" si="933">R191/100000</f>
        <v>-787.2851378341345</v>
      </c>
      <c r="T191">
        <f t="shared" ref="T191:T197" si="934">S191/1000</f>
        <v>-0.78728513783413445</v>
      </c>
    </row>
    <row r="192" spans="1:20" x14ac:dyDescent="0.25">
      <c r="A192" s="5">
        <v>44401</v>
      </c>
      <c r="B192">
        <v>1.1635</v>
      </c>
      <c r="C192">
        <v>1.2864</v>
      </c>
      <c r="D192">
        <v>1.1329</v>
      </c>
      <c r="E192">
        <v>1.2508999999999999</v>
      </c>
      <c r="F192">
        <v>11332615.449999999</v>
      </c>
      <c r="G192">
        <v>1.2508999999999999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0.53745928338762095</v>
      </c>
      <c r="Q192">
        <f t="shared" ref="Q192" si="936">F192*P192</f>
        <v>6090819.3786644815</v>
      </c>
      <c r="R192">
        <f t="shared" ref="R192" si="937">R193+Q192</f>
        <v>-78061903.138376251</v>
      </c>
      <c r="S192">
        <f t="shared" ref="S192" si="938">R192/100000</f>
        <v>-780.61903138376249</v>
      </c>
      <c r="T192">
        <f t="shared" si="934"/>
        <v>-0.78061903138376254</v>
      </c>
    </row>
    <row r="193" spans="1:20" x14ac:dyDescent="0.25">
      <c r="A193" s="5">
        <v>44400</v>
      </c>
      <c r="B193">
        <v>1.103</v>
      </c>
      <c r="C193">
        <v>1.1742999999999999</v>
      </c>
      <c r="D193">
        <v>1.1000000000000001</v>
      </c>
      <c r="E193">
        <v>1.1634</v>
      </c>
      <c r="F193">
        <v>8184152.3899999997</v>
      </c>
      <c r="G193">
        <v>1.1634</v>
      </c>
      <c r="L193" t="s">
        <v>8</v>
      </c>
      <c r="M193" t="s">
        <v>7</v>
      </c>
      <c r="N193" t="s">
        <v>7</v>
      </c>
      <c r="P193">
        <f t="shared" ref="P193" si="939">IF(C193=D193,0,((E193-D193)-(C193-E193))/(C193-D193))</f>
        <v>0.70659488559892492</v>
      </c>
      <c r="Q193">
        <f t="shared" ref="Q193" si="940">F193*P193</f>
        <v>5782880.2217362178</v>
      </c>
      <c r="R193">
        <f t="shared" ref="R193" si="941">R194+Q193</f>
        <v>-84152722.51704073</v>
      </c>
      <c r="S193">
        <f t="shared" ref="S193" si="942">R193/100000</f>
        <v>-841.52722517040729</v>
      </c>
      <c r="T193">
        <f t="shared" si="934"/>
        <v>-0.84152722517040734</v>
      </c>
    </row>
    <row r="194" spans="1:20" x14ac:dyDescent="0.25">
      <c r="A194" s="5">
        <v>44399</v>
      </c>
      <c r="B194">
        <v>1.1446000000000001</v>
      </c>
      <c r="C194">
        <v>1.1704000000000001</v>
      </c>
      <c r="D194">
        <v>1.1003000000000001</v>
      </c>
      <c r="E194">
        <v>1.1031</v>
      </c>
      <c r="F194">
        <v>8391799.6199999992</v>
      </c>
      <c r="G194">
        <v>1.1031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-0.92011412268188553</v>
      </c>
      <c r="Q194">
        <f t="shared" ref="Q194" si="944">F194*P194</f>
        <v>-7721413.3450784795</v>
      </c>
      <c r="R194">
        <f t="shared" ref="R194" si="945">R195+Q194</f>
        <v>-89935602.738776952</v>
      </c>
      <c r="S194">
        <f t="shared" ref="S194" si="946">R194/100000</f>
        <v>-899.35602738776947</v>
      </c>
      <c r="T194">
        <f t="shared" si="934"/>
        <v>-0.89935602738776943</v>
      </c>
    </row>
    <row r="195" spans="1:20" x14ac:dyDescent="0.25">
      <c r="A195" s="5">
        <v>44398</v>
      </c>
      <c r="B195">
        <v>1.1247</v>
      </c>
      <c r="C195">
        <v>1.2377</v>
      </c>
      <c r="D195">
        <v>1.0506</v>
      </c>
      <c r="E195">
        <v>1.1447000000000001</v>
      </c>
      <c r="F195">
        <v>10367517.07</v>
      </c>
      <c r="G195">
        <v>1.1447000000000001</v>
      </c>
      <c r="L195" t="s">
        <v>7</v>
      </c>
      <c r="M195" t="s">
        <v>7</v>
      </c>
      <c r="N195" t="s">
        <v>7</v>
      </c>
      <c r="P195">
        <f t="shared" ref="P195" si="947">IF(C195=D195,0,((E195-D195)-(C195-E195))/(C195-D195))</f>
        <v>5.8792089791560699E-3</v>
      </c>
      <c r="Q195">
        <f t="shared" ref="Q195" si="948">F195*P195</f>
        <v>60952.799449497834</v>
      </c>
      <c r="R195">
        <f t="shared" ref="R195" si="949">R196+Q195</f>
        <v>-82214189.393698469</v>
      </c>
      <c r="S195">
        <f t="shared" ref="S195" si="950">R195/100000</f>
        <v>-822.14189393698473</v>
      </c>
      <c r="T195">
        <f t="shared" si="934"/>
        <v>-0.82214189393698478</v>
      </c>
    </row>
    <row r="196" spans="1:20" x14ac:dyDescent="0.25">
      <c r="A196" s="5">
        <v>44397</v>
      </c>
      <c r="B196">
        <v>1.3227</v>
      </c>
      <c r="C196">
        <v>1.3312999999999999</v>
      </c>
      <c r="D196">
        <v>1.1071</v>
      </c>
      <c r="E196">
        <v>1.1247</v>
      </c>
      <c r="F196">
        <v>11279656.949999999</v>
      </c>
      <c r="G196">
        <v>1.1247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-0.84299732381801906</v>
      </c>
      <c r="Q196">
        <f t="shared" ref="Q196" si="952">F196*P196</f>
        <v>-9508720.6224353183</v>
      </c>
      <c r="R196">
        <f t="shared" ref="R196" si="953">R197+Q196</f>
        <v>-82275142.193147972</v>
      </c>
      <c r="S196">
        <f t="shared" ref="S196" si="954">R196/100000</f>
        <v>-822.75142193147974</v>
      </c>
      <c r="T196">
        <f t="shared" si="934"/>
        <v>-0.82275142193147976</v>
      </c>
    </row>
    <row r="197" spans="1:20" x14ac:dyDescent="0.25">
      <c r="A197" s="5">
        <v>44396</v>
      </c>
      <c r="B197">
        <v>1.4333</v>
      </c>
      <c r="C197">
        <v>1.617</v>
      </c>
      <c r="D197">
        <v>1.3009999999999999</v>
      </c>
      <c r="E197">
        <v>1.3217000000000001</v>
      </c>
      <c r="F197">
        <v>12771252.109999999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-0.86898734177215087</v>
      </c>
      <c r="Q197">
        <f t="shared" ref="Q197" si="956">F197*P197</f>
        <v>-11098056.422170872</v>
      </c>
      <c r="R197">
        <f t="shared" ref="R197" si="957">R198+Q197</f>
        <v>-72766421.570712656</v>
      </c>
      <c r="S197">
        <f t="shared" ref="S197" si="958">R197/100000</f>
        <v>-727.66421570712657</v>
      </c>
      <c r="T197">
        <f t="shared" si="934"/>
        <v>-0.72766421570712658</v>
      </c>
    </row>
    <row r="198" spans="1:20" x14ac:dyDescent="0.25">
      <c r="A198" s="5">
        <v>44395</v>
      </c>
      <c r="B198">
        <v>1.4728000000000001</v>
      </c>
      <c r="C198">
        <v>1.5126999999999999</v>
      </c>
      <c r="D198">
        <v>1.42</v>
      </c>
      <c r="E198">
        <v>1.4340999999999999</v>
      </c>
      <c r="F198">
        <v>5475470.1699999999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-0.69579288025889963</v>
      </c>
      <c r="Q198">
        <f t="shared" ref="Q198:Q261" si="960">F198*P198</f>
        <v>-3809793.1603559866</v>
      </c>
      <c r="R198">
        <f t="shared" ref="R198:R261" si="961">R199+Q198</f>
        <v>-61668365.148541778</v>
      </c>
      <c r="S198">
        <f t="shared" ref="S198:S261" si="962">R198/100000</f>
        <v>-616.68365148541773</v>
      </c>
      <c r="T198">
        <f t="shared" ref="T198:T261" si="963">S198/1000</f>
        <v>-0.61668365148541771</v>
      </c>
    </row>
    <row r="199" spans="1:20" x14ac:dyDescent="0.25">
      <c r="A199" s="5">
        <v>44394</v>
      </c>
      <c r="B199">
        <v>1.47</v>
      </c>
      <c r="C199">
        <v>1.5149999999999999</v>
      </c>
      <c r="D199">
        <v>1.4189000000000001</v>
      </c>
      <c r="E199">
        <v>1.4730000000000001</v>
      </c>
      <c r="F199">
        <v>7737089.4199999999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0.1259105098855384</v>
      </c>
      <c r="Q199">
        <f t="shared" si="960"/>
        <v>974180.87390220456</v>
      </c>
      <c r="R199">
        <f t="shared" si="961"/>
        <v>-57858571.988185793</v>
      </c>
      <c r="S199">
        <f t="shared" si="962"/>
        <v>-578.58571988185793</v>
      </c>
      <c r="T199">
        <f t="shared" si="963"/>
        <v>-0.57858571988185792</v>
      </c>
    </row>
    <row r="200" spans="1:20" x14ac:dyDescent="0.25">
      <c r="A200" s="5">
        <v>44393</v>
      </c>
      <c r="B200">
        <v>1.4809000000000001</v>
      </c>
      <c r="C200">
        <v>1.5150999999999999</v>
      </c>
      <c r="D200">
        <v>1.4423999999999999</v>
      </c>
      <c r="E200">
        <v>1.47</v>
      </c>
      <c r="F200">
        <v>7302245.54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-0.24071526822558256</v>
      </c>
      <c r="Q200">
        <f t="shared" si="960"/>
        <v>-1757761.993810164</v>
      </c>
      <c r="R200">
        <f t="shared" si="961"/>
        <v>-58832752.862087995</v>
      </c>
      <c r="S200">
        <f t="shared" si="962"/>
        <v>-588.32752862088</v>
      </c>
      <c r="T200">
        <f t="shared" si="963"/>
        <v>-0.58832752862088</v>
      </c>
    </row>
    <row r="201" spans="1:20" x14ac:dyDescent="0.25">
      <c r="A201" s="5">
        <v>44392</v>
      </c>
      <c r="B201">
        <v>1.5388999999999999</v>
      </c>
      <c r="C201">
        <v>1.5648</v>
      </c>
      <c r="D201">
        <v>1.4538</v>
      </c>
      <c r="E201">
        <v>1.4802999999999999</v>
      </c>
      <c r="F201">
        <v>7513468.1600000001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-0.52252252252252307</v>
      </c>
      <c r="Q201">
        <f t="shared" si="960"/>
        <v>-3925956.3358558603</v>
      </c>
      <c r="R201">
        <f t="shared" si="961"/>
        <v>-57074990.868277833</v>
      </c>
      <c r="S201">
        <f t="shared" si="962"/>
        <v>-570.74990868277837</v>
      </c>
      <c r="T201">
        <f t="shared" si="963"/>
        <v>-0.57074990868277842</v>
      </c>
    </row>
    <row r="202" spans="1:20" x14ac:dyDescent="0.25">
      <c r="A202" s="5">
        <v>44391</v>
      </c>
      <c r="B202">
        <v>1.5311999999999999</v>
      </c>
      <c r="C202">
        <v>1.5802</v>
      </c>
      <c r="D202">
        <v>1.4533</v>
      </c>
      <c r="E202">
        <v>1.5389999999999999</v>
      </c>
      <c r="F202">
        <v>8096576.8799999999</v>
      </c>
      <c r="G202">
        <v>0</v>
      </c>
      <c r="L202" t="s">
        <v>8</v>
      </c>
      <c r="M202" t="s">
        <v>7</v>
      </c>
      <c r="N202" t="s">
        <v>7</v>
      </c>
      <c r="P202">
        <f t="shared" si="959"/>
        <v>0.3506698187549232</v>
      </c>
      <c r="Q202">
        <f t="shared" si="960"/>
        <v>2839225.1470449017</v>
      </c>
      <c r="R202">
        <f t="shared" si="961"/>
        <v>-53149034.532421976</v>
      </c>
      <c r="S202">
        <f t="shared" si="962"/>
        <v>-531.49034532421979</v>
      </c>
      <c r="T202">
        <f t="shared" si="963"/>
        <v>-0.53149034532421979</v>
      </c>
    </row>
    <row r="203" spans="1:20" x14ac:dyDescent="0.25">
      <c r="A203" s="5">
        <v>44390</v>
      </c>
      <c r="B203">
        <v>1.518</v>
      </c>
      <c r="C203">
        <v>1.55</v>
      </c>
      <c r="D203">
        <v>1.45</v>
      </c>
      <c r="E203">
        <v>1.5311999999999999</v>
      </c>
      <c r="F203">
        <v>8069765.5700000003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0.62399999999999733</v>
      </c>
      <c r="Q203">
        <f t="shared" si="960"/>
        <v>5035533.715679979</v>
      </c>
      <c r="R203">
        <f t="shared" si="961"/>
        <v>-55988259.679466881</v>
      </c>
      <c r="S203">
        <f t="shared" si="962"/>
        <v>-559.88259679466876</v>
      </c>
      <c r="T203">
        <f t="shared" si="963"/>
        <v>-0.55988259679466879</v>
      </c>
    </row>
    <row r="204" spans="1:20" x14ac:dyDescent="0.25">
      <c r="A204" s="5">
        <v>44389</v>
      </c>
      <c r="B204">
        <v>1.6115999999999999</v>
      </c>
      <c r="C204">
        <v>1.6349</v>
      </c>
      <c r="D204">
        <v>1.49</v>
      </c>
      <c r="E204">
        <v>1.5185</v>
      </c>
      <c r="F204">
        <v>7024428.5300000003</v>
      </c>
      <c r="G204">
        <v>0</v>
      </c>
      <c r="L204" t="s">
        <v>7</v>
      </c>
      <c r="M204" t="s">
        <v>8</v>
      </c>
      <c r="N204" t="s">
        <v>7</v>
      </c>
      <c r="P204">
        <f t="shared" si="959"/>
        <v>-0.60662525879917228</v>
      </c>
      <c r="Q204">
        <f t="shared" si="960"/>
        <v>-4261195.7749275398</v>
      </c>
      <c r="R204">
        <f t="shared" si="961"/>
        <v>-61023793.395146862</v>
      </c>
      <c r="S204">
        <f t="shared" si="962"/>
        <v>-610.23793395146856</v>
      </c>
      <c r="T204">
        <f t="shared" si="963"/>
        <v>-0.61023793395146853</v>
      </c>
    </row>
    <row r="205" spans="1:20" x14ac:dyDescent="0.25">
      <c r="A205" s="5">
        <v>44388</v>
      </c>
      <c r="B205">
        <v>1.6168</v>
      </c>
      <c r="C205">
        <v>1.6383000000000001</v>
      </c>
      <c r="D205">
        <v>1.5931999999999999</v>
      </c>
      <c r="E205">
        <v>1.6113999999999999</v>
      </c>
      <c r="F205">
        <v>5814832.2000000002</v>
      </c>
      <c r="G205">
        <v>0</v>
      </c>
      <c r="L205" t="s">
        <v>7</v>
      </c>
      <c r="M205" t="s">
        <v>8</v>
      </c>
      <c r="N205" t="s">
        <v>7</v>
      </c>
      <c r="P205">
        <f t="shared" si="959"/>
        <v>-0.19290465631929324</v>
      </c>
      <c r="Q205">
        <f t="shared" si="960"/>
        <v>-1121708.2070953599</v>
      </c>
      <c r="R205">
        <f t="shared" si="961"/>
        <v>-56762597.62021932</v>
      </c>
      <c r="S205">
        <f t="shared" si="962"/>
        <v>-567.62597620219321</v>
      </c>
      <c r="T205">
        <f t="shared" si="963"/>
        <v>-0.56762597620219324</v>
      </c>
    </row>
    <row r="206" spans="1:20" x14ac:dyDescent="0.25">
      <c r="A206" s="5">
        <v>44387</v>
      </c>
      <c r="B206">
        <v>1.6757</v>
      </c>
      <c r="C206">
        <v>1.6862999999999999</v>
      </c>
      <c r="D206">
        <v>1.6017999999999999</v>
      </c>
      <c r="E206">
        <v>1.6174999999999999</v>
      </c>
      <c r="F206">
        <v>6936969.9500000002</v>
      </c>
      <c r="G206">
        <v>0</v>
      </c>
      <c r="L206" t="s">
        <v>7</v>
      </c>
      <c r="M206" t="s">
        <v>8</v>
      </c>
      <c r="N206" t="s">
        <v>7</v>
      </c>
      <c r="P206">
        <f t="shared" si="959"/>
        <v>-0.62840236686390427</v>
      </c>
      <c r="Q206">
        <f t="shared" si="960"/>
        <v>-4359208.3354437798</v>
      </c>
      <c r="R206">
        <f t="shared" si="961"/>
        <v>-55640889.413123958</v>
      </c>
      <c r="S206">
        <f t="shared" si="962"/>
        <v>-556.40889413123955</v>
      </c>
      <c r="T206">
        <f t="shared" si="963"/>
        <v>-0.55640889413123951</v>
      </c>
    </row>
    <row r="207" spans="1:20" x14ac:dyDescent="0.25">
      <c r="A207" s="5">
        <v>44386</v>
      </c>
      <c r="B207">
        <v>1.673</v>
      </c>
      <c r="C207">
        <v>1.7081</v>
      </c>
      <c r="D207">
        <v>1.61</v>
      </c>
      <c r="E207">
        <v>1.6757</v>
      </c>
      <c r="F207">
        <v>7433037.79</v>
      </c>
      <c r="G207">
        <v>0</v>
      </c>
      <c r="L207" t="s">
        <v>8</v>
      </c>
      <c r="M207" t="s">
        <v>8</v>
      </c>
      <c r="N207" t="s">
        <v>7</v>
      </c>
      <c r="P207">
        <f t="shared" si="959"/>
        <v>0.33944954128440302</v>
      </c>
      <c r="Q207">
        <f t="shared" si="960"/>
        <v>2523141.268165133</v>
      </c>
      <c r="R207">
        <f t="shared" si="961"/>
        <v>-51281681.077680178</v>
      </c>
      <c r="S207">
        <f t="shared" si="962"/>
        <v>-512.81681077680173</v>
      </c>
      <c r="T207">
        <f t="shared" si="963"/>
        <v>-0.51281681077680175</v>
      </c>
    </row>
    <row r="208" spans="1:20" x14ac:dyDescent="0.25">
      <c r="A208" s="5">
        <v>44385</v>
      </c>
      <c r="B208">
        <v>1.6597999999999999</v>
      </c>
      <c r="C208">
        <v>1.7158</v>
      </c>
      <c r="D208">
        <v>1.6203000000000001</v>
      </c>
      <c r="E208">
        <v>1.6719999999999999</v>
      </c>
      <c r="F208">
        <v>7972991.4400000004</v>
      </c>
      <c r="G208">
        <v>0</v>
      </c>
      <c r="L208" t="s">
        <v>8</v>
      </c>
      <c r="M208" t="s">
        <v>8</v>
      </c>
      <c r="N208" t="s">
        <v>7</v>
      </c>
      <c r="P208">
        <f t="shared" si="959"/>
        <v>8.2722513089003177E-2</v>
      </c>
      <c r="Q208">
        <f t="shared" si="960"/>
        <v>659545.88875391032</v>
      </c>
      <c r="R208">
        <f t="shared" si="961"/>
        <v>-53804822.345845312</v>
      </c>
      <c r="S208">
        <f t="shared" si="962"/>
        <v>-538.04822345845309</v>
      </c>
      <c r="T208">
        <f t="shared" si="963"/>
        <v>-0.53804822345845305</v>
      </c>
    </row>
    <row r="209" spans="1:20" x14ac:dyDescent="0.25">
      <c r="A209" s="5">
        <v>44384</v>
      </c>
      <c r="B209">
        <v>1.6488</v>
      </c>
      <c r="C209">
        <v>1.7130000000000001</v>
      </c>
      <c r="D209">
        <v>1.6417999999999999</v>
      </c>
      <c r="E209">
        <v>1.6634</v>
      </c>
      <c r="F209">
        <v>9284394.0899999999</v>
      </c>
      <c r="G209">
        <v>0</v>
      </c>
      <c r="L209" t="s">
        <v>8</v>
      </c>
      <c r="M209" t="s">
        <v>8</v>
      </c>
      <c r="N209" t="s">
        <v>7</v>
      </c>
      <c r="P209">
        <f t="shared" si="959"/>
        <v>-0.39325842696629165</v>
      </c>
      <c r="Q209">
        <f t="shared" si="960"/>
        <v>-3651166.2151685348</v>
      </c>
      <c r="R209">
        <f t="shared" si="961"/>
        <v>-54464368.234599225</v>
      </c>
      <c r="S209">
        <f t="shared" si="962"/>
        <v>-544.64368234599226</v>
      </c>
      <c r="T209">
        <f t="shared" si="963"/>
        <v>-0.54464368234599225</v>
      </c>
    </row>
    <row r="210" spans="1:20" x14ac:dyDescent="0.25">
      <c r="A210" s="5">
        <v>44383</v>
      </c>
      <c r="B210">
        <v>1.6319999999999999</v>
      </c>
      <c r="C210">
        <v>1.7118</v>
      </c>
      <c r="D210">
        <v>1.62</v>
      </c>
      <c r="E210">
        <v>1.6497999999999999</v>
      </c>
      <c r="F210">
        <v>9513977.7300000004</v>
      </c>
      <c r="G210">
        <v>0</v>
      </c>
      <c r="L210" t="s">
        <v>8</v>
      </c>
      <c r="M210" t="s">
        <v>8</v>
      </c>
      <c r="N210" t="s">
        <v>7</v>
      </c>
      <c r="P210">
        <f t="shared" si="959"/>
        <v>-0.3507625272331184</v>
      </c>
      <c r="Q210">
        <f t="shared" si="960"/>
        <v>-3337146.872614407</v>
      </c>
      <c r="R210">
        <f t="shared" si="961"/>
        <v>-50813202.01943069</v>
      </c>
      <c r="S210">
        <f t="shared" si="962"/>
        <v>-508.1320201943069</v>
      </c>
      <c r="T210">
        <f t="shared" si="963"/>
        <v>-0.50813202019430692</v>
      </c>
    </row>
    <row r="211" spans="1:20" x14ac:dyDescent="0.25">
      <c r="A211" s="5">
        <v>44382</v>
      </c>
      <c r="B211">
        <v>1.6691</v>
      </c>
      <c r="C211">
        <v>1.6888000000000001</v>
      </c>
      <c r="D211">
        <v>1.62</v>
      </c>
      <c r="E211">
        <v>1.6315999999999999</v>
      </c>
      <c r="F211">
        <v>8367203.1100000003</v>
      </c>
      <c r="G211">
        <v>0</v>
      </c>
      <c r="L211" t="s">
        <v>8</v>
      </c>
      <c r="M211" t="s">
        <v>8</v>
      </c>
      <c r="N211" t="s">
        <v>7</v>
      </c>
      <c r="P211">
        <f t="shared" si="959"/>
        <v>-0.66279069767442333</v>
      </c>
      <c r="Q211">
        <f t="shared" si="960"/>
        <v>-5545704.3868605047</v>
      </c>
      <c r="R211">
        <f t="shared" si="961"/>
        <v>-47476055.146816283</v>
      </c>
      <c r="S211">
        <f t="shared" si="962"/>
        <v>-474.76055146816282</v>
      </c>
      <c r="T211">
        <f t="shared" si="963"/>
        <v>-0.47476055146816282</v>
      </c>
    </row>
    <row r="212" spans="1:20" x14ac:dyDescent="0.25">
      <c r="A212" s="5">
        <v>44381</v>
      </c>
      <c r="B212">
        <v>1.6573</v>
      </c>
      <c r="C212">
        <v>1.7179</v>
      </c>
      <c r="D212">
        <v>1.649</v>
      </c>
      <c r="E212">
        <v>1.669</v>
      </c>
      <c r="F212">
        <v>9041075.4700000007</v>
      </c>
      <c r="G212">
        <v>0</v>
      </c>
      <c r="L212" t="s">
        <v>8</v>
      </c>
      <c r="M212" t="s">
        <v>8</v>
      </c>
      <c r="N212" t="s">
        <v>7</v>
      </c>
      <c r="P212">
        <f t="shared" si="959"/>
        <v>-0.41944847605224878</v>
      </c>
      <c r="Q212">
        <f t="shared" si="960"/>
        <v>-3792265.3277648692</v>
      </c>
      <c r="R212">
        <f t="shared" si="961"/>
        <v>-41930350.759955779</v>
      </c>
      <c r="S212">
        <f t="shared" si="962"/>
        <v>-419.3035075995578</v>
      </c>
      <c r="T212">
        <f t="shared" si="963"/>
        <v>-0.41930350759955781</v>
      </c>
    </row>
    <row r="213" spans="1:20" x14ac:dyDescent="0.25">
      <c r="A213" s="5">
        <v>44380</v>
      </c>
      <c r="B213">
        <v>1.6373</v>
      </c>
      <c r="C213">
        <v>1.7028000000000001</v>
      </c>
      <c r="D213">
        <v>1.6234999999999999</v>
      </c>
      <c r="E213">
        <v>1.6589</v>
      </c>
      <c r="F213">
        <v>10195089.810000001</v>
      </c>
      <c r="G213">
        <v>0</v>
      </c>
      <c r="L213" t="s">
        <v>8</v>
      </c>
      <c r="M213" t="s">
        <v>8</v>
      </c>
      <c r="N213" t="s">
        <v>7</v>
      </c>
      <c r="P213">
        <f t="shared" si="959"/>
        <v>-0.10718789407313917</v>
      </c>
      <c r="Q213">
        <f t="shared" si="960"/>
        <v>-1092790.2066204206</v>
      </c>
      <c r="R213">
        <f t="shared" si="961"/>
        <v>-38138085.43219091</v>
      </c>
      <c r="S213">
        <f t="shared" si="962"/>
        <v>-381.38085432190911</v>
      </c>
      <c r="T213">
        <f t="shared" si="963"/>
        <v>-0.3813808543219091</v>
      </c>
    </row>
    <row r="214" spans="1:20" x14ac:dyDescent="0.25">
      <c r="A214" s="5">
        <v>44379</v>
      </c>
      <c r="B214">
        <v>1.6335</v>
      </c>
      <c r="C214">
        <v>1.6845000000000001</v>
      </c>
      <c r="D214">
        <v>1.58</v>
      </c>
      <c r="E214">
        <v>1.6355999999999999</v>
      </c>
      <c r="F214">
        <v>12333720.810000001</v>
      </c>
      <c r="G214">
        <v>0</v>
      </c>
      <c r="L214" t="s">
        <v>8</v>
      </c>
      <c r="M214" t="s">
        <v>8</v>
      </c>
      <c r="N214" t="s">
        <v>7</v>
      </c>
      <c r="P214">
        <f t="shared" si="959"/>
        <v>6.4114832535882335E-2</v>
      </c>
      <c r="Q214">
        <f t="shared" si="960"/>
        <v>790774.4442774771</v>
      </c>
      <c r="R214">
        <f t="shared" si="961"/>
        <v>-37045295.225570492</v>
      </c>
      <c r="S214">
        <f t="shared" si="962"/>
        <v>-370.45295225570493</v>
      </c>
      <c r="T214">
        <f t="shared" si="963"/>
        <v>-0.3704529522557049</v>
      </c>
    </row>
    <row r="215" spans="1:20" x14ac:dyDescent="0.25">
      <c r="A215" s="5">
        <v>44378</v>
      </c>
      <c r="B215">
        <v>1.6536999999999999</v>
      </c>
      <c r="C215">
        <v>1.6725000000000001</v>
      </c>
      <c r="D215">
        <v>1.5671999999999999</v>
      </c>
      <c r="E215">
        <v>1.6354</v>
      </c>
      <c r="F215">
        <v>13452730.85</v>
      </c>
      <c r="G215">
        <v>0</v>
      </c>
      <c r="L215" t="s">
        <v>7</v>
      </c>
      <c r="M215" t="s">
        <v>8</v>
      </c>
      <c r="N215" t="s">
        <v>7</v>
      </c>
      <c r="P215">
        <f t="shared" si="959"/>
        <v>0.29534662867996064</v>
      </c>
      <c r="Q215">
        <f t="shared" si="960"/>
        <v>3973218.7030864013</v>
      </c>
      <c r="R215">
        <f t="shared" si="961"/>
        <v>-37836069.669847973</v>
      </c>
      <c r="S215">
        <f t="shared" si="962"/>
        <v>-378.36069669847973</v>
      </c>
      <c r="T215">
        <f t="shared" si="963"/>
        <v>-0.37836069669847971</v>
      </c>
    </row>
    <row r="216" spans="1:20" x14ac:dyDescent="0.25">
      <c r="A216" s="5">
        <v>44377</v>
      </c>
      <c r="B216">
        <v>1.5869</v>
      </c>
      <c r="C216">
        <v>1.7818000000000001</v>
      </c>
      <c r="D216">
        <v>1.5615000000000001</v>
      </c>
      <c r="E216">
        <v>1.6514</v>
      </c>
      <c r="F216">
        <v>8568646.0800000001</v>
      </c>
      <c r="G216">
        <v>0</v>
      </c>
      <c r="L216" t="s">
        <v>8</v>
      </c>
      <c r="M216" t="s">
        <v>8</v>
      </c>
      <c r="N216" t="s">
        <v>7</v>
      </c>
      <c r="P216">
        <f t="shared" si="959"/>
        <v>-0.18384021788470364</v>
      </c>
      <c r="Q216">
        <f t="shared" si="960"/>
        <v>-1575261.7623241118</v>
      </c>
      <c r="R216">
        <f t="shared" si="961"/>
        <v>-41809288.372934371</v>
      </c>
      <c r="S216">
        <f t="shared" si="962"/>
        <v>-418.09288372934373</v>
      </c>
      <c r="T216">
        <f t="shared" si="963"/>
        <v>-0.41809288372934372</v>
      </c>
    </row>
    <row r="217" spans="1:20" x14ac:dyDescent="0.25">
      <c r="A217" s="5">
        <v>44376</v>
      </c>
      <c r="B217">
        <v>1.5649999999999999</v>
      </c>
      <c r="C217">
        <v>1.6705000000000001</v>
      </c>
      <c r="D217">
        <v>1.5621</v>
      </c>
      <c r="E217">
        <v>1.5869</v>
      </c>
      <c r="F217">
        <v>6543263.2800000003</v>
      </c>
      <c r="G217">
        <v>0</v>
      </c>
      <c r="L217" t="s">
        <v>8</v>
      </c>
      <c r="M217" t="s">
        <v>7</v>
      </c>
      <c r="N217" t="s">
        <v>7</v>
      </c>
      <c r="P217">
        <f t="shared" si="959"/>
        <v>-0.54243542435424497</v>
      </c>
      <c r="Q217">
        <f t="shared" si="960"/>
        <v>-3549297.7939483491</v>
      </c>
      <c r="R217">
        <f t="shared" si="961"/>
        <v>-40234026.610610262</v>
      </c>
      <c r="S217">
        <f t="shared" si="962"/>
        <v>-402.3402661061026</v>
      </c>
      <c r="T217">
        <f t="shared" si="963"/>
        <v>-0.40234026610610263</v>
      </c>
    </row>
    <row r="218" spans="1:20" x14ac:dyDescent="0.25">
      <c r="A218" s="5">
        <v>44375</v>
      </c>
      <c r="B218">
        <v>1.5953999999999999</v>
      </c>
      <c r="C218">
        <v>1.6318999999999999</v>
      </c>
      <c r="D218">
        <v>1.5488</v>
      </c>
      <c r="E218">
        <v>1.5649999999999999</v>
      </c>
      <c r="F218">
        <v>4617103.9000000004</v>
      </c>
      <c r="G218">
        <v>0</v>
      </c>
      <c r="L218" t="s">
        <v>8</v>
      </c>
      <c r="M218" t="s">
        <v>7</v>
      </c>
      <c r="N218" t="s">
        <v>7</v>
      </c>
      <c r="P218">
        <f t="shared" si="959"/>
        <v>-0.61010830324909748</v>
      </c>
      <c r="Q218">
        <f t="shared" si="960"/>
        <v>-2816933.4263537908</v>
      </c>
      <c r="R218">
        <f t="shared" si="961"/>
        <v>-36684728.816661909</v>
      </c>
      <c r="S218">
        <f t="shared" si="962"/>
        <v>-366.84728816661908</v>
      </c>
      <c r="T218">
        <f t="shared" si="963"/>
        <v>-0.3668472881666191</v>
      </c>
    </row>
    <row r="219" spans="1:20" x14ac:dyDescent="0.25">
      <c r="A219" s="5">
        <v>44374</v>
      </c>
      <c r="B219">
        <v>1.5227999999999999</v>
      </c>
      <c r="C219">
        <v>1.6076999999999999</v>
      </c>
      <c r="D219">
        <v>1.5137</v>
      </c>
      <c r="E219">
        <v>1.5951</v>
      </c>
      <c r="F219">
        <v>5354280.5199999996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0.73191489361702211</v>
      </c>
      <c r="Q219">
        <f t="shared" si="960"/>
        <v>3918877.6571914935</v>
      </c>
      <c r="R219">
        <f t="shared" si="961"/>
        <v>-33867795.390308119</v>
      </c>
      <c r="S219">
        <f t="shared" si="962"/>
        <v>-338.67795390308117</v>
      </c>
      <c r="T219">
        <f t="shared" si="963"/>
        <v>-0.3386779539030812</v>
      </c>
    </row>
    <row r="220" spans="1:20" x14ac:dyDescent="0.25">
      <c r="A220" s="5">
        <v>44373</v>
      </c>
      <c r="B220">
        <v>1.5230999999999999</v>
      </c>
      <c r="C220">
        <v>1.5382</v>
      </c>
      <c r="D220">
        <v>1.4464999999999999</v>
      </c>
      <c r="E220">
        <v>1.5227999999999999</v>
      </c>
      <c r="F220">
        <v>8665885.4299999997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0.66412213740457882</v>
      </c>
      <c r="Q220">
        <f t="shared" si="960"/>
        <v>5755206.3542747973</v>
      </c>
      <c r="R220">
        <f t="shared" si="961"/>
        <v>-37786673.047499612</v>
      </c>
      <c r="S220">
        <f t="shared" si="962"/>
        <v>-377.86673047499613</v>
      </c>
      <c r="T220">
        <f t="shared" si="963"/>
        <v>-0.37786673047499614</v>
      </c>
    </row>
    <row r="221" spans="1:20" x14ac:dyDescent="0.25">
      <c r="A221" s="5">
        <v>44372</v>
      </c>
      <c r="B221">
        <v>1.6494</v>
      </c>
      <c r="C221">
        <v>1.6737</v>
      </c>
      <c r="D221">
        <v>1.4890000000000001</v>
      </c>
      <c r="E221">
        <v>1.5230999999999999</v>
      </c>
      <c r="F221">
        <v>8698020.9299999997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-0.6307525717379554</v>
      </c>
      <c r="Q221">
        <f t="shared" si="960"/>
        <v>-5486299.0706280628</v>
      </c>
      <c r="R221">
        <f t="shared" si="961"/>
        <v>-43541879.401774406</v>
      </c>
      <c r="S221">
        <f t="shared" si="962"/>
        <v>-435.41879401774406</v>
      </c>
      <c r="T221">
        <f t="shared" si="963"/>
        <v>-0.43541879401774408</v>
      </c>
    </row>
    <row r="222" spans="1:20" x14ac:dyDescent="0.25">
      <c r="A222" s="5">
        <v>44371</v>
      </c>
      <c r="B222">
        <v>1.6714</v>
      </c>
      <c r="C222">
        <v>1.6857</v>
      </c>
      <c r="D222">
        <v>1.5755999999999999</v>
      </c>
      <c r="E222">
        <v>1.6494</v>
      </c>
      <c r="F222">
        <v>5860851.7999999998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0.34059945504087247</v>
      </c>
      <c r="Q222">
        <f t="shared" si="960"/>
        <v>1996202.9291553164</v>
      </c>
      <c r="R222">
        <f t="shared" si="961"/>
        <v>-38055580.331146345</v>
      </c>
      <c r="S222">
        <f t="shared" si="962"/>
        <v>-380.55580331146342</v>
      </c>
      <c r="T222">
        <f t="shared" si="963"/>
        <v>-0.38055580331146344</v>
      </c>
    </row>
    <row r="223" spans="1:20" x14ac:dyDescent="0.25">
      <c r="A223" s="5">
        <v>44370</v>
      </c>
      <c r="B223">
        <v>1.5948</v>
      </c>
      <c r="C223">
        <v>1.79</v>
      </c>
      <c r="D223">
        <v>1.5408999999999999</v>
      </c>
      <c r="E223">
        <v>1.6698</v>
      </c>
      <c r="F223">
        <v>6160792.0599999996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3.492573263749469E-2</v>
      </c>
      <c r="Q223">
        <f t="shared" si="960"/>
        <v>215170.17632276012</v>
      </c>
      <c r="R223">
        <f t="shared" si="961"/>
        <v>-40051783.260301664</v>
      </c>
      <c r="S223">
        <f t="shared" si="962"/>
        <v>-400.51783260301664</v>
      </c>
      <c r="T223">
        <f t="shared" si="963"/>
        <v>-0.40051783260301665</v>
      </c>
    </row>
    <row r="224" spans="1:20" x14ac:dyDescent="0.25">
      <c r="A224" s="5">
        <v>44369</v>
      </c>
      <c r="B224">
        <v>1.6496999999999999</v>
      </c>
      <c r="C224">
        <v>1.7721</v>
      </c>
      <c r="D224">
        <v>1.4184000000000001</v>
      </c>
      <c r="E224">
        <v>1.5947</v>
      </c>
      <c r="F224">
        <v>6538825.9500000002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-3.1099802092171367E-3</v>
      </c>
      <c r="Q224">
        <f t="shared" si="960"/>
        <v>-20335.619296015444</v>
      </c>
      <c r="R224">
        <f t="shared" si="961"/>
        <v>-40266953.436624423</v>
      </c>
      <c r="S224">
        <f t="shared" si="962"/>
        <v>-402.66953436624425</v>
      </c>
      <c r="T224">
        <f t="shared" si="963"/>
        <v>-0.40266953436624425</v>
      </c>
    </row>
    <row r="225" spans="1:20" x14ac:dyDescent="0.25">
      <c r="A225" s="5">
        <v>44368</v>
      </c>
      <c r="B225">
        <v>2.044</v>
      </c>
      <c r="C225">
        <v>2.0821000000000001</v>
      </c>
      <c r="D225">
        <v>1.63</v>
      </c>
      <c r="E225">
        <v>1.6465000000000001</v>
      </c>
      <c r="F225">
        <v>10969547.24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-0.92700729927007219</v>
      </c>
      <c r="Q225">
        <f t="shared" si="960"/>
        <v>-10168850.361167874</v>
      </c>
      <c r="R225">
        <f t="shared" si="961"/>
        <v>-40246617.817328408</v>
      </c>
      <c r="S225">
        <f t="shared" si="962"/>
        <v>-402.46617817328411</v>
      </c>
      <c r="T225">
        <f t="shared" si="963"/>
        <v>-0.40246617817328412</v>
      </c>
    </row>
    <row r="226" spans="1:20" x14ac:dyDescent="0.25">
      <c r="A226" s="5">
        <v>44367</v>
      </c>
      <c r="B226">
        <v>2.0579999999999998</v>
      </c>
      <c r="C226">
        <v>2.15</v>
      </c>
      <c r="D226">
        <v>1.96</v>
      </c>
      <c r="E226">
        <v>2.044</v>
      </c>
      <c r="F226">
        <v>8111668.4299999997</v>
      </c>
      <c r="G226">
        <v>0</v>
      </c>
      <c r="L226" t="s">
        <v>7</v>
      </c>
      <c r="M226" t="s">
        <v>8</v>
      </c>
      <c r="N226" t="s">
        <v>7</v>
      </c>
      <c r="P226">
        <f t="shared" si="959"/>
        <v>-0.1157894736842095</v>
      </c>
      <c r="Q226">
        <f t="shared" si="960"/>
        <v>-939245.81821051799</v>
      </c>
      <c r="R226">
        <f t="shared" si="961"/>
        <v>-30077767.456160538</v>
      </c>
      <c r="S226">
        <f t="shared" si="962"/>
        <v>-300.77767456160535</v>
      </c>
      <c r="T226">
        <f t="shared" si="963"/>
        <v>-0.30077767456160537</v>
      </c>
    </row>
    <row r="227" spans="1:20" x14ac:dyDescent="0.25">
      <c r="A227" s="5">
        <v>44366</v>
      </c>
      <c r="B227">
        <v>1.9806999999999999</v>
      </c>
      <c r="C227">
        <v>2.19</v>
      </c>
      <c r="D227">
        <v>1.9468000000000001</v>
      </c>
      <c r="E227">
        <v>2.0579999999999998</v>
      </c>
      <c r="F227">
        <v>6414412.9199999999</v>
      </c>
      <c r="G227">
        <v>0</v>
      </c>
      <c r="L227" t="s">
        <v>8</v>
      </c>
      <c r="M227" t="s">
        <v>8</v>
      </c>
      <c r="N227" t="s">
        <v>7</v>
      </c>
      <c r="P227">
        <f t="shared" si="959"/>
        <v>-8.5526315789475268E-2</v>
      </c>
      <c r="Q227">
        <f t="shared" si="960"/>
        <v>-548601.10500001011</v>
      </c>
      <c r="R227">
        <f t="shared" si="961"/>
        <v>-29138521.637950018</v>
      </c>
      <c r="S227">
        <f t="shared" si="962"/>
        <v>-291.38521637950021</v>
      </c>
      <c r="T227">
        <f t="shared" si="963"/>
        <v>-0.29138521637950021</v>
      </c>
    </row>
    <row r="228" spans="1:20" x14ac:dyDescent="0.25">
      <c r="A228" s="5">
        <v>44365</v>
      </c>
      <c r="B228">
        <v>2.0259999999999998</v>
      </c>
      <c r="C228">
        <v>2.1</v>
      </c>
      <c r="D228">
        <v>1.9426000000000001</v>
      </c>
      <c r="E228">
        <v>1.9814000000000001</v>
      </c>
      <c r="F228">
        <v>5580963.8499999996</v>
      </c>
      <c r="G228">
        <v>0</v>
      </c>
      <c r="L228" t="s">
        <v>8</v>
      </c>
      <c r="M228" t="s">
        <v>7</v>
      </c>
      <c r="N228" t="s">
        <v>7</v>
      </c>
      <c r="P228">
        <f t="shared" si="959"/>
        <v>-0.5069885641677262</v>
      </c>
      <c r="Q228">
        <f t="shared" si="960"/>
        <v>-2829484.8489834853</v>
      </c>
      <c r="R228">
        <f t="shared" si="961"/>
        <v>-28589920.532950006</v>
      </c>
      <c r="S228">
        <f t="shared" si="962"/>
        <v>-285.89920532950009</v>
      </c>
      <c r="T228">
        <f t="shared" si="963"/>
        <v>-0.28589920532950008</v>
      </c>
    </row>
    <row r="229" spans="1:20" x14ac:dyDescent="0.25">
      <c r="A229" s="5">
        <v>44364</v>
      </c>
      <c r="B229">
        <v>1.9196</v>
      </c>
      <c r="C229">
        <v>2.08</v>
      </c>
      <c r="D229">
        <v>1.9164000000000001</v>
      </c>
      <c r="E229">
        <v>2.0236000000000001</v>
      </c>
      <c r="F229">
        <v>5794179.3700000001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0.31051344743276266</v>
      </c>
      <c r="Q229">
        <f t="shared" si="960"/>
        <v>1799170.611222493</v>
      </c>
      <c r="R229">
        <f t="shared" si="961"/>
        <v>-25760435.683966521</v>
      </c>
      <c r="S229">
        <f t="shared" si="962"/>
        <v>-257.60435683966523</v>
      </c>
      <c r="T229">
        <f t="shared" si="963"/>
        <v>-0.25760435683966521</v>
      </c>
    </row>
    <row r="230" spans="1:20" x14ac:dyDescent="0.25">
      <c r="A230" s="5">
        <v>44363</v>
      </c>
      <c r="B230">
        <v>1.9488000000000001</v>
      </c>
      <c r="C230">
        <v>2.0998999999999999</v>
      </c>
      <c r="D230">
        <v>1.9109</v>
      </c>
      <c r="E230">
        <v>1.9220999999999999</v>
      </c>
      <c r="F230">
        <v>6985508.7800000003</v>
      </c>
      <c r="G230">
        <v>0</v>
      </c>
      <c r="L230" t="s">
        <v>8</v>
      </c>
      <c r="M230" t="s">
        <v>7</v>
      </c>
      <c r="N230" t="s">
        <v>7</v>
      </c>
      <c r="P230">
        <f t="shared" si="959"/>
        <v>-0.88148148148148264</v>
      </c>
      <c r="Q230">
        <f t="shared" si="960"/>
        <v>-6157596.6282963045</v>
      </c>
      <c r="R230">
        <f t="shared" si="961"/>
        <v>-27559606.295189016</v>
      </c>
      <c r="S230">
        <f t="shared" si="962"/>
        <v>-275.59606295189013</v>
      </c>
      <c r="T230">
        <f t="shared" si="963"/>
        <v>-0.27559606295189015</v>
      </c>
    </row>
    <row r="231" spans="1:20" x14ac:dyDescent="0.25">
      <c r="A231" s="5">
        <v>44362</v>
      </c>
      <c r="B231">
        <v>1.9746999999999999</v>
      </c>
      <c r="C231">
        <v>2.0089999999999999</v>
      </c>
      <c r="D231">
        <v>1.9321999999999999</v>
      </c>
      <c r="E231">
        <v>1.95</v>
      </c>
      <c r="F231">
        <v>2313171.63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-0.53645833333333226</v>
      </c>
      <c r="Q231">
        <f t="shared" si="960"/>
        <v>-1240920.1973437474</v>
      </c>
      <c r="R231">
        <f t="shared" si="961"/>
        <v>-21402009.666892711</v>
      </c>
      <c r="S231">
        <f t="shared" si="962"/>
        <v>-214.02009666892712</v>
      </c>
      <c r="T231">
        <f t="shared" si="963"/>
        <v>-0.21402009666892713</v>
      </c>
    </row>
    <row r="232" spans="1:20" x14ac:dyDescent="0.25">
      <c r="A232" s="5">
        <v>44361</v>
      </c>
      <c r="B232">
        <v>1.93</v>
      </c>
      <c r="C232">
        <v>1.9964999999999999</v>
      </c>
      <c r="D232">
        <v>1.9</v>
      </c>
      <c r="E232">
        <v>1.9746999999999999</v>
      </c>
      <c r="F232">
        <v>2645678.7400000002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0.54818652849740857</v>
      </c>
      <c r="Q232">
        <f t="shared" si="960"/>
        <v>1450325.443999998</v>
      </c>
      <c r="R232">
        <f t="shared" si="961"/>
        <v>-20161089.469548963</v>
      </c>
      <c r="S232">
        <f t="shared" si="962"/>
        <v>-201.61089469548963</v>
      </c>
      <c r="T232">
        <f t="shared" si="963"/>
        <v>-0.20161089469548962</v>
      </c>
    </row>
    <row r="233" spans="1:20" x14ac:dyDescent="0.25">
      <c r="A233" s="5">
        <v>44360</v>
      </c>
      <c r="B233">
        <v>1.907</v>
      </c>
      <c r="C233">
        <v>1.9417</v>
      </c>
      <c r="D233">
        <v>1.8109999999999999</v>
      </c>
      <c r="E233">
        <v>1.93</v>
      </c>
      <c r="F233">
        <v>2066738.58</v>
      </c>
      <c r="G233">
        <v>0</v>
      </c>
      <c r="L233" t="s">
        <v>7</v>
      </c>
      <c r="M233" t="s">
        <v>7</v>
      </c>
      <c r="N233" t="s">
        <v>7</v>
      </c>
      <c r="P233">
        <f t="shared" si="959"/>
        <v>0.82096403978576837</v>
      </c>
      <c r="Q233">
        <f t="shared" si="960"/>
        <v>1696718.0538179025</v>
      </c>
      <c r="R233">
        <f t="shared" si="961"/>
        <v>-21611414.913548961</v>
      </c>
      <c r="S233">
        <f t="shared" si="962"/>
        <v>-216.11414913548961</v>
      </c>
      <c r="T233">
        <f t="shared" si="963"/>
        <v>-0.21611414913548962</v>
      </c>
    </row>
    <row r="234" spans="1:20" x14ac:dyDescent="0.25">
      <c r="A234" s="5">
        <v>44359</v>
      </c>
      <c r="B234">
        <v>2.0026000000000002</v>
      </c>
      <c r="C234">
        <v>2.0026000000000002</v>
      </c>
      <c r="D234">
        <v>1.88</v>
      </c>
      <c r="E234">
        <v>1.9076</v>
      </c>
      <c r="F234">
        <v>1895259.85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-0.54975530179445331</v>
      </c>
      <c r="Q234">
        <f t="shared" si="960"/>
        <v>-1041929.1508156604</v>
      </c>
      <c r="R234">
        <f t="shared" si="961"/>
        <v>-23308132.967366863</v>
      </c>
      <c r="S234">
        <f t="shared" si="962"/>
        <v>-233.08132967366862</v>
      </c>
      <c r="T234">
        <f t="shared" si="963"/>
        <v>-0.23308132967366862</v>
      </c>
    </row>
    <row r="235" spans="1:20" x14ac:dyDescent="0.25">
      <c r="A235" s="5">
        <v>44358</v>
      </c>
      <c r="B235">
        <v>2.0158999999999998</v>
      </c>
      <c r="C235">
        <v>2.13</v>
      </c>
      <c r="D235">
        <v>1.95</v>
      </c>
      <c r="E235">
        <v>2.0026999999999999</v>
      </c>
      <c r="F235">
        <v>2660161.81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-0.41444444444444456</v>
      </c>
      <c r="Q235">
        <f t="shared" si="960"/>
        <v>-1102489.2834777781</v>
      </c>
      <c r="R235">
        <f t="shared" si="961"/>
        <v>-22266203.816551201</v>
      </c>
      <c r="S235">
        <f t="shared" si="962"/>
        <v>-222.662038165512</v>
      </c>
      <c r="T235">
        <f t="shared" si="963"/>
        <v>-0.222662038165512</v>
      </c>
    </row>
    <row r="236" spans="1:20" x14ac:dyDescent="0.25">
      <c r="A236" s="5">
        <v>44357</v>
      </c>
      <c r="B236">
        <v>2.15</v>
      </c>
      <c r="C236">
        <v>2.2000000000000002</v>
      </c>
      <c r="D236">
        <v>1.9784999999999999</v>
      </c>
      <c r="E236">
        <v>2.0160999999999998</v>
      </c>
      <c r="F236">
        <v>2057515.22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-0.66049661399548698</v>
      </c>
      <c r="Q236">
        <f t="shared" si="960"/>
        <v>-1358981.8360541794</v>
      </c>
      <c r="R236">
        <f t="shared" si="961"/>
        <v>-21163714.533073422</v>
      </c>
      <c r="S236">
        <f t="shared" si="962"/>
        <v>-211.63714533073423</v>
      </c>
      <c r="T236">
        <f t="shared" si="963"/>
        <v>-0.21163714533073422</v>
      </c>
    </row>
    <row r="237" spans="1:20" x14ac:dyDescent="0.25">
      <c r="A237" s="5">
        <v>44356</v>
      </c>
      <c r="B237">
        <v>2.0531999999999999</v>
      </c>
      <c r="C237">
        <v>2.1775000000000002</v>
      </c>
      <c r="D237">
        <v>1.9863</v>
      </c>
      <c r="E237">
        <v>2.15</v>
      </c>
      <c r="F237">
        <v>2717028.08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0.71234309623430681</v>
      </c>
      <c r="Q237">
        <f t="shared" si="960"/>
        <v>1935456.195062754</v>
      </c>
      <c r="R237">
        <f t="shared" si="961"/>
        <v>-19804732.697019242</v>
      </c>
      <c r="S237">
        <f t="shared" si="962"/>
        <v>-198.04732697019242</v>
      </c>
      <c r="T237">
        <f t="shared" si="963"/>
        <v>-0.19804732697019242</v>
      </c>
    </row>
    <row r="238" spans="1:20" x14ac:dyDescent="0.25">
      <c r="A238" s="5">
        <v>44355</v>
      </c>
      <c r="B238">
        <v>2.0764999999999998</v>
      </c>
      <c r="C238">
        <v>2.2000000000000002</v>
      </c>
      <c r="D238">
        <v>1.8888</v>
      </c>
      <c r="E238">
        <v>2.0552000000000001</v>
      </c>
      <c r="F238">
        <v>6650709.6500000004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6.9408740359897345E-2</v>
      </c>
      <c r="Q238">
        <f t="shared" si="960"/>
        <v>461617.37930591375</v>
      </c>
      <c r="R238">
        <f t="shared" si="961"/>
        <v>-21740188.892081995</v>
      </c>
      <c r="S238">
        <f t="shared" si="962"/>
        <v>-217.40188892081994</v>
      </c>
      <c r="T238">
        <f t="shared" si="963"/>
        <v>-0.21740188892081994</v>
      </c>
    </row>
    <row r="239" spans="1:20" x14ac:dyDescent="0.25">
      <c r="A239" s="5">
        <v>44354</v>
      </c>
      <c r="B239">
        <v>2.141</v>
      </c>
      <c r="C239">
        <v>2.2578999999999998</v>
      </c>
      <c r="D239">
        <v>2.0741000000000001</v>
      </c>
      <c r="E239">
        <v>2.0785</v>
      </c>
      <c r="F239">
        <v>4874900.08</v>
      </c>
      <c r="G239">
        <v>0</v>
      </c>
      <c r="L239" t="s">
        <v>8</v>
      </c>
      <c r="M239" t="s">
        <v>7</v>
      </c>
      <c r="N239" t="s">
        <v>8</v>
      </c>
      <c r="P239">
        <f t="shared" si="959"/>
        <v>-0.95212187159956507</v>
      </c>
      <c r="Q239">
        <f t="shared" si="960"/>
        <v>-4641498.98803047</v>
      </c>
      <c r="R239">
        <f t="shared" si="961"/>
        <v>-22201806.271387909</v>
      </c>
      <c r="S239">
        <f t="shared" si="962"/>
        <v>-222.01806271387909</v>
      </c>
      <c r="T239">
        <f t="shared" si="963"/>
        <v>-0.22201806271387908</v>
      </c>
    </row>
    <row r="240" spans="1:20" x14ac:dyDescent="0.25">
      <c r="A240" s="5">
        <v>44353</v>
      </c>
      <c r="B240">
        <v>2.2229999999999999</v>
      </c>
      <c r="C240">
        <v>2.2625999999999999</v>
      </c>
      <c r="D240">
        <v>2.0588000000000002</v>
      </c>
      <c r="E240">
        <v>2.1432000000000002</v>
      </c>
      <c r="F240">
        <v>4981720.37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-0.17173699705593592</v>
      </c>
      <c r="Q240">
        <f t="shared" si="960"/>
        <v>-855545.696516186</v>
      </c>
      <c r="R240">
        <f t="shared" si="961"/>
        <v>-17560307.283357438</v>
      </c>
      <c r="S240">
        <f t="shared" si="962"/>
        <v>-175.60307283357437</v>
      </c>
      <c r="T240">
        <f t="shared" si="963"/>
        <v>-0.17560307283357438</v>
      </c>
    </row>
    <row r="241" spans="1:20" x14ac:dyDescent="0.25">
      <c r="A241" s="5">
        <v>44352</v>
      </c>
      <c r="B241">
        <v>2.2359</v>
      </c>
      <c r="C241">
        <v>2.4418000000000002</v>
      </c>
      <c r="D241">
        <v>2.12</v>
      </c>
      <c r="E241">
        <v>2.2235</v>
      </c>
      <c r="F241">
        <v>10049561.09</v>
      </c>
      <c r="G241">
        <v>0</v>
      </c>
      <c r="L241" t="s">
        <v>8</v>
      </c>
      <c r="M241" t="s">
        <v>8</v>
      </c>
      <c r="N241" t="s">
        <v>8</v>
      </c>
      <c r="P241">
        <f t="shared" si="959"/>
        <v>-0.35674331883157306</v>
      </c>
      <c r="Q241">
        <f t="shared" si="960"/>
        <v>-3585113.7760472409</v>
      </c>
      <c r="R241">
        <f t="shared" si="961"/>
        <v>-16704761.586841252</v>
      </c>
      <c r="S241">
        <f t="shared" si="962"/>
        <v>-167.04761586841252</v>
      </c>
      <c r="T241">
        <f t="shared" si="963"/>
        <v>-0.16704761586841252</v>
      </c>
    </row>
    <row r="242" spans="1:20" x14ac:dyDescent="0.25">
      <c r="A242" s="5">
        <v>44351</v>
      </c>
      <c r="B242">
        <v>2.39</v>
      </c>
      <c r="C242">
        <v>2.3944000000000001</v>
      </c>
      <c r="D242">
        <v>2.0571000000000002</v>
      </c>
      <c r="E242">
        <v>2.2357999999999998</v>
      </c>
      <c r="F242">
        <v>8557726.2599999998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5.9590868662909413E-2</v>
      </c>
      <c r="Q242">
        <f t="shared" si="960"/>
        <v>509962.34161279094</v>
      </c>
      <c r="R242">
        <f t="shared" si="961"/>
        <v>-13119647.810794011</v>
      </c>
      <c r="S242">
        <f t="shared" si="962"/>
        <v>-131.1964781079401</v>
      </c>
      <c r="T242">
        <f t="shared" si="963"/>
        <v>-0.13119647810794011</v>
      </c>
    </row>
    <row r="243" spans="1:20" x14ac:dyDescent="0.25">
      <c r="A243" s="5">
        <v>44350</v>
      </c>
      <c r="B243">
        <v>2.4481999999999999</v>
      </c>
      <c r="C243">
        <v>2.5</v>
      </c>
      <c r="D243">
        <v>2.31</v>
      </c>
      <c r="E243">
        <v>2.3896000000000002</v>
      </c>
      <c r="F243">
        <v>9390143.8599999994</v>
      </c>
      <c r="G243">
        <v>0</v>
      </c>
      <c r="L243" t="s">
        <v>7</v>
      </c>
      <c r="M243" t="s">
        <v>8</v>
      </c>
      <c r="N243" t="s">
        <v>8</v>
      </c>
      <c r="P243">
        <f t="shared" si="959"/>
        <v>-0.16210526315789328</v>
      </c>
      <c r="Q243">
        <f t="shared" si="960"/>
        <v>-1522191.7415157757</v>
      </c>
      <c r="R243">
        <f t="shared" si="961"/>
        <v>-13629610.152406802</v>
      </c>
      <c r="S243">
        <f t="shared" si="962"/>
        <v>-136.29610152406804</v>
      </c>
      <c r="T243">
        <f t="shared" si="963"/>
        <v>-0.13629610152406804</v>
      </c>
    </row>
    <row r="244" spans="1:20" x14ac:dyDescent="0.25">
      <c r="A244" s="5">
        <v>44349</v>
      </c>
      <c r="B244">
        <v>2.4706999999999999</v>
      </c>
      <c r="C244">
        <v>2.6574</v>
      </c>
      <c r="D244">
        <v>2.41</v>
      </c>
      <c r="E244">
        <v>2.4481000000000002</v>
      </c>
      <c r="F244">
        <v>10554803.960000001</v>
      </c>
      <c r="G244">
        <v>0</v>
      </c>
      <c r="L244" t="s">
        <v>7</v>
      </c>
      <c r="M244" t="s">
        <v>8</v>
      </c>
      <c r="N244" t="s">
        <v>8</v>
      </c>
      <c r="P244">
        <f t="shared" si="959"/>
        <v>-0.6919967663702502</v>
      </c>
      <c r="Q244">
        <f t="shared" si="960"/>
        <v>-7303890.2099919124</v>
      </c>
      <c r="R244">
        <f t="shared" si="961"/>
        <v>-12107418.410891026</v>
      </c>
      <c r="S244">
        <f t="shared" si="962"/>
        <v>-121.07418410891026</v>
      </c>
      <c r="T244">
        <f t="shared" si="963"/>
        <v>-0.12107418410891026</v>
      </c>
    </row>
    <row r="245" spans="1:20" x14ac:dyDescent="0.25">
      <c r="A245" s="5">
        <v>44348</v>
      </c>
      <c r="B245">
        <v>2.2172000000000001</v>
      </c>
      <c r="C245">
        <v>2.78</v>
      </c>
      <c r="D245">
        <v>2.1475</v>
      </c>
      <c r="E245">
        <v>2.4704000000000002</v>
      </c>
      <c r="F245">
        <v>17090208.59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2.1027667984190573E-2</v>
      </c>
      <c r="Q245">
        <f t="shared" si="960"/>
        <v>359367.23201108171</v>
      </c>
      <c r="R245">
        <f t="shared" si="961"/>
        <v>-4803528.2008991148</v>
      </c>
      <c r="S245">
        <f t="shared" si="962"/>
        <v>-48.035282008991146</v>
      </c>
      <c r="T245">
        <f t="shared" si="963"/>
        <v>-4.8035282008991147E-2</v>
      </c>
    </row>
    <row r="246" spans="1:20" x14ac:dyDescent="0.25">
      <c r="A246" s="5">
        <v>44347</v>
      </c>
      <c r="B246">
        <v>2.1314000000000002</v>
      </c>
      <c r="C246">
        <v>2.2528999999999999</v>
      </c>
      <c r="D246">
        <v>2.0204</v>
      </c>
      <c r="E246">
        <v>2.218</v>
      </c>
      <c r="F246">
        <v>4792546.53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0.69978494623655962</v>
      </c>
      <c r="Q246">
        <f t="shared" si="960"/>
        <v>3353751.9158322606</v>
      </c>
      <c r="R246">
        <f t="shared" si="961"/>
        <v>-5162895.4329101965</v>
      </c>
      <c r="S246">
        <f t="shared" si="962"/>
        <v>-51.628954329101965</v>
      </c>
      <c r="T246">
        <f t="shared" si="963"/>
        <v>-5.1628954329101966E-2</v>
      </c>
    </row>
    <row r="247" spans="1:20" x14ac:dyDescent="0.25">
      <c r="A247" s="5">
        <v>44346</v>
      </c>
      <c r="B247">
        <v>2.1520000000000001</v>
      </c>
      <c r="C247">
        <v>2.2959000000000001</v>
      </c>
      <c r="D247">
        <v>2.0337000000000001</v>
      </c>
      <c r="E247">
        <v>2.1349</v>
      </c>
      <c r="F247">
        <v>5798695.4000000004</v>
      </c>
      <c r="G247">
        <v>0</v>
      </c>
      <c r="L247" t="s">
        <v>7</v>
      </c>
      <c r="M247" t="s">
        <v>8</v>
      </c>
      <c r="N247" t="s">
        <v>8</v>
      </c>
      <c r="P247">
        <f t="shared" si="959"/>
        <v>-0.22807017543859678</v>
      </c>
      <c r="Q247">
        <f t="shared" si="960"/>
        <v>-1322509.4771929842</v>
      </c>
      <c r="R247">
        <f t="shared" si="961"/>
        <v>-8516647.3487424571</v>
      </c>
      <c r="S247">
        <f t="shared" si="962"/>
        <v>-85.166473487424568</v>
      </c>
      <c r="T247">
        <f t="shared" si="963"/>
        <v>-8.5166473487424565E-2</v>
      </c>
    </row>
    <row r="248" spans="1:20" x14ac:dyDescent="0.25">
      <c r="A248" s="5">
        <v>44345</v>
      </c>
      <c r="B248">
        <v>1.9892000000000001</v>
      </c>
      <c r="C248">
        <v>2.302</v>
      </c>
      <c r="D248">
        <v>1.958</v>
      </c>
      <c r="E248">
        <v>2.1520000000000001</v>
      </c>
      <c r="F248">
        <v>8382860.6600000001</v>
      </c>
      <c r="G248">
        <v>0</v>
      </c>
      <c r="L248" t="s">
        <v>8</v>
      </c>
      <c r="M248" t="s">
        <v>8</v>
      </c>
      <c r="N248" t="s">
        <v>8</v>
      </c>
      <c r="P248">
        <f t="shared" si="959"/>
        <v>0.12790697674418677</v>
      </c>
      <c r="Q248">
        <f t="shared" si="960"/>
        <v>1072226.3634883782</v>
      </c>
      <c r="R248">
        <f t="shared" si="961"/>
        <v>-7194137.8715494722</v>
      </c>
      <c r="S248">
        <f t="shared" si="962"/>
        <v>-71.941378715494722</v>
      </c>
      <c r="T248">
        <f t="shared" si="963"/>
        <v>-7.1941378715494719E-2</v>
      </c>
    </row>
    <row r="249" spans="1:20" x14ac:dyDescent="0.25">
      <c r="A249" s="5">
        <v>44344</v>
      </c>
      <c r="B249">
        <v>2.0554000000000001</v>
      </c>
      <c r="C249">
        <v>2.1</v>
      </c>
      <c r="D249">
        <v>1.9</v>
      </c>
      <c r="E249">
        <v>1.9892000000000001</v>
      </c>
      <c r="F249">
        <v>5068999.97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-0.10799999999999911</v>
      </c>
      <c r="Q249">
        <f t="shared" si="960"/>
        <v>-547451.99675999547</v>
      </c>
      <c r="R249">
        <f t="shared" si="961"/>
        <v>-8266364.2350378502</v>
      </c>
      <c r="S249">
        <f t="shared" si="962"/>
        <v>-82.663642350378495</v>
      </c>
      <c r="T249">
        <f t="shared" si="963"/>
        <v>-8.26636423503785E-2</v>
      </c>
    </row>
    <row r="250" spans="1:20" x14ac:dyDescent="0.25">
      <c r="A250" s="5">
        <v>44343</v>
      </c>
      <c r="B250">
        <v>1.9496</v>
      </c>
      <c r="C250">
        <v>2.1438999999999999</v>
      </c>
      <c r="D250">
        <v>1.8485</v>
      </c>
      <c r="E250">
        <v>2.052</v>
      </c>
      <c r="F250">
        <v>6689587.8099999996</v>
      </c>
      <c r="G250">
        <v>0</v>
      </c>
      <c r="L250" t="s">
        <v>8</v>
      </c>
      <c r="M250" t="s">
        <v>7</v>
      </c>
      <c r="N250" t="s">
        <v>8</v>
      </c>
      <c r="P250">
        <f t="shared" si="959"/>
        <v>0.37779282329045427</v>
      </c>
      <c r="Q250">
        <f t="shared" si="960"/>
        <v>2527278.2653893069</v>
      </c>
      <c r="R250">
        <f t="shared" si="961"/>
        <v>-7718912.2382778544</v>
      </c>
      <c r="S250">
        <f t="shared" si="962"/>
        <v>-77.18912238277855</v>
      </c>
      <c r="T250">
        <f t="shared" si="963"/>
        <v>-7.7189122382778544E-2</v>
      </c>
    </row>
    <row r="251" spans="1:20" x14ac:dyDescent="0.25">
      <c r="A251" s="5">
        <v>44342</v>
      </c>
      <c r="B251">
        <v>1.9559</v>
      </c>
      <c r="C251">
        <v>2.1</v>
      </c>
      <c r="D251">
        <v>1.8695999999999999</v>
      </c>
      <c r="E251">
        <v>1.9599</v>
      </c>
      <c r="F251">
        <v>5852604.25</v>
      </c>
      <c r="G251">
        <v>0</v>
      </c>
      <c r="L251" t="s">
        <v>7</v>
      </c>
      <c r="M251" t="s">
        <v>7</v>
      </c>
      <c r="N251" t="s">
        <v>8</v>
      </c>
      <c r="P251">
        <f t="shared" si="959"/>
        <v>-0.21614583333333348</v>
      </c>
      <c r="Q251">
        <f t="shared" si="960"/>
        <v>-1265016.0227864592</v>
      </c>
      <c r="R251">
        <f t="shared" si="961"/>
        <v>-10246190.503667161</v>
      </c>
      <c r="S251">
        <f t="shared" si="962"/>
        <v>-102.46190503667161</v>
      </c>
      <c r="T251">
        <f t="shared" si="963"/>
        <v>-0.10246190503667162</v>
      </c>
    </row>
    <row r="252" spans="1:20" x14ac:dyDescent="0.25">
      <c r="A252" s="5">
        <v>44341</v>
      </c>
      <c r="B252">
        <v>2.0467</v>
      </c>
      <c r="C252">
        <v>2.4948999999999999</v>
      </c>
      <c r="D252">
        <v>1.8233999999999999</v>
      </c>
      <c r="E252">
        <v>1.9558</v>
      </c>
      <c r="F252">
        <v>11815748.24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-0.60565897244973921</v>
      </c>
      <c r="Q252">
        <f t="shared" si="960"/>
        <v>-7156313.937763215</v>
      </c>
      <c r="R252">
        <f t="shared" si="961"/>
        <v>-8981174.4808807019</v>
      </c>
      <c r="S252">
        <f t="shared" si="962"/>
        <v>-89.81174480880702</v>
      </c>
      <c r="T252">
        <f t="shared" si="963"/>
        <v>-8.981174480880702E-2</v>
      </c>
    </row>
    <row r="253" spans="1:20" x14ac:dyDescent="0.25">
      <c r="A253" s="5">
        <v>44340</v>
      </c>
      <c r="B253">
        <v>1.6071</v>
      </c>
      <c r="C253">
        <v>2.58</v>
      </c>
      <c r="D253">
        <v>1.6071</v>
      </c>
      <c r="E253">
        <v>2.0468999999999999</v>
      </c>
      <c r="F253">
        <v>19029012.030000001</v>
      </c>
      <c r="G253">
        <v>0</v>
      </c>
      <c r="P253">
        <f t="shared" si="959"/>
        <v>-9.5898859081097909E-2</v>
      </c>
      <c r="Q253">
        <f t="shared" si="960"/>
        <v>-1824860.5431174869</v>
      </c>
      <c r="R253">
        <f t="shared" si="961"/>
        <v>-1824860.5431174869</v>
      </c>
      <c r="S253">
        <f t="shared" si="962"/>
        <v>-18.24860543117487</v>
      </c>
      <c r="T253">
        <f t="shared" si="963"/>
        <v>-1.8248605431174871E-2</v>
      </c>
    </row>
    <row r="254" spans="1:20" x14ac:dyDescent="0.25">
      <c r="A254" s="5"/>
      <c r="B254" s="1"/>
      <c r="C254" s="2"/>
      <c r="D254" s="2"/>
      <c r="E254" s="1"/>
      <c r="F254" s="1"/>
      <c r="P254">
        <f t="shared" si="959"/>
        <v>0</v>
      </c>
      <c r="Q254">
        <f t="shared" si="960"/>
        <v>0</v>
      </c>
      <c r="R254">
        <f t="shared" si="961"/>
        <v>0</v>
      </c>
      <c r="S254">
        <f t="shared" si="962"/>
        <v>0</v>
      </c>
      <c r="T254">
        <f t="shared" si="963"/>
        <v>0</v>
      </c>
    </row>
    <row r="255" spans="1:20" x14ac:dyDescent="0.25">
      <c r="A255" s="5"/>
      <c r="B255" s="1"/>
      <c r="C255" s="2"/>
      <c r="D255" s="2"/>
      <c r="E255" s="1"/>
      <c r="F255" s="1"/>
      <c r="P255">
        <f t="shared" si="959"/>
        <v>0</v>
      </c>
      <c r="Q255">
        <f t="shared" si="960"/>
        <v>0</v>
      </c>
      <c r="R255">
        <f t="shared" si="961"/>
        <v>0</v>
      </c>
      <c r="S255">
        <f t="shared" si="962"/>
        <v>0</v>
      </c>
      <c r="T255">
        <f t="shared" si="963"/>
        <v>0</v>
      </c>
    </row>
    <row r="256" spans="1:20" x14ac:dyDescent="0.25">
      <c r="A256" s="5"/>
      <c r="B256" s="1"/>
      <c r="C256" s="2"/>
      <c r="D256" s="2"/>
      <c r="E256" s="1"/>
      <c r="F256" s="1"/>
      <c r="P256">
        <f t="shared" si="959"/>
        <v>0</v>
      </c>
      <c r="Q256">
        <f t="shared" si="960"/>
        <v>0</v>
      </c>
      <c r="R256">
        <f t="shared" si="961"/>
        <v>0</v>
      </c>
      <c r="S256">
        <f t="shared" si="962"/>
        <v>0</v>
      </c>
      <c r="T256">
        <f t="shared" si="963"/>
        <v>0</v>
      </c>
    </row>
    <row r="257" spans="1:20" x14ac:dyDescent="0.25">
      <c r="A257" s="5"/>
      <c r="B257" s="1"/>
      <c r="C257" s="2"/>
      <c r="D257" s="2"/>
      <c r="E257" s="1"/>
      <c r="F257" s="1"/>
      <c r="P257">
        <f t="shared" si="959"/>
        <v>0</v>
      </c>
      <c r="Q257">
        <f t="shared" si="960"/>
        <v>0</v>
      </c>
      <c r="R257">
        <f t="shared" si="961"/>
        <v>0</v>
      </c>
      <c r="S257">
        <f t="shared" si="962"/>
        <v>0</v>
      </c>
      <c r="T257">
        <f t="shared" si="963"/>
        <v>0</v>
      </c>
    </row>
    <row r="258" spans="1:20" x14ac:dyDescent="0.25">
      <c r="A258" s="5"/>
      <c r="B258" s="1"/>
      <c r="C258" s="2"/>
      <c r="D258" s="2"/>
      <c r="E258" s="1"/>
      <c r="F258" s="1"/>
      <c r="P258">
        <f t="shared" si="959"/>
        <v>0</v>
      </c>
      <c r="Q258">
        <f t="shared" si="960"/>
        <v>0</v>
      </c>
      <c r="R258">
        <f t="shared" si="961"/>
        <v>0</v>
      </c>
      <c r="S258">
        <f t="shared" si="962"/>
        <v>0</v>
      </c>
      <c r="T258">
        <f t="shared" si="963"/>
        <v>0</v>
      </c>
    </row>
    <row r="259" spans="1:20" x14ac:dyDescent="0.25">
      <c r="A259" s="5"/>
      <c r="B259" s="1"/>
      <c r="C259" s="2"/>
      <c r="D259" s="2"/>
      <c r="E259" s="1"/>
      <c r="F259" s="1"/>
      <c r="P259">
        <f t="shared" si="959"/>
        <v>0</v>
      </c>
      <c r="Q259">
        <f t="shared" si="960"/>
        <v>0</v>
      </c>
      <c r="R259">
        <f t="shared" si="961"/>
        <v>0</v>
      </c>
      <c r="S259">
        <f t="shared" si="962"/>
        <v>0</v>
      </c>
      <c r="T259">
        <f t="shared" si="963"/>
        <v>0</v>
      </c>
    </row>
    <row r="260" spans="1:20" x14ac:dyDescent="0.25">
      <c r="A260" s="5"/>
      <c r="B260" s="1"/>
      <c r="C260" s="2"/>
      <c r="D260" s="2"/>
      <c r="E260" s="1"/>
      <c r="F260" s="1"/>
      <c r="P260">
        <f t="shared" si="959"/>
        <v>0</v>
      </c>
      <c r="Q260">
        <f t="shared" si="960"/>
        <v>0</v>
      </c>
      <c r="R260">
        <f t="shared" si="961"/>
        <v>0</v>
      </c>
      <c r="S260">
        <f t="shared" si="962"/>
        <v>0</v>
      </c>
      <c r="T260">
        <f t="shared" si="963"/>
        <v>0</v>
      </c>
    </row>
    <row r="261" spans="1:20" x14ac:dyDescent="0.25">
      <c r="A261" s="5"/>
      <c r="B261" s="1"/>
      <c r="C261" s="2"/>
      <c r="D261" s="2"/>
      <c r="E261" s="1"/>
      <c r="F261" s="1"/>
      <c r="P261">
        <f t="shared" si="959"/>
        <v>0</v>
      </c>
      <c r="Q261">
        <f t="shared" si="960"/>
        <v>0</v>
      </c>
      <c r="R261">
        <f t="shared" si="961"/>
        <v>0</v>
      </c>
      <c r="S261">
        <f t="shared" si="962"/>
        <v>0</v>
      </c>
      <c r="T261">
        <f t="shared" si="963"/>
        <v>0</v>
      </c>
    </row>
    <row r="262" spans="1:20" x14ac:dyDescent="0.25">
      <c r="A262" s="5"/>
      <c r="B262" s="1"/>
      <c r="C262" s="2"/>
      <c r="D262" s="2"/>
      <c r="E262" s="1"/>
      <c r="F262" s="1"/>
      <c r="P262">
        <f t="shared" ref="P262:P325" si="964">IF(C262=D262,0,((E262-D262)-(C262-E262))/(C262-D262))</f>
        <v>0</v>
      </c>
      <c r="Q262">
        <f t="shared" ref="Q262:Q325" si="965">F262*P262</f>
        <v>0</v>
      </c>
      <c r="R262">
        <f t="shared" ref="R262:R325" si="966">R263+Q262</f>
        <v>0</v>
      </c>
      <c r="S262">
        <f t="shared" ref="S262:S325" si="967">R262/100000</f>
        <v>0</v>
      </c>
      <c r="T262">
        <f t="shared" ref="T262:T325" si="968">S262/1000</f>
        <v>0</v>
      </c>
    </row>
    <row r="263" spans="1:20" x14ac:dyDescent="0.25">
      <c r="A263" s="5"/>
      <c r="B263" s="1"/>
      <c r="C263" s="2"/>
      <c r="D263" s="2"/>
      <c r="E263" s="1"/>
      <c r="F263" s="1"/>
      <c r="P263">
        <f t="shared" si="964"/>
        <v>0</v>
      </c>
      <c r="Q263">
        <f t="shared" si="965"/>
        <v>0</v>
      </c>
      <c r="R263">
        <f t="shared" si="966"/>
        <v>0</v>
      </c>
      <c r="S263">
        <f t="shared" si="967"/>
        <v>0</v>
      </c>
      <c r="T263">
        <f t="shared" si="968"/>
        <v>0</v>
      </c>
    </row>
    <row r="264" spans="1:20" x14ac:dyDescent="0.25">
      <c r="A264" s="5"/>
      <c r="B264" s="1"/>
      <c r="C264" s="2"/>
      <c r="D264" s="2"/>
      <c r="E264" s="1"/>
      <c r="F264" s="1"/>
      <c r="P264">
        <f t="shared" si="964"/>
        <v>0</v>
      </c>
      <c r="Q264">
        <f t="shared" si="965"/>
        <v>0</v>
      </c>
      <c r="R264">
        <f t="shared" si="966"/>
        <v>0</v>
      </c>
      <c r="S264">
        <f t="shared" si="967"/>
        <v>0</v>
      </c>
      <c r="T264">
        <f t="shared" si="968"/>
        <v>0</v>
      </c>
    </row>
    <row r="265" spans="1:20" x14ac:dyDescent="0.25">
      <c r="A265" s="5"/>
      <c r="B265" s="1"/>
      <c r="C265" s="2"/>
      <c r="D265" s="2"/>
      <c r="E265" s="1"/>
      <c r="F265" s="1"/>
      <c r="P265">
        <f t="shared" si="964"/>
        <v>0</v>
      </c>
      <c r="Q265">
        <f t="shared" si="965"/>
        <v>0</v>
      </c>
      <c r="R265">
        <f t="shared" si="966"/>
        <v>0</v>
      </c>
      <c r="S265">
        <f t="shared" si="967"/>
        <v>0</v>
      </c>
      <c r="T265">
        <f t="shared" si="968"/>
        <v>0</v>
      </c>
    </row>
    <row r="266" spans="1:20" x14ac:dyDescent="0.25">
      <c r="A266" s="5"/>
      <c r="B266" s="1"/>
      <c r="C266" s="2"/>
      <c r="D266" s="2"/>
      <c r="E266" s="1"/>
      <c r="F266" s="1"/>
      <c r="P266">
        <f t="shared" si="964"/>
        <v>0</v>
      </c>
      <c r="Q266">
        <f t="shared" si="965"/>
        <v>0</v>
      </c>
      <c r="R266">
        <f t="shared" si="966"/>
        <v>0</v>
      </c>
      <c r="S266">
        <f t="shared" si="967"/>
        <v>0</v>
      </c>
      <c r="T266">
        <f t="shared" si="968"/>
        <v>0</v>
      </c>
    </row>
    <row r="267" spans="1:20" x14ac:dyDescent="0.25">
      <c r="A267" s="5"/>
      <c r="B267" s="1"/>
      <c r="C267" s="2"/>
      <c r="D267" s="2"/>
      <c r="E267" s="1"/>
      <c r="F267" s="1"/>
      <c r="P267">
        <f t="shared" si="964"/>
        <v>0</v>
      </c>
      <c r="Q267">
        <f t="shared" si="965"/>
        <v>0</v>
      </c>
      <c r="R267">
        <f t="shared" si="966"/>
        <v>0</v>
      </c>
      <c r="S267">
        <f t="shared" si="967"/>
        <v>0</v>
      </c>
      <c r="T267">
        <f t="shared" si="968"/>
        <v>0</v>
      </c>
    </row>
    <row r="268" spans="1:20" x14ac:dyDescent="0.25">
      <c r="A268" s="5"/>
      <c r="B268" s="1"/>
      <c r="C268" s="2"/>
      <c r="D268" s="2"/>
      <c r="E268" s="1"/>
      <c r="F268" s="1"/>
      <c r="P268">
        <f t="shared" si="964"/>
        <v>0</v>
      </c>
      <c r="Q268">
        <f t="shared" si="965"/>
        <v>0</v>
      </c>
      <c r="R268">
        <f t="shared" si="966"/>
        <v>0</v>
      </c>
      <c r="S268">
        <f t="shared" si="967"/>
        <v>0</v>
      </c>
      <c r="T268">
        <f t="shared" si="968"/>
        <v>0</v>
      </c>
    </row>
    <row r="269" spans="1:20" x14ac:dyDescent="0.25">
      <c r="A269" s="5"/>
      <c r="B269" s="1"/>
      <c r="C269" s="2"/>
      <c r="D269" s="2"/>
      <c r="E269" s="1"/>
      <c r="F269" s="1"/>
      <c r="P269">
        <f t="shared" si="964"/>
        <v>0</v>
      </c>
      <c r="Q269">
        <f t="shared" si="965"/>
        <v>0</v>
      </c>
      <c r="R269">
        <f t="shared" si="966"/>
        <v>0</v>
      </c>
      <c r="S269">
        <f t="shared" si="967"/>
        <v>0</v>
      </c>
      <c r="T269">
        <f t="shared" si="968"/>
        <v>0</v>
      </c>
    </row>
    <row r="270" spans="1:20" x14ac:dyDescent="0.25">
      <c r="A270" s="5"/>
      <c r="B270" s="1"/>
      <c r="C270" s="2"/>
      <c r="D270" s="2"/>
      <c r="E270" s="1"/>
      <c r="F270" s="1"/>
      <c r="P270">
        <f t="shared" si="964"/>
        <v>0</v>
      </c>
      <c r="Q270">
        <f t="shared" si="965"/>
        <v>0</v>
      </c>
      <c r="R270">
        <f t="shared" si="966"/>
        <v>0</v>
      </c>
      <c r="S270">
        <f t="shared" si="967"/>
        <v>0</v>
      </c>
      <c r="T270">
        <f t="shared" si="968"/>
        <v>0</v>
      </c>
    </row>
    <row r="271" spans="1:20" x14ac:dyDescent="0.25">
      <c r="A271" s="5"/>
      <c r="B271" s="1"/>
      <c r="C271" s="2"/>
      <c r="D271" s="2"/>
      <c r="E271" s="1"/>
      <c r="F271" s="1"/>
      <c r="P271">
        <f t="shared" si="964"/>
        <v>0</v>
      </c>
      <c r="Q271">
        <f t="shared" si="965"/>
        <v>0</v>
      </c>
      <c r="R271">
        <f t="shared" si="966"/>
        <v>0</v>
      </c>
      <c r="S271">
        <f t="shared" si="967"/>
        <v>0</v>
      </c>
      <c r="T271">
        <f t="shared" si="968"/>
        <v>0</v>
      </c>
    </row>
    <row r="272" spans="1:20" x14ac:dyDescent="0.25">
      <c r="A272" s="5"/>
      <c r="B272" s="1"/>
      <c r="C272" s="2"/>
      <c r="D272" s="2"/>
      <c r="E272" s="1"/>
      <c r="F272" s="1"/>
      <c r="P272">
        <f t="shared" si="964"/>
        <v>0</v>
      </c>
      <c r="Q272">
        <f t="shared" si="965"/>
        <v>0</v>
      </c>
      <c r="R272">
        <f t="shared" si="966"/>
        <v>0</v>
      </c>
      <c r="S272">
        <f t="shared" si="967"/>
        <v>0</v>
      </c>
      <c r="T272">
        <f t="shared" si="968"/>
        <v>0</v>
      </c>
    </row>
    <row r="273" spans="1:20" x14ac:dyDescent="0.25">
      <c r="A273" s="5"/>
      <c r="B273" s="1"/>
      <c r="C273" s="2"/>
      <c r="D273" s="2"/>
      <c r="E273" s="1"/>
      <c r="F273" s="1"/>
      <c r="P273">
        <f t="shared" si="964"/>
        <v>0</v>
      </c>
      <c r="Q273">
        <f t="shared" si="965"/>
        <v>0</v>
      </c>
      <c r="R273">
        <f t="shared" si="966"/>
        <v>0</v>
      </c>
      <c r="S273">
        <f t="shared" si="967"/>
        <v>0</v>
      </c>
      <c r="T273">
        <f t="shared" si="968"/>
        <v>0</v>
      </c>
    </row>
    <row r="274" spans="1:20" x14ac:dyDescent="0.25">
      <c r="A274" s="5"/>
      <c r="B274" s="1"/>
      <c r="C274" s="2"/>
      <c r="D274" s="2"/>
      <c r="E274" s="1"/>
      <c r="F274" s="1"/>
      <c r="P274">
        <f t="shared" si="964"/>
        <v>0</v>
      </c>
      <c r="Q274">
        <f t="shared" si="965"/>
        <v>0</v>
      </c>
      <c r="R274">
        <f t="shared" si="966"/>
        <v>0</v>
      </c>
      <c r="S274">
        <f t="shared" si="967"/>
        <v>0</v>
      </c>
      <c r="T274">
        <f t="shared" si="968"/>
        <v>0</v>
      </c>
    </row>
    <row r="275" spans="1:20" x14ac:dyDescent="0.25">
      <c r="A275" s="5"/>
      <c r="B275" s="1"/>
      <c r="C275" s="2"/>
      <c r="D275" s="2"/>
      <c r="E275" s="1"/>
      <c r="F275" s="1"/>
      <c r="P275">
        <f t="shared" si="964"/>
        <v>0</v>
      </c>
      <c r="Q275">
        <f t="shared" si="965"/>
        <v>0</v>
      </c>
      <c r="R275">
        <f t="shared" si="966"/>
        <v>0</v>
      </c>
      <c r="S275">
        <f t="shared" si="967"/>
        <v>0</v>
      </c>
      <c r="T275">
        <f t="shared" si="968"/>
        <v>0</v>
      </c>
    </row>
    <row r="276" spans="1:20" x14ac:dyDescent="0.25">
      <c r="A276" s="5"/>
      <c r="B276" s="1"/>
      <c r="C276" s="2"/>
      <c r="D276" s="2"/>
      <c r="E276" s="1"/>
      <c r="F276" s="1"/>
      <c r="P276">
        <f t="shared" si="964"/>
        <v>0</v>
      </c>
      <c r="Q276">
        <f t="shared" si="965"/>
        <v>0</v>
      </c>
      <c r="R276">
        <f t="shared" si="966"/>
        <v>0</v>
      </c>
      <c r="S276">
        <f t="shared" si="967"/>
        <v>0</v>
      </c>
      <c r="T276">
        <f t="shared" si="968"/>
        <v>0</v>
      </c>
    </row>
    <row r="277" spans="1:20" x14ac:dyDescent="0.25">
      <c r="A277" s="5"/>
      <c r="B277" s="1"/>
      <c r="C277" s="2"/>
      <c r="D277" s="2"/>
      <c r="E277" s="1"/>
      <c r="F277" s="1"/>
      <c r="P277">
        <f t="shared" si="964"/>
        <v>0</v>
      </c>
      <c r="Q277">
        <f t="shared" si="965"/>
        <v>0</v>
      </c>
      <c r="R277">
        <f t="shared" si="966"/>
        <v>0</v>
      </c>
      <c r="S277">
        <f t="shared" si="967"/>
        <v>0</v>
      </c>
      <c r="T277">
        <f t="shared" si="968"/>
        <v>0</v>
      </c>
    </row>
    <row r="278" spans="1:20" x14ac:dyDescent="0.25">
      <c r="A278" s="5"/>
      <c r="B278" s="1"/>
      <c r="C278" s="2"/>
      <c r="D278" s="2"/>
      <c r="E278" s="1"/>
      <c r="F278" s="1"/>
      <c r="P278">
        <f t="shared" si="964"/>
        <v>0</v>
      </c>
      <c r="Q278">
        <f t="shared" si="965"/>
        <v>0</v>
      </c>
      <c r="R278">
        <f t="shared" si="966"/>
        <v>0</v>
      </c>
      <c r="S278">
        <f t="shared" si="967"/>
        <v>0</v>
      </c>
      <c r="T278">
        <f t="shared" si="968"/>
        <v>0</v>
      </c>
    </row>
    <row r="279" spans="1:20" x14ac:dyDescent="0.25">
      <c r="A279" s="5"/>
      <c r="B279" s="1"/>
      <c r="C279" s="2"/>
      <c r="D279" s="2"/>
      <c r="E279" s="1"/>
      <c r="F279" s="1"/>
      <c r="P279">
        <f t="shared" si="964"/>
        <v>0</v>
      </c>
      <c r="Q279">
        <f t="shared" si="965"/>
        <v>0</v>
      </c>
      <c r="R279">
        <f t="shared" si="966"/>
        <v>0</v>
      </c>
      <c r="S279">
        <f t="shared" si="967"/>
        <v>0</v>
      </c>
      <c r="T279">
        <f t="shared" si="968"/>
        <v>0</v>
      </c>
    </row>
    <row r="280" spans="1:20" x14ac:dyDescent="0.25">
      <c r="A280" s="5"/>
      <c r="B280" s="1"/>
      <c r="C280" s="2"/>
      <c r="D280" s="2"/>
      <c r="E280" s="1"/>
      <c r="F280" s="1"/>
      <c r="P280">
        <f t="shared" si="964"/>
        <v>0</v>
      </c>
      <c r="Q280">
        <f t="shared" si="965"/>
        <v>0</v>
      </c>
      <c r="R280">
        <f t="shared" si="966"/>
        <v>0</v>
      </c>
      <c r="S280">
        <f t="shared" si="967"/>
        <v>0</v>
      </c>
      <c r="T280">
        <f t="shared" si="968"/>
        <v>0</v>
      </c>
    </row>
    <row r="281" spans="1:20" x14ac:dyDescent="0.25">
      <c r="A281" s="5"/>
      <c r="B281" s="1"/>
      <c r="C281" s="2"/>
      <c r="D281" s="2"/>
      <c r="E281" s="1"/>
      <c r="F281" s="1"/>
      <c r="P281">
        <f t="shared" si="964"/>
        <v>0</v>
      </c>
      <c r="Q281">
        <f t="shared" si="965"/>
        <v>0</v>
      </c>
      <c r="R281">
        <f t="shared" si="966"/>
        <v>0</v>
      </c>
      <c r="S281">
        <f t="shared" si="967"/>
        <v>0</v>
      </c>
      <c r="T281">
        <f t="shared" si="968"/>
        <v>0</v>
      </c>
    </row>
    <row r="282" spans="1:20" x14ac:dyDescent="0.25">
      <c r="A282" s="5"/>
      <c r="B282" s="1"/>
      <c r="C282" s="2"/>
      <c r="D282" s="2"/>
      <c r="E282" s="1"/>
      <c r="F282" s="1"/>
      <c r="P282">
        <f t="shared" si="964"/>
        <v>0</v>
      </c>
      <c r="Q282">
        <f t="shared" si="965"/>
        <v>0</v>
      </c>
      <c r="R282">
        <f t="shared" si="966"/>
        <v>0</v>
      </c>
      <c r="S282">
        <f t="shared" si="967"/>
        <v>0</v>
      </c>
      <c r="T282">
        <f t="shared" si="968"/>
        <v>0</v>
      </c>
    </row>
    <row r="283" spans="1:20" x14ac:dyDescent="0.25">
      <c r="A283" s="5"/>
      <c r="B283" s="1"/>
      <c r="C283" s="2"/>
      <c r="D283" s="2"/>
      <c r="E283" s="1"/>
      <c r="F283" s="1"/>
      <c r="P283">
        <f t="shared" si="964"/>
        <v>0</v>
      </c>
      <c r="Q283">
        <f t="shared" si="965"/>
        <v>0</v>
      </c>
      <c r="R283">
        <f t="shared" si="966"/>
        <v>0</v>
      </c>
      <c r="S283">
        <f t="shared" si="967"/>
        <v>0</v>
      </c>
      <c r="T283">
        <f t="shared" si="968"/>
        <v>0</v>
      </c>
    </row>
    <row r="284" spans="1:20" x14ac:dyDescent="0.25">
      <c r="A284" s="5"/>
      <c r="B284" s="1"/>
      <c r="C284" s="2"/>
      <c r="D284" s="2"/>
      <c r="E284" s="1"/>
      <c r="F284" s="1"/>
      <c r="P284">
        <f t="shared" si="964"/>
        <v>0</v>
      </c>
      <c r="Q284">
        <f t="shared" si="965"/>
        <v>0</v>
      </c>
      <c r="R284">
        <f t="shared" si="966"/>
        <v>0</v>
      </c>
      <c r="S284">
        <f t="shared" si="967"/>
        <v>0</v>
      </c>
      <c r="T284">
        <f t="shared" si="968"/>
        <v>0</v>
      </c>
    </row>
    <row r="285" spans="1:20" x14ac:dyDescent="0.25">
      <c r="A285" s="5"/>
      <c r="B285" s="1"/>
      <c r="C285" s="2"/>
      <c r="D285" s="2"/>
      <c r="E285" s="1"/>
      <c r="F285" s="1"/>
      <c r="P285">
        <f t="shared" si="964"/>
        <v>0</v>
      </c>
      <c r="Q285">
        <f t="shared" si="965"/>
        <v>0</v>
      </c>
      <c r="R285">
        <f t="shared" si="966"/>
        <v>0</v>
      </c>
      <c r="S285">
        <f t="shared" si="967"/>
        <v>0</v>
      </c>
      <c r="T285">
        <f t="shared" si="968"/>
        <v>0</v>
      </c>
    </row>
    <row r="286" spans="1:20" x14ac:dyDescent="0.25">
      <c r="A286" s="5"/>
      <c r="B286" s="1"/>
      <c r="C286" s="2"/>
      <c r="D286" s="2"/>
      <c r="E286" s="1"/>
      <c r="F286" s="1"/>
      <c r="P286">
        <f t="shared" si="964"/>
        <v>0</v>
      </c>
      <c r="Q286">
        <f t="shared" si="965"/>
        <v>0</v>
      </c>
      <c r="R286">
        <f t="shared" si="966"/>
        <v>0</v>
      </c>
      <c r="S286">
        <f t="shared" si="967"/>
        <v>0</v>
      </c>
      <c r="T286">
        <f t="shared" si="968"/>
        <v>0</v>
      </c>
    </row>
    <row r="287" spans="1:20" x14ac:dyDescent="0.25">
      <c r="A287" s="5"/>
      <c r="B287" s="1"/>
      <c r="C287" s="2"/>
      <c r="D287" s="2"/>
      <c r="E287" s="1"/>
      <c r="F287" s="1"/>
      <c r="P287">
        <f t="shared" si="964"/>
        <v>0</v>
      </c>
      <c r="Q287">
        <f t="shared" si="965"/>
        <v>0</v>
      </c>
      <c r="R287">
        <f t="shared" si="966"/>
        <v>0</v>
      </c>
      <c r="S287">
        <f t="shared" si="967"/>
        <v>0</v>
      </c>
      <c r="T287">
        <f t="shared" si="968"/>
        <v>0</v>
      </c>
    </row>
    <row r="288" spans="1:20" x14ac:dyDescent="0.25">
      <c r="A288" s="5"/>
      <c r="B288" s="1"/>
      <c r="C288" s="2"/>
      <c r="D288" s="2"/>
      <c r="E288" s="1"/>
      <c r="F288" s="1"/>
      <c r="P288">
        <f t="shared" si="964"/>
        <v>0</v>
      </c>
      <c r="Q288">
        <f t="shared" si="965"/>
        <v>0</v>
      </c>
      <c r="R288">
        <f t="shared" si="966"/>
        <v>0</v>
      </c>
      <c r="S288">
        <f t="shared" si="967"/>
        <v>0</v>
      </c>
      <c r="T288">
        <f t="shared" si="968"/>
        <v>0</v>
      </c>
    </row>
    <row r="289" spans="1:20" x14ac:dyDescent="0.25">
      <c r="A289" s="5"/>
      <c r="B289" s="1"/>
      <c r="C289" s="2"/>
      <c r="D289" s="2"/>
      <c r="E289" s="1"/>
      <c r="F289" s="1"/>
      <c r="P289">
        <f t="shared" si="964"/>
        <v>0</v>
      </c>
      <c r="Q289">
        <f t="shared" si="965"/>
        <v>0</v>
      </c>
      <c r="R289">
        <f t="shared" si="966"/>
        <v>0</v>
      </c>
      <c r="S289">
        <f t="shared" si="967"/>
        <v>0</v>
      </c>
      <c r="T289">
        <f t="shared" si="968"/>
        <v>0</v>
      </c>
    </row>
    <row r="290" spans="1:20" x14ac:dyDescent="0.25">
      <c r="A290" s="5"/>
      <c r="B290" s="1"/>
      <c r="C290" s="2"/>
      <c r="D290" s="2"/>
      <c r="E290" s="1"/>
      <c r="F290" s="1"/>
      <c r="P290">
        <f t="shared" si="964"/>
        <v>0</v>
      </c>
      <c r="Q290">
        <f t="shared" si="965"/>
        <v>0</v>
      </c>
      <c r="R290">
        <f t="shared" si="966"/>
        <v>0</v>
      </c>
      <c r="S290">
        <f t="shared" si="967"/>
        <v>0</v>
      </c>
      <c r="T290">
        <f t="shared" si="968"/>
        <v>0</v>
      </c>
    </row>
    <row r="291" spans="1:20" x14ac:dyDescent="0.25">
      <c r="A291" s="5"/>
      <c r="B291" s="1"/>
      <c r="C291" s="2"/>
      <c r="D291" s="2"/>
      <c r="E291" s="1"/>
      <c r="F291" s="1"/>
      <c r="P291">
        <f t="shared" si="964"/>
        <v>0</v>
      </c>
      <c r="Q291">
        <f t="shared" si="965"/>
        <v>0</v>
      </c>
      <c r="R291">
        <f t="shared" si="966"/>
        <v>0</v>
      </c>
      <c r="S291">
        <f t="shared" si="967"/>
        <v>0</v>
      </c>
      <c r="T291">
        <f t="shared" si="968"/>
        <v>0</v>
      </c>
    </row>
    <row r="292" spans="1:20" x14ac:dyDescent="0.25">
      <c r="A292" s="5"/>
      <c r="B292" s="1"/>
      <c r="C292" s="2"/>
      <c r="D292" s="2"/>
      <c r="E292" s="1"/>
      <c r="F292" s="1"/>
      <c r="P292">
        <f t="shared" si="964"/>
        <v>0</v>
      </c>
      <c r="Q292">
        <f t="shared" si="965"/>
        <v>0</v>
      </c>
      <c r="R292">
        <f t="shared" si="966"/>
        <v>0</v>
      </c>
      <c r="S292">
        <f t="shared" si="967"/>
        <v>0</v>
      </c>
      <c r="T292">
        <f t="shared" si="968"/>
        <v>0</v>
      </c>
    </row>
    <row r="293" spans="1:20" x14ac:dyDescent="0.25">
      <c r="A293" s="5"/>
      <c r="B293" s="1"/>
      <c r="C293" s="2"/>
      <c r="D293" s="2"/>
      <c r="E293" s="1"/>
      <c r="F293" s="1"/>
      <c r="P293">
        <f t="shared" si="964"/>
        <v>0</v>
      </c>
      <c r="Q293">
        <f t="shared" si="965"/>
        <v>0</v>
      </c>
      <c r="R293">
        <f t="shared" si="966"/>
        <v>0</v>
      </c>
      <c r="S293">
        <f t="shared" si="967"/>
        <v>0</v>
      </c>
      <c r="T293">
        <f t="shared" si="968"/>
        <v>0</v>
      </c>
    </row>
    <row r="294" spans="1:20" x14ac:dyDescent="0.25">
      <c r="A294" s="5"/>
      <c r="B294" s="1"/>
      <c r="C294" s="2"/>
      <c r="D294" s="2"/>
      <c r="E294" s="1"/>
      <c r="F294" s="1"/>
      <c r="P294">
        <f t="shared" si="964"/>
        <v>0</v>
      </c>
      <c r="Q294">
        <f t="shared" si="965"/>
        <v>0</v>
      </c>
      <c r="R294">
        <f t="shared" si="966"/>
        <v>0</v>
      </c>
      <c r="S294">
        <f t="shared" si="967"/>
        <v>0</v>
      </c>
      <c r="T294">
        <f t="shared" si="968"/>
        <v>0</v>
      </c>
    </row>
    <row r="295" spans="1:20" x14ac:dyDescent="0.25">
      <c r="A295" s="5"/>
      <c r="B295" s="1"/>
      <c r="C295" s="2"/>
      <c r="D295" s="2"/>
      <c r="E295" s="1"/>
      <c r="F295" s="1"/>
      <c r="P295">
        <f t="shared" si="964"/>
        <v>0</v>
      </c>
      <c r="Q295">
        <f t="shared" si="965"/>
        <v>0</v>
      </c>
      <c r="R295">
        <f t="shared" si="966"/>
        <v>0</v>
      </c>
      <c r="S295">
        <f t="shared" si="967"/>
        <v>0</v>
      </c>
      <c r="T295">
        <f t="shared" si="968"/>
        <v>0</v>
      </c>
    </row>
    <row r="296" spans="1:20" x14ac:dyDescent="0.25">
      <c r="A296" s="5"/>
      <c r="B296" s="1"/>
      <c r="C296" s="2"/>
      <c r="D296" s="2"/>
      <c r="E296" s="1"/>
      <c r="F296" s="1"/>
      <c r="P296">
        <f t="shared" si="964"/>
        <v>0</v>
      </c>
      <c r="Q296">
        <f t="shared" si="965"/>
        <v>0</v>
      </c>
      <c r="R296">
        <f t="shared" si="966"/>
        <v>0</v>
      </c>
      <c r="S296">
        <f t="shared" si="967"/>
        <v>0</v>
      </c>
      <c r="T296">
        <f t="shared" si="968"/>
        <v>0</v>
      </c>
    </row>
    <row r="297" spans="1:20" x14ac:dyDescent="0.25">
      <c r="A297" s="5"/>
      <c r="B297" s="1"/>
      <c r="C297" s="2"/>
      <c r="D297" s="2"/>
      <c r="E297" s="1"/>
      <c r="F297" s="1"/>
      <c r="P297">
        <f t="shared" si="964"/>
        <v>0</v>
      </c>
      <c r="Q297">
        <f t="shared" si="965"/>
        <v>0</v>
      </c>
      <c r="R297">
        <f t="shared" si="966"/>
        <v>0</v>
      </c>
      <c r="S297">
        <f t="shared" si="967"/>
        <v>0</v>
      </c>
      <c r="T297">
        <f t="shared" si="968"/>
        <v>0</v>
      </c>
    </row>
    <row r="298" spans="1:20" x14ac:dyDescent="0.25">
      <c r="A298" s="5"/>
      <c r="B298" s="1"/>
      <c r="C298" s="2"/>
      <c r="D298" s="2"/>
      <c r="E298" s="1"/>
      <c r="F298" s="1"/>
      <c r="P298">
        <f t="shared" si="964"/>
        <v>0</v>
      </c>
      <c r="Q298">
        <f t="shared" si="965"/>
        <v>0</v>
      </c>
      <c r="R298">
        <f t="shared" si="966"/>
        <v>0</v>
      </c>
      <c r="S298">
        <f t="shared" si="967"/>
        <v>0</v>
      </c>
      <c r="T298">
        <f t="shared" si="968"/>
        <v>0</v>
      </c>
    </row>
    <row r="299" spans="1:20" x14ac:dyDescent="0.25">
      <c r="A299" s="5"/>
      <c r="B299" s="1"/>
      <c r="C299" s="2"/>
      <c r="D299" s="2"/>
      <c r="E299" s="1"/>
      <c r="F299" s="1"/>
      <c r="P299">
        <f t="shared" si="964"/>
        <v>0</v>
      </c>
      <c r="Q299">
        <f t="shared" si="965"/>
        <v>0</v>
      </c>
      <c r="R299">
        <f t="shared" si="966"/>
        <v>0</v>
      </c>
      <c r="S299">
        <f t="shared" si="967"/>
        <v>0</v>
      </c>
      <c r="T299">
        <f t="shared" si="968"/>
        <v>0</v>
      </c>
    </row>
    <row r="300" spans="1:20" x14ac:dyDescent="0.25">
      <c r="A300" s="5"/>
      <c r="B300" s="1"/>
      <c r="C300" s="2"/>
      <c r="D300" s="2"/>
      <c r="E300" s="1"/>
      <c r="F300" s="1"/>
      <c r="P300">
        <f t="shared" si="964"/>
        <v>0</v>
      </c>
      <c r="Q300">
        <f t="shared" si="965"/>
        <v>0</v>
      </c>
      <c r="R300">
        <f t="shared" si="966"/>
        <v>0</v>
      </c>
      <c r="S300">
        <f t="shared" si="967"/>
        <v>0</v>
      </c>
      <c r="T300">
        <f t="shared" si="968"/>
        <v>0</v>
      </c>
    </row>
    <row r="301" spans="1:20" x14ac:dyDescent="0.25">
      <c r="A301" s="5"/>
      <c r="B301" s="1"/>
      <c r="C301" s="2"/>
      <c r="D301" s="2"/>
      <c r="E301" s="1"/>
      <c r="F301" s="1"/>
      <c r="P301">
        <f t="shared" si="964"/>
        <v>0</v>
      </c>
      <c r="Q301">
        <f t="shared" si="965"/>
        <v>0</v>
      </c>
      <c r="R301">
        <f t="shared" si="966"/>
        <v>0</v>
      </c>
      <c r="S301">
        <f t="shared" si="967"/>
        <v>0</v>
      </c>
      <c r="T301">
        <f t="shared" si="968"/>
        <v>0</v>
      </c>
    </row>
    <row r="302" spans="1:20" x14ac:dyDescent="0.25">
      <c r="A302" s="5"/>
      <c r="B302" s="1"/>
      <c r="C302" s="2"/>
      <c r="D302" s="2"/>
      <c r="E302" s="1"/>
      <c r="F302" s="1"/>
      <c r="P302">
        <f t="shared" si="964"/>
        <v>0</v>
      </c>
      <c r="Q302">
        <f t="shared" si="965"/>
        <v>0</v>
      </c>
      <c r="R302">
        <f t="shared" si="966"/>
        <v>0</v>
      </c>
      <c r="S302">
        <f t="shared" si="967"/>
        <v>0</v>
      </c>
      <c r="T302">
        <f t="shared" si="968"/>
        <v>0</v>
      </c>
    </row>
    <row r="303" spans="1:20" x14ac:dyDescent="0.25">
      <c r="A303" s="5"/>
      <c r="B303" s="1"/>
      <c r="C303" s="2"/>
      <c r="D303" s="2"/>
      <c r="E303" s="1"/>
      <c r="F303" s="1"/>
      <c r="P303">
        <f t="shared" si="964"/>
        <v>0</v>
      </c>
      <c r="Q303">
        <f t="shared" si="965"/>
        <v>0</v>
      </c>
      <c r="R303">
        <f t="shared" si="966"/>
        <v>0</v>
      </c>
      <c r="S303">
        <f t="shared" si="967"/>
        <v>0</v>
      </c>
      <c r="T303">
        <f t="shared" si="968"/>
        <v>0</v>
      </c>
    </row>
    <row r="304" spans="1:20" x14ac:dyDescent="0.25">
      <c r="A304" s="5"/>
      <c r="B304" s="1"/>
      <c r="C304" s="2"/>
      <c r="D304" s="2"/>
      <c r="E304" s="1"/>
      <c r="F304" s="1"/>
      <c r="P304">
        <f t="shared" si="964"/>
        <v>0</v>
      </c>
      <c r="Q304">
        <f t="shared" si="965"/>
        <v>0</v>
      </c>
      <c r="R304">
        <f t="shared" si="966"/>
        <v>0</v>
      </c>
      <c r="S304">
        <f t="shared" si="967"/>
        <v>0</v>
      </c>
      <c r="T304">
        <f t="shared" si="968"/>
        <v>0</v>
      </c>
    </row>
    <row r="305" spans="1:20" x14ac:dyDescent="0.25">
      <c r="A305" s="5"/>
      <c r="B305" s="1"/>
      <c r="C305" s="2"/>
      <c r="D305" s="2"/>
      <c r="E305" s="1"/>
      <c r="F305" s="1"/>
      <c r="P305">
        <f t="shared" si="964"/>
        <v>0</v>
      </c>
      <c r="Q305">
        <f t="shared" si="965"/>
        <v>0</v>
      </c>
      <c r="R305">
        <f t="shared" si="966"/>
        <v>0</v>
      </c>
      <c r="S305">
        <f t="shared" si="967"/>
        <v>0</v>
      </c>
      <c r="T305">
        <f t="shared" si="968"/>
        <v>0</v>
      </c>
    </row>
    <row r="306" spans="1:20" x14ac:dyDescent="0.25">
      <c r="A306" s="5"/>
      <c r="B306" s="1"/>
      <c r="C306" s="2"/>
      <c r="D306" s="2"/>
      <c r="E306" s="1"/>
      <c r="F306" s="1"/>
      <c r="P306">
        <f t="shared" si="964"/>
        <v>0</v>
      </c>
      <c r="Q306">
        <f t="shared" si="965"/>
        <v>0</v>
      </c>
      <c r="R306">
        <f t="shared" si="966"/>
        <v>0</v>
      </c>
      <c r="S306">
        <f t="shared" si="967"/>
        <v>0</v>
      </c>
      <c r="T306">
        <f t="shared" si="968"/>
        <v>0</v>
      </c>
    </row>
    <row r="307" spans="1:20" x14ac:dyDescent="0.25">
      <c r="A307" s="5"/>
      <c r="B307" s="1"/>
      <c r="C307" s="2"/>
      <c r="D307" s="2"/>
      <c r="E307" s="1"/>
      <c r="F307" s="1"/>
      <c r="P307">
        <f t="shared" si="964"/>
        <v>0</v>
      </c>
      <c r="Q307">
        <f t="shared" si="965"/>
        <v>0</v>
      </c>
      <c r="R307">
        <f t="shared" si="966"/>
        <v>0</v>
      </c>
      <c r="S307">
        <f t="shared" si="967"/>
        <v>0</v>
      </c>
      <c r="T307">
        <f t="shared" si="968"/>
        <v>0</v>
      </c>
    </row>
    <row r="308" spans="1:20" x14ac:dyDescent="0.25">
      <c r="A308" s="5"/>
      <c r="B308" s="1"/>
      <c r="C308" s="2"/>
      <c r="D308" s="2"/>
      <c r="E308" s="1"/>
      <c r="F308" s="1"/>
      <c r="P308">
        <f t="shared" si="964"/>
        <v>0</v>
      </c>
      <c r="Q308">
        <f t="shared" si="965"/>
        <v>0</v>
      </c>
      <c r="R308">
        <f t="shared" si="966"/>
        <v>0</v>
      </c>
      <c r="S308">
        <f t="shared" si="967"/>
        <v>0</v>
      </c>
      <c r="T308">
        <f t="shared" si="968"/>
        <v>0</v>
      </c>
    </row>
    <row r="309" spans="1:20" x14ac:dyDescent="0.25">
      <c r="A309" s="5"/>
      <c r="B309" s="1"/>
      <c r="C309" s="2"/>
      <c r="D309" s="2"/>
      <c r="E309" s="1"/>
      <c r="F309" s="1"/>
      <c r="P309">
        <f t="shared" si="964"/>
        <v>0</v>
      </c>
      <c r="Q309">
        <f t="shared" si="965"/>
        <v>0</v>
      </c>
      <c r="R309">
        <f t="shared" si="966"/>
        <v>0</v>
      </c>
      <c r="S309">
        <f t="shared" si="967"/>
        <v>0</v>
      </c>
      <c r="T309">
        <f t="shared" si="968"/>
        <v>0</v>
      </c>
    </row>
    <row r="310" spans="1:20" x14ac:dyDescent="0.25">
      <c r="A310" s="5"/>
      <c r="B310" s="1"/>
      <c r="C310" s="2"/>
      <c r="D310" s="2"/>
      <c r="E310" s="1"/>
      <c r="F310" s="1"/>
      <c r="P310">
        <f t="shared" si="964"/>
        <v>0</v>
      </c>
      <c r="Q310">
        <f t="shared" si="965"/>
        <v>0</v>
      </c>
      <c r="R310">
        <f t="shared" si="966"/>
        <v>0</v>
      </c>
      <c r="S310">
        <f t="shared" si="967"/>
        <v>0</v>
      </c>
      <c r="T310">
        <f t="shared" si="968"/>
        <v>0</v>
      </c>
    </row>
    <row r="311" spans="1:20" x14ac:dyDescent="0.25">
      <c r="A311" s="5"/>
      <c r="B311" s="1"/>
      <c r="C311" s="2"/>
      <c r="D311" s="2"/>
      <c r="E311" s="1"/>
      <c r="F311" s="1"/>
      <c r="P311">
        <f t="shared" si="964"/>
        <v>0</v>
      </c>
      <c r="Q311">
        <f t="shared" si="965"/>
        <v>0</v>
      </c>
      <c r="R311">
        <f t="shared" si="966"/>
        <v>0</v>
      </c>
      <c r="S311">
        <f t="shared" si="967"/>
        <v>0</v>
      </c>
      <c r="T311">
        <f t="shared" si="968"/>
        <v>0</v>
      </c>
    </row>
    <row r="312" spans="1:20" x14ac:dyDescent="0.25">
      <c r="A312" s="5"/>
      <c r="B312" s="1"/>
      <c r="C312" s="2"/>
      <c r="D312" s="2"/>
      <c r="E312" s="1"/>
      <c r="F312" s="1"/>
      <c r="P312">
        <f t="shared" si="964"/>
        <v>0</v>
      </c>
      <c r="Q312">
        <f t="shared" si="965"/>
        <v>0</v>
      </c>
      <c r="R312">
        <f t="shared" si="966"/>
        <v>0</v>
      </c>
      <c r="S312">
        <f t="shared" si="967"/>
        <v>0</v>
      </c>
      <c r="T312">
        <f t="shared" si="968"/>
        <v>0</v>
      </c>
    </row>
    <row r="313" spans="1:20" x14ac:dyDescent="0.25">
      <c r="A313" s="5"/>
      <c r="B313" s="1"/>
      <c r="C313" s="2"/>
      <c r="D313" s="2"/>
      <c r="E313" s="1"/>
      <c r="F313" s="1"/>
      <c r="P313">
        <f t="shared" si="964"/>
        <v>0</v>
      </c>
      <c r="Q313">
        <f t="shared" si="965"/>
        <v>0</v>
      </c>
      <c r="R313">
        <f t="shared" si="966"/>
        <v>0</v>
      </c>
      <c r="S313">
        <f t="shared" si="967"/>
        <v>0</v>
      </c>
      <c r="T313">
        <f t="shared" si="968"/>
        <v>0</v>
      </c>
    </row>
    <row r="314" spans="1:20" x14ac:dyDescent="0.25">
      <c r="A314" s="5"/>
      <c r="P314">
        <f t="shared" si="964"/>
        <v>0</v>
      </c>
      <c r="Q314">
        <f t="shared" si="965"/>
        <v>0</v>
      </c>
      <c r="R314">
        <f t="shared" si="966"/>
        <v>0</v>
      </c>
      <c r="S314">
        <f t="shared" si="967"/>
        <v>0</v>
      </c>
      <c r="T314">
        <f t="shared" si="968"/>
        <v>0</v>
      </c>
    </row>
    <row r="315" spans="1:20" x14ac:dyDescent="0.25">
      <c r="A315" s="5"/>
      <c r="P315">
        <f t="shared" si="964"/>
        <v>0</v>
      </c>
      <c r="Q315">
        <f t="shared" si="965"/>
        <v>0</v>
      </c>
      <c r="R315">
        <f t="shared" si="966"/>
        <v>0</v>
      </c>
      <c r="S315">
        <f t="shared" si="967"/>
        <v>0</v>
      </c>
      <c r="T315">
        <f t="shared" si="968"/>
        <v>0</v>
      </c>
    </row>
    <row r="316" spans="1:20" x14ac:dyDescent="0.25">
      <c r="A316" s="5"/>
      <c r="P316">
        <f t="shared" si="964"/>
        <v>0</v>
      </c>
      <c r="Q316">
        <f t="shared" si="965"/>
        <v>0</v>
      </c>
      <c r="R316">
        <f t="shared" si="966"/>
        <v>0</v>
      </c>
      <c r="S316">
        <f t="shared" si="967"/>
        <v>0</v>
      </c>
      <c r="T316">
        <f t="shared" si="968"/>
        <v>0</v>
      </c>
    </row>
    <row r="317" spans="1:20" x14ac:dyDescent="0.25">
      <c r="A317" s="5"/>
      <c r="P317">
        <f t="shared" si="964"/>
        <v>0</v>
      </c>
      <c r="Q317">
        <f t="shared" si="965"/>
        <v>0</v>
      </c>
      <c r="R317">
        <f t="shared" si="966"/>
        <v>0</v>
      </c>
      <c r="S317">
        <f t="shared" si="967"/>
        <v>0</v>
      </c>
      <c r="T317">
        <f t="shared" si="968"/>
        <v>0</v>
      </c>
    </row>
    <row r="318" spans="1:20" x14ac:dyDescent="0.25">
      <c r="A318" s="5"/>
      <c r="P318">
        <f t="shared" si="964"/>
        <v>0</v>
      </c>
      <c r="Q318">
        <f t="shared" si="965"/>
        <v>0</v>
      </c>
      <c r="R318">
        <f t="shared" si="966"/>
        <v>0</v>
      </c>
      <c r="S318">
        <f t="shared" si="967"/>
        <v>0</v>
      </c>
      <c r="T318">
        <f t="shared" si="968"/>
        <v>0</v>
      </c>
    </row>
    <row r="319" spans="1:20" x14ac:dyDescent="0.25">
      <c r="A319" s="5"/>
      <c r="P319">
        <f t="shared" si="964"/>
        <v>0</v>
      </c>
      <c r="Q319">
        <f t="shared" si="965"/>
        <v>0</v>
      </c>
      <c r="R319">
        <f t="shared" si="966"/>
        <v>0</v>
      </c>
      <c r="S319">
        <f t="shared" si="967"/>
        <v>0</v>
      </c>
      <c r="T319">
        <f t="shared" si="968"/>
        <v>0</v>
      </c>
    </row>
    <row r="320" spans="1:20" x14ac:dyDescent="0.25">
      <c r="A320" s="5"/>
      <c r="P320">
        <f t="shared" si="964"/>
        <v>0</v>
      </c>
      <c r="Q320">
        <f t="shared" si="965"/>
        <v>0</v>
      </c>
      <c r="R320">
        <f t="shared" si="966"/>
        <v>0</v>
      </c>
      <c r="S320">
        <f t="shared" si="967"/>
        <v>0</v>
      </c>
      <c r="T320">
        <f t="shared" si="968"/>
        <v>0</v>
      </c>
    </row>
    <row r="321" spans="1:20" x14ac:dyDescent="0.25">
      <c r="A321" s="5"/>
      <c r="P321">
        <f t="shared" si="964"/>
        <v>0</v>
      </c>
      <c r="Q321">
        <f t="shared" si="965"/>
        <v>0</v>
      </c>
      <c r="R321">
        <f t="shared" si="966"/>
        <v>0</v>
      </c>
      <c r="S321">
        <f t="shared" si="967"/>
        <v>0</v>
      </c>
      <c r="T321">
        <f t="shared" si="968"/>
        <v>0</v>
      </c>
    </row>
    <row r="322" spans="1:20" x14ac:dyDescent="0.25">
      <c r="A322" s="5"/>
      <c r="P322">
        <f t="shared" si="964"/>
        <v>0</v>
      </c>
      <c r="Q322">
        <f t="shared" si="965"/>
        <v>0</v>
      </c>
      <c r="R322">
        <f t="shared" si="966"/>
        <v>0</v>
      </c>
      <c r="S322">
        <f t="shared" si="967"/>
        <v>0</v>
      </c>
      <c r="T322">
        <f t="shared" si="968"/>
        <v>0</v>
      </c>
    </row>
    <row r="323" spans="1:20" x14ac:dyDescent="0.25">
      <c r="A323" s="5"/>
      <c r="P323">
        <f t="shared" si="964"/>
        <v>0</v>
      </c>
      <c r="Q323">
        <f t="shared" si="965"/>
        <v>0</v>
      </c>
      <c r="R323">
        <f t="shared" si="966"/>
        <v>0</v>
      </c>
      <c r="S323">
        <f t="shared" si="967"/>
        <v>0</v>
      </c>
      <c r="T323">
        <f t="shared" si="968"/>
        <v>0</v>
      </c>
    </row>
    <row r="324" spans="1:20" x14ac:dyDescent="0.25">
      <c r="A324" s="5"/>
      <c r="P324">
        <f t="shared" si="964"/>
        <v>0</v>
      </c>
      <c r="Q324">
        <f t="shared" si="965"/>
        <v>0</v>
      </c>
      <c r="R324">
        <f t="shared" si="966"/>
        <v>0</v>
      </c>
      <c r="S324">
        <f t="shared" si="967"/>
        <v>0</v>
      </c>
      <c r="T324">
        <f t="shared" si="968"/>
        <v>0</v>
      </c>
    </row>
    <row r="325" spans="1:20" x14ac:dyDescent="0.25">
      <c r="A325" s="5"/>
      <c r="C325"/>
      <c r="D325"/>
      <c r="P325">
        <f t="shared" si="964"/>
        <v>0</v>
      </c>
      <c r="Q325">
        <f t="shared" si="965"/>
        <v>0</v>
      </c>
      <c r="R325">
        <f t="shared" si="966"/>
        <v>0</v>
      </c>
      <c r="S325">
        <f t="shared" si="967"/>
        <v>0</v>
      </c>
      <c r="T325">
        <f t="shared" si="968"/>
        <v>0</v>
      </c>
    </row>
    <row r="326" spans="1:20" x14ac:dyDescent="0.25">
      <c r="A326" s="5"/>
      <c r="C326"/>
      <c r="D326"/>
      <c r="P326">
        <f t="shared" ref="P326:P389" si="969">IF(C326=D326,0,((E326-D326)-(C326-E326))/(C326-D326))</f>
        <v>0</v>
      </c>
      <c r="Q326">
        <f t="shared" ref="Q326:Q389" si="970">F326*P326</f>
        <v>0</v>
      </c>
      <c r="R326">
        <f t="shared" ref="R326:R389" si="971">R327+Q326</f>
        <v>0</v>
      </c>
      <c r="S326">
        <f t="shared" ref="S326:S389" si="972">R326/100000</f>
        <v>0</v>
      </c>
      <c r="T326">
        <f t="shared" ref="T326:T389" si="973">S326/1000</f>
        <v>0</v>
      </c>
    </row>
    <row r="327" spans="1:20" x14ac:dyDescent="0.25">
      <c r="A327" s="5"/>
      <c r="C327"/>
      <c r="D327"/>
      <c r="P327">
        <f t="shared" si="969"/>
        <v>0</v>
      </c>
      <c r="Q327">
        <f t="shared" si="970"/>
        <v>0</v>
      </c>
      <c r="R327">
        <f t="shared" si="971"/>
        <v>0</v>
      </c>
      <c r="S327">
        <f t="shared" si="972"/>
        <v>0</v>
      </c>
      <c r="T327">
        <f t="shared" si="973"/>
        <v>0</v>
      </c>
    </row>
    <row r="328" spans="1:20" x14ac:dyDescent="0.25">
      <c r="A328" s="5"/>
      <c r="C328"/>
      <c r="D328"/>
      <c r="P328">
        <f t="shared" si="969"/>
        <v>0</v>
      </c>
      <c r="Q328">
        <f t="shared" si="970"/>
        <v>0</v>
      </c>
      <c r="R328">
        <f t="shared" si="971"/>
        <v>0</v>
      </c>
      <c r="S328">
        <f t="shared" si="972"/>
        <v>0</v>
      </c>
      <c r="T328">
        <f t="shared" si="973"/>
        <v>0</v>
      </c>
    </row>
    <row r="329" spans="1:20" x14ac:dyDescent="0.25">
      <c r="A329" s="5"/>
      <c r="C329"/>
      <c r="D329"/>
      <c r="P329">
        <f t="shared" si="969"/>
        <v>0</v>
      </c>
      <c r="Q329">
        <f t="shared" si="970"/>
        <v>0</v>
      </c>
      <c r="R329">
        <f t="shared" si="971"/>
        <v>0</v>
      </c>
      <c r="S329">
        <f t="shared" si="972"/>
        <v>0</v>
      </c>
      <c r="T329">
        <f t="shared" si="973"/>
        <v>0</v>
      </c>
    </row>
    <row r="330" spans="1:20" x14ac:dyDescent="0.25">
      <c r="A330" s="5"/>
      <c r="C330"/>
      <c r="D330"/>
      <c r="P330">
        <f t="shared" si="969"/>
        <v>0</v>
      </c>
      <c r="Q330">
        <f t="shared" si="970"/>
        <v>0</v>
      </c>
      <c r="R330">
        <f t="shared" si="971"/>
        <v>0</v>
      </c>
      <c r="S330">
        <f t="shared" si="972"/>
        <v>0</v>
      </c>
      <c r="T330">
        <f t="shared" si="973"/>
        <v>0</v>
      </c>
    </row>
    <row r="331" spans="1:20" x14ac:dyDescent="0.25">
      <c r="A331" s="5"/>
      <c r="C331"/>
      <c r="D331"/>
      <c r="P331">
        <f t="shared" si="969"/>
        <v>0</v>
      </c>
      <c r="Q331">
        <f t="shared" si="970"/>
        <v>0</v>
      </c>
      <c r="R331">
        <f t="shared" si="971"/>
        <v>0</v>
      </c>
      <c r="S331">
        <f t="shared" si="972"/>
        <v>0</v>
      </c>
      <c r="T331">
        <f t="shared" si="973"/>
        <v>0</v>
      </c>
    </row>
    <row r="332" spans="1:20" x14ac:dyDescent="0.25">
      <c r="A332" s="5"/>
      <c r="C332"/>
      <c r="D332"/>
      <c r="P332">
        <f t="shared" si="969"/>
        <v>0</v>
      </c>
      <c r="Q332">
        <f t="shared" si="970"/>
        <v>0</v>
      </c>
      <c r="R332">
        <f t="shared" si="971"/>
        <v>0</v>
      </c>
      <c r="S332">
        <f t="shared" si="972"/>
        <v>0</v>
      </c>
      <c r="T332">
        <f t="shared" si="973"/>
        <v>0</v>
      </c>
    </row>
    <row r="333" spans="1:20" x14ac:dyDescent="0.25">
      <c r="A333" s="5"/>
      <c r="C333"/>
      <c r="D333"/>
      <c r="P333">
        <f t="shared" si="969"/>
        <v>0</v>
      </c>
      <c r="Q333">
        <f t="shared" si="970"/>
        <v>0</v>
      </c>
      <c r="R333">
        <f t="shared" si="971"/>
        <v>0</v>
      </c>
      <c r="S333">
        <f t="shared" si="972"/>
        <v>0</v>
      </c>
      <c r="T333">
        <f t="shared" si="973"/>
        <v>0</v>
      </c>
    </row>
    <row r="334" spans="1:20" x14ac:dyDescent="0.25">
      <c r="A334" s="5"/>
      <c r="C334"/>
      <c r="D334"/>
      <c r="P334">
        <f t="shared" si="969"/>
        <v>0</v>
      </c>
      <c r="Q334">
        <f t="shared" si="970"/>
        <v>0</v>
      </c>
      <c r="R334">
        <f t="shared" si="971"/>
        <v>0</v>
      </c>
      <c r="S334">
        <f t="shared" si="972"/>
        <v>0</v>
      </c>
      <c r="T334">
        <f t="shared" si="973"/>
        <v>0</v>
      </c>
    </row>
    <row r="335" spans="1:20" x14ac:dyDescent="0.25">
      <c r="A335" s="5"/>
      <c r="C335"/>
      <c r="D335"/>
      <c r="P335">
        <f t="shared" si="969"/>
        <v>0</v>
      </c>
      <c r="Q335">
        <f t="shared" si="970"/>
        <v>0</v>
      </c>
      <c r="R335">
        <f t="shared" si="971"/>
        <v>0</v>
      </c>
      <c r="S335">
        <f t="shared" si="972"/>
        <v>0</v>
      </c>
      <c r="T335">
        <f t="shared" si="973"/>
        <v>0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DP661" sqref="DP661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$A$660</v>
      </c>
      <c r="D111" s="1" t="str">
        <f>ADDRESS(C121-1,D121,1,1)</f>
        <v>$DP$660</v>
      </c>
      <c r="E111"/>
    </row>
    <row r="112" spans="1:5" x14ac:dyDescent="0.25">
      <c r="A112" s="7">
        <v>12164.144957890772</v>
      </c>
      <c r="C112" s="1" t="str">
        <f>ADDRESS(C121,1,1,1)</f>
        <v>$A$661</v>
      </c>
      <c r="D112" s="1" t="str">
        <f>ADDRESS(C121,D121-1,1,1)</f>
        <v>$DO$661</v>
      </c>
      <c r="E112"/>
    </row>
    <row r="113" spans="1:5" x14ac:dyDescent="0.25">
      <c r="A113" s="7">
        <v>11925.63231165762</v>
      </c>
      <c r="C113" s="1" t="str">
        <f>ADDRESS(C121+1,1,1,1)</f>
        <v>$A$662</v>
      </c>
      <c r="D113" s="1" t="str">
        <f>ADDRESS(C121-1,D121+1,1,1)</f>
        <v>$DQ$660</v>
      </c>
    </row>
    <row r="114" spans="1:5" x14ac:dyDescent="0.25">
      <c r="A114" s="7">
        <v>11691.796383978059</v>
      </c>
      <c r="C114" s="1" t="str">
        <f>ADDRESS(C121,D121,1,1)</f>
        <v>$DP$661</v>
      </c>
      <c r="D114" s="1" t="str">
        <f>ADDRESS(C121+1,D121+1,1,1)</f>
        <v>$DQ$662</v>
      </c>
    </row>
    <row r="115" spans="1:5" x14ac:dyDescent="0.25">
      <c r="A115" s="7">
        <v>11462.545474488292</v>
      </c>
      <c r="C115" s="1" t="str">
        <f>ADDRESS(C121+1,D121,1,1)</f>
        <v>$DP$662</v>
      </c>
    </row>
    <row r="116" spans="1:5" x14ac:dyDescent="0.25">
      <c r="A116" s="7">
        <v>11237.789680870874</v>
      </c>
      <c r="C116" s="1">
        <f>C117-1</f>
        <v>660</v>
      </c>
    </row>
    <row r="117" spans="1:5" x14ac:dyDescent="0.25">
      <c r="A117" s="7">
        <v>11017.440863598895</v>
      </c>
      <c r="C117" s="1">
        <f>C121</f>
        <v>661</v>
      </c>
      <c r="D117" s="1">
        <f>D121</f>
        <v>120</v>
      </c>
    </row>
    <row r="118" spans="1:5" x14ac:dyDescent="0.25">
      <c r="A118" s="7">
        <v>10801.412611371465</v>
      </c>
      <c r="C118" s="1">
        <f>C117+1</f>
        <v>662</v>
      </c>
      <c r="D118" s="1">
        <f>D117+1</f>
        <v>121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661</v>
      </c>
      <c r="D121" s="19">
        <v>120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R661</v>
      </c>
      <c r="D123" s="1" t="str">
        <f>"C"&amp;D121</f>
        <v>C120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0.23098686768674265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14" x14ac:dyDescent="0.25">
      <c r="A529" s="7">
        <v>3.1536243640574906</v>
      </c>
      <c r="B529"/>
      <c r="C529"/>
      <c r="D529"/>
      <c r="E529"/>
    </row>
    <row r="530" spans="1:14" x14ac:dyDescent="0.25">
      <c r="A530" s="7">
        <v>3.0917885922132262</v>
      </c>
      <c r="B530"/>
      <c r="C530"/>
      <c r="D530"/>
      <c r="E530"/>
    </row>
    <row r="531" spans="1:14" x14ac:dyDescent="0.25">
      <c r="A531" s="7">
        <v>3.0311652864835552</v>
      </c>
      <c r="B531"/>
      <c r="C531"/>
      <c r="D531"/>
      <c r="E531"/>
    </row>
    <row r="532" spans="1:14" x14ac:dyDescent="0.25">
      <c r="A532" s="7">
        <v>2.9717306730230932</v>
      </c>
      <c r="B532"/>
      <c r="C532"/>
      <c r="D532"/>
      <c r="E532"/>
    </row>
    <row r="533" spans="1:14" x14ac:dyDescent="0.25">
      <c r="A533" s="7">
        <v>2.9134614441402875</v>
      </c>
      <c r="B533"/>
      <c r="C533"/>
      <c r="D533"/>
      <c r="E533"/>
    </row>
    <row r="534" spans="1:14" x14ac:dyDescent="0.25">
      <c r="A534" s="7">
        <v>2.8563347491571447</v>
      </c>
      <c r="B534"/>
      <c r="C534"/>
      <c r="D534"/>
      <c r="E534"/>
    </row>
    <row r="535" spans="1:14" x14ac:dyDescent="0.25">
      <c r="A535" s="7">
        <v>2.8003281854481812</v>
      </c>
      <c r="B535"/>
      <c r="C535"/>
      <c r="D535"/>
      <c r="E535"/>
    </row>
    <row r="536" spans="1:14" x14ac:dyDescent="0.25">
      <c r="A536" s="7">
        <v>2.7454197896550796</v>
      </c>
      <c r="B536"/>
      <c r="C536"/>
      <c r="D536"/>
      <c r="E536"/>
      <c r="K536" s="27" t="s">
        <v>8</v>
      </c>
    </row>
    <row r="537" spans="1:14" x14ac:dyDescent="0.25">
      <c r="A537" s="7">
        <v>2.6915880290736074</v>
      </c>
      <c r="B537"/>
      <c r="C537"/>
      <c r="D537"/>
      <c r="E537"/>
      <c r="K537" s="27" t="s">
        <v>8</v>
      </c>
      <c r="L537" s="27" t="s">
        <v>7</v>
      </c>
    </row>
    <row r="538" spans="1:14" x14ac:dyDescent="0.25">
      <c r="A538" s="7">
        <v>2.6388117932094191</v>
      </c>
      <c r="B538"/>
      <c r="C538"/>
      <c r="D538"/>
      <c r="E538"/>
      <c r="K538" s="27" t="s">
        <v>8</v>
      </c>
      <c r="L538" s="27" t="s">
        <v>7</v>
      </c>
    </row>
    <row r="539" spans="1:14" x14ac:dyDescent="0.25">
      <c r="A539" s="7">
        <v>2.5870703854994304</v>
      </c>
      <c r="B539"/>
      <c r="C539"/>
      <c r="D539"/>
      <c r="E539"/>
      <c r="K539" s="27" t="s">
        <v>8</v>
      </c>
      <c r="L539" s="27" t="s">
        <v>7</v>
      </c>
    </row>
    <row r="540" spans="1:14" x14ac:dyDescent="0.25">
      <c r="A540" s="7">
        <v>2.53634351519552</v>
      </c>
      <c r="B540"/>
      <c r="C540"/>
      <c r="D540"/>
      <c r="E540"/>
      <c r="K540" s="27" t="s">
        <v>8</v>
      </c>
      <c r="L540" s="27" t="s">
        <v>7</v>
      </c>
    </row>
    <row r="541" spans="1:14" x14ac:dyDescent="0.25">
      <c r="A541" s="7">
        <v>2.4866112894073726</v>
      </c>
      <c r="B541"/>
      <c r="C541"/>
      <c r="D541"/>
      <c r="E541" t="s">
        <v>8</v>
      </c>
      <c r="K541" s="27" t="s">
        <v>8</v>
      </c>
      <c r="L541" s="27" t="s">
        <v>7</v>
      </c>
    </row>
    <row r="542" spans="1:14" x14ac:dyDescent="0.25">
      <c r="A542" s="7">
        <v>2.4378542053013459</v>
      </c>
      <c r="B542"/>
      <c r="C542"/>
      <c r="D542"/>
      <c r="E542" t="s">
        <v>8</v>
      </c>
      <c r="F542" s="27" t="s">
        <v>7</v>
      </c>
      <c r="K542" s="27" t="s">
        <v>8</v>
      </c>
      <c r="L542" s="27" t="s">
        <v>7</v>
      </c>
      <c r="M542" s="27" t="s">
        <v>8</v>
      </c>
    </row>
    <row r="543" spans="1:14" x14ac:dyDescent="0.25">
      <c r="A543" s="7">
        <v>2.3900531424522997</v>
      </c>
      <c r="B543"/>
      <c r="C543"/>
      <c r="D543"/>
      <c r="E543" t="s">
        <v>8</v>
      </c>
      <c r="F543" s="27" t="s">
        <v>7</v>
      </c>
      <c r="K543" s="27" t="s">
        <v>8</v>
      </c>
      <c r="L543" s="27" t="s">
        <v>7</v>
      </c>
      <c r="M543" s="27" t="s">
        <v>8</v>
      </c>
      <c r="N543" s="27" t="s">
        <v>7</v>
      </c>
    </row>
    <row r="544" spans="1:14" x14ac:dyDescent="0.25">
      <c r="A544" s="7">
        <v>2.343189355345392</v>
      </c>
      <c r="B544"/>
      <c r="C544"/>
      <c r="D544"/>
      <c r="E544" t="s">
        <v>8</v>
      </c>
      <c r="F544" s="27" t="s">
        <v>7</v>
      </c>
      <c r="K544" s="27" t="s">
        <v>8</v>
      </c>
      <c r="L544" s="27" t="s">
        <v>7</v>
      </c>
      <c r="M544" s="27" t="s">
        <v>8</v>
      </c>
      <c r="N544" s="27" t="s">
        <v>7</v>
      </c>
    </row>
    <row r="545" spans="1:56" x14ac:dyDescent="0.25">
      <c r="A545" s="7">
        <v>2.2972444660248938</v>
      </c>
      <c r="B545"/>
      <c r="C545"/>
      <c r="D545"/>
      <c r="E545" t="s">
        <v>8</v>
      </c>
      <c r="F545" s="27" t="s">
        <v>7</v>
      </c>
      <c r="I545" s="27" t="s">
        <v>8</v>
      </c>
      <c r="K545" s="27" t="s">
        <v>8</v>
      </c>
      <c r="L545" s="27" t="s">
        <v>7</v>
      </c>
      <c r="M545" s="27" t="s">
        <v>8</v>
      </c>
      <c r="N545" s="27" t="s">
        <v>7</v>
      </c>
    </row>
    <row r="546" spans="1:56" x14ac:dyDescent="0.25">
      <c r="A546" s="7">
        <v>2.252200456887151</v>
      </c>
      <c r="B546"/>
      <c r="C546"/>
      <c r="D546"/>
      <c r="E546" t="s">
        <v>8</v>
      </c>
      <c r="F546" s="27" t="s">
        <v>7</v>
      </c>
      <c r="I546" s="27" t="s">
        <v>8</v>
      </c>
      <c r="J546" s="27" t="s">
        <v>7</v>
      </c>
      <c r="K546" s="27" t="s">
        <v>8</v>
      </c>
      <c r="L546" s="27" t="s">
        <v>7</v>
      </c>
      <c r="M546" s="27" t="s">
        <v>8</v>
      </c>
      <c r="N546" s="27" t="s">
        <v>7</v>
      </c>
      <c r="O546" s="27" t="s">
        <v>8</v>
      </c>
    </row>
    <row r="547" spans="1:56" x14ac:dyDescent="0.25">
      <c r="A547" s="7">
        <v>2.208039663614854</v>
      </c>
      <c r="B547"/>
      <c r="C547"/>
      <c r="D547"/>
      <c r="E547" t="s">
        <v>8</v>
      </c>
      <c r="F547" s="27" t="s">
        <v>7</v>
      </c>
      <c r="I547" s="27" t="s">
        <v>8</v>
      </c>
      <c r="J547" s="27" t="s">
        <v>7</v>
      </c>
      <c r="K547" s="27" t="s">
        <v>8</v>
      </c>
      <c r="L547" s="27" t="s">
        <v>7</v>
      </c>
      <c r="M547" s="27" t="s">
        <v>8</v>
      </c>
      <c r="N547" s="27" t="s">
        <v>7</v>
      </c>
      <c r="O547" s="27" t="s">
        <v>8</v>
      </c>
      <c r="P547" s="27" t="s">
        <v>7</v>
      </c>
    </row>
    <row r="548" spans="1:56" x14ac:dyDescent="0.25">
      <c r="A548" s="7">
        <v>2.1647447682498568</v>
      </c>
      <c r="B548"/>
      <c r="C548"/>
      <c r="D548"/>
      <c r="E548" t="s">
        <v>8</v>
      </c>
      <c r="F548" s="27" t="s">
        <v>7</v>
      </c>
      <c r="I548" s="27" t="s">
        <v>8</v>
      </c>
      <c r="J548" s="27" t="s">
        <v>7</v>
      </c>
      <c r="K548" s="27" t="s">
        <v>8</v>
      </c>
      <c r="L548" s="27" t="s">
        <v>7</v>
      </c>
      <c r="M548" s="27" t="s">
        <v>8</v>
      </c>
      <c r="N548" s="27" t="s">
        <v>7</v>
      </c>
      <c r="O548" s="27" t="s">
        <v>8</v>
      </c>
      <c r="P548" s="27" t="s">
        <v>7</v>
      </c>
      <c r="Q548" s="27" t="s">
        <v>8</v>
      </c>
      <c r="U548" s="27" t="s">
        <v>8</v>
      </c>
    </row>
    <row r="549" spans="1:56" x14ac:dyDescent="0.25">
      <c r="A549" s="7">
        <v>2.1222987924018204</v>
      </c>
      <c r="B549"/>
      <c r="C549"/>
      <c r="D549"/>
      <c r="E549" t="s">
        <v>8</v>
      </c>
      <c r="F549" s="27" t="s">
        <v>7</v>
      </c>
      <c r="G549" s="27" t="s">
        <v>8</v>
      </c>
      <c r="I549" s="27" t="s">
        <v>8</v>
      </c>
      <c r="J549" s="27" t="s">
        <v>7</v>
      </c>
      <c r="K549" s="27" t="s">
        <v>8</v>
      </c>
      <c r="L549" s="27" t="s">
        <v>7</v>
      </c>
      <c r="M549" s="27" t="s">
        <v>8</v>
      </c>
      <c r="N549" s="27" t="s">
        <v>7</v>
      </c>
      <c r="O549" s="27" t="s">
        <v>8</v>
      </c>
      <c r="P549" s="27" t="s">
        <v>7</v>
      </c>
      <c r="Q549" s="27" t="s">
        <v>8</v>
      </c>
      <c r="R549" s="27" t="s">
        <v>7</v>
      </c>
      <c r="U549" s="27" t="s">
        <v>8</v>
      </c>
      <c r="V549" s="27" t="s">
        <v>7</v>
      </c>
      <c r="AY549" s="27" t="s">
        <v>8</v>
      </c>
    </row>
    <row r="550" spans="1:56" x14ac:dyDescent="0.25">
      <c r="A550" s="7">
        <v>2.0806850905900198</v>
      </c>
      <c r="B550"/>
      <c r="C550"/>
      <c r="D550"/>
      <c r="E550" t="s">
        <v>8</v>
      </c>
      <c r="F550" s="27" t="s">
        <v>7</v>
      </c>
      <c r="G550" s="27" t="s">
        <v>8</v>
      </c>
      <c r="H550" s="27" t="s">
        <v>7</v>
      </c>
      <c r="I550" s="27" t="s">
        <v>8</v>
      </c>
      <c r="J550" s="27" t="s">
        <v>7</v>
      </c>
      <c r="K550" s="27" t="s">
        <v>8</v>
      </c>
      <c r="L550" s="27" t="s">
        <v>7</v>
      </c>
      <c r="N550" s="27" t="s">
        <v>7</v>
      </c>
      <c r="P550" s="27" t="s">
        <v>7</v>
      </c>
      <c r="Q550" s="27" t="s">
        <v>8</v>
      </c>
      <c r="R550" s="27" t="s">
        <v>7</v>
      </c>
      <c r="S550" s="27" t="s">
        <v>8</v>
      </c>
      <c r="U550" s="27" t="s">
        <v>8</v>
      </c>
      <c r="V550" s="27" t="s">
        <v>7</v>
      </c>
      <c r="AY550" s="27" t="s">
        <v>8</v>
      </c>
      <c r="AZ550" s="27" t="s">
        <v>7</v>
      </c>
    </row>
    <row r="551" spans="1:56" x14ac:dyDescent="0.25">
      <c r="A551" s="7">
        <v>2.0398873437157055</v>
      </c>
      <c r="B551"/>
      <c r="C551"/>
      <c r="D551"/>
      <c r="E551" t="s">
        <v>8</v>
      </c>
      <c r="F551" s="27" t="s">
        <v>7</v>
      </c>
      <c r="G551" s="27" t="s">
        <v>8</v>
      </c>
      <c r="H551" s="27" t="s">
        <v>7</v>
      </c>
      <c r="I551" s="27" t="s">
        <v>8</v>
      </c>
      <c r="J551" s="27" t="s">
        <v>7</v>
      </c>
      <c r="P551" s="27" t="s">
        <v>7</v>
      </c>
      <c r="Q551" s="27" t="s">
        <v>8</v>
      </c>
      <c r="R551" s="27" t="s">
        <v>7</v>
      </c>
      <c r="S551" s="27" t="s">
        <v>8</v>
      </c>
      <c r="T551" s="27" t="s">
        <v>7</v>
      </c>
      <c r="U551" s="27" t="s">
        <v>8</v>
      </c>
      <c r="V551" s="27" t="s">
        <v>7</v>
      </c>
      <c r="AY551" s="27" t="s">
        <v>8</v>
      </c>
      <c r="AZ551" s="27" t="s">
        <v>7</v>
      </c>
    </row>
    <row r="552" spans="1:56" x14ac:dyDescent="0.25">
      <c r="A552" s="7">
        <v>1.9998895526624565</v>
      </c>
      <c r="B552"/>
      <c r="C552"/>
      <c r="D552"/>
      <c r="E552" t="s">
        <v>8</v>
      </c>
      <c r="F552" s="27" t="s">
        <v>7</v>
      </c>
      <c r="G552" s="27" t="s">
        <v>8</v>
      </c>
      <c r="H552" s="27" t="s">
        <v>7</v>
      </c>
      <c r="I552" s="27" t="s">
        <v>8</v>
      </c>
      <c r="P552" s="27" t="s">
        <v>7</v>
      </c>
      <c r="Q552" s="27" t="s">
        <v>8</v>
      </c>
      <c r="R552" s="27" t="s">
        <v>7</v>
      </c>
      <c r="S552" s="27" t="s">
        <v>8</v>
      </c>
      <c r="T552" s="27" t="s">
        <v>7</v>
      </c>
      <c r="U552" s="27" t="s">
        <v>8</v>
      </c>
      <c r="V552" s="27" t="s">
        <v>7</v>
      </c>
      <c r="AY552" s="27" t="s">
        <v>8</v>
      </c>
      <c r="AZ552" s="27" t="s">
        <v>7</v>
      </c>
      <c r="BA552" s="27" t="s">
        <v>8</v>
      </c>
    </row>
    <row r="553" spans="1:56" x14ac:dyDescent="0.25">
      <c r="A553" s="7">
        <v>1.9606760320220162</v>
      </c>
      <c r="B553"/>
      <c r="C553"/>
      <c r="D553"/>
      <c r="E553" t="s">
        <v>8</v>
      </c>
      <c r="F553" s="27" t="s">
        <v>7</v>
      </c>
      <c r="G553" s="27" t="s">
        <v>8</v>
      </c>
      <c r="H553" s="27" t="s">
        <v>7</v>
      </c>
      <c r="I553" s="27" t="s">
        <v>8</v>
      </c>
      <c r="P553" s="27" t="s">
        <v>7</v>
      </c>
      <c r="Q553" s="27" t="s">
        <v>8</v>
      </c>
      <c r="R553" s="27" t="s">
        <v>7</v>
      </c>
      <c r="S553" s="27" t="s">
        <v>8</v>
      </c>
      <c r="T553" s="27" t="s">
        <v>7</v>
      </c>
      <c r="U553" s="27" t="s">
        <v>8</v>
      </c>
      <c r="V553" s="27" t="s">
        <v>7</v>
      </c>
      <c r="AY553" s="27" t="s">
        <v>8</v>
      </c>
      <c r="AZ553" s="27" t="s">
        <v>7</v>
      </c>
      <c r="BA553" s="27" t="s">
        <v>8</v>
      </c>
      <c r="BB553" s="27" t="s">
        <v>7</v>
      </c>
      <c r="BC553" s="27" t="s">
        <v>8</v>
      </c>
    </row>
    <row r="554" spans="1:56" x14ac:dyDescent="0.25">
      <c r="A554" s="7">
        <v>1.9222314039431532</v>
      </c>
      <c r="B554"/>
      <c r="C554"/>
      <c r="D554"/>
      <c r="E554" t="s">
        <v>8</v>
      </c>
      <c r="F554" s="27" t="s">
        <v>7</v>
      </c>
      <c r="G554" s="27" t="s">
        <v>8</v>
      </c>
      <c r="H554" s="27" t="s">
        <v>7</v>
      </c>
      <c r="P554" s="27" t="s">
        <v>7</v>
      </c>
      <c r="R554" s="27" t="s">
        <v>7</v>
      </c>
      <c r="S554" s="27" t="s">
        <v>8</v>
      </c>
      <c r="T554" s="27" t="s">
        <v>7</v>
      </c>
      <c r="V554" s="27" t="s">
        <v>7</v>
      </c>
      <c r="AY554" s="27" t="s">
        <v>8</v>
      </c>
      <c r="AZ554" s="27" t="s">
        <v>7</v>
      </c>
      <c r="BA554" s="27" t="s">
        <v>8</v>
      </c>
      <c r="BB554" s="27" t="s">
        <v>7</v>
      </c>
      <c r="BC554" s="27" t="s">
        <v>8</v>
      </c>
      <c r="BD554" s="27" t="s">
        <v>7</v>
      </c>
    </row>
    <row r="555" spans="1:56" x14ac:dyDescent="0.25">
      <c r="A555" s="7">
        <v>1.8845405921011305</v>
      </c>
      <c r="B555"/>
      <c r="C555"/>
      <c r="D555"/>
      <c r="E555" t="s">
        <v>8</v>
      </c>
      <c r="F555" s="27" t="s">
        <v>7</v>
      </c>
      <c r="R555" s="27" t="s">
        <v>7</v>
      </c>
      <c r="S555" s="27" t="s">
        <v>8</v>
      </c>
      <c r="V555" s="27" t="s">
        <v>7</v>
      </c>
      <c r="AY555" s="27" t="s">
        <v>8</v>
      </c>
      <c r="AZ555" s="27" t="s">
        <v>7</v>
      </c>
      <c r="BA555" s="27" t="s">
        <v>8</v>
      </c>
      <c r="BB555" s="27" t="s">
        <v>7</v>
      </c>
      <c r="BC555" s="27" t="s">
        <v>8</v>
      </c>
      <c r="BD555" s="27" t="s">
        <v>7</v>
      </c>
    </row>
    <row r="556" spans="1:56" x14ac:dyDescent="0.25">
      <c r="A556" s="7">
        <v>1.8475888157854219</v>
      </c>
      <c r="B556"/>
      <c r="C556"/>
      <c r="D556"/>
      <c r="E556" t="s">
        <v>8</v>
      </c>
      <c r="R556" s="27" t="s">
        <v>7</v>
      </c>
      <c r="S556" s="27" t="s">
        <v>8</v>
      </c>
      <c r="V556" s="27" t="s">
        <v>7</v>
      </c>
      <c r="AY556" s="27" t="s">
        <v>8</v>
      </c>
      <c r="AZ556" s="27" t="s">
        <v>7</v>
      </c>
      <c r="BA556" s="27" t="s">
        <v>8</v>
      </c>
      <c r="BB556" s="27" t="s">
        <v>7</v>
      </c>
      <c r="BD556" s="27" t="s">
        <v>7</v>
      </c>
    </row>
    <row r="557" spans="1:56" x14ac:dyDescent="0.25">
      <c r="A557" s="7">
        <v>1.8113615841033548</v>
      </c>
      <c r="B557"/>
      <c r="C557"/>
      <c r="D557"/>
      <c r="E557" t="s">
        <v>8</v>
      </c>
      <c r="R557" s="27" t="s">
        <v>7</v>
      </c>
      <c r="V557" s="27" t="s">
        <v>7</v>
      </c>
      <c r="AY557" s="27" t="s">
        <v>8</v>
      </c>
      <c r="AZ557" s="27" t="s">
        <v>7</v>
      </c>
      <c r="BA557" s="27" t="s">
        <v>8</v>
      </c>
      <c r="BD557" s="27" t="s">
        <v>7</v>
      </c>
    </row>
    <row r="558" spans="1:56" x14ac:dyDescent="0.25">
      <c r="A558" s="7">
        <v>1.7758446902974065</v>
      </c>
      <c r="B558"/>
      <c r="C558"/>
      <c r="D558"/>
      <c r="E558" t="s">
        <v>8</v>
      </c>
      <c r="V558" s="27" t="s">
        <v>7</v>
      </c>
      <c r="W558" s="27" t="s">
        <v>8</v>
      </c>
      <c r="Y558" s="27" t="s">
        <v>8</v>
      </c>
      <c r="AY558" s="27" t="s">
        <v>8</v>
      </c>
      <c r="AZ558" s="27" t="s">
        <v>7</v>
      </c>
      <c r="BA558" s="27" t="s">
        <v>8</v>
      </c>
      <c r="BD558" s="27" t="s">
        <v>7</v>
      </c>
    </row>
    <row r="559" spans="1:56" x14ac:dyDescent="0.25">
      <c r="A559" s="7">
        <v>1.7410242061739281</v>
      </c>
      <c r="B559"/>
      <c r="C559"/>
      <c r="D559"/>
      <c r="E559" t="s">
        <v>8</v>
      </c>
      <c r="V559" s="27" t="s">
        <v>7</v>
      </c>
      <c r="W559" s="27" t="s">
        <v>8</v>
      </c>
      <c r="X559" s="27" t="s">
        <v>7</v>
      </c>
      <c r="Y559" s="27" t="s">
        <v>8</v>
      </c>
      <c r="Z559" s="27" t="s">
        <v>7</v>
      </c>
      <c r="AY559" s="27" t="s">
        <v>8</v>
      </c>
      <c r="AZ559" s="27" t="s">
        <v>7</v>
      </c>
      <c r="BA559" s="27" t="s">
        <v>8</v>
      </c>
      <c r="BD559" s="27" t="s">
        <v>7</v>
      </c>
    </row>
    <row r="560" spans="1:56" x14ac:dyDescent="0.25">
      <c r="A560" s="7">
        <v>1.7068864766411058</v>
      </c>
      <c r="B560"/>
      <c r="C560"/>
      <c r="D560"/>
      <c r="E560" t="s">
        <v>8</v>
      </c>
      <c r="V560" s="27" t="s">
        <v>7</v>
      </c>
      <c r="W560" s="27" t="s">
        <v>8</v>
      </c>
      <c r="X560" s="27" t="s">
        <v>7</v>
      </c>
      <c r="Y560" s="27" t="s">
        <v>8</v>
      </c>
      <c r="Z560" s="27" t="s">
        <v>7</v>
      </c>
      <c r="AA560" s="27" t="s">
        <v>8</v>
      </c>
      <c r="AU560" s="27" t="s">
        <v>8</v>
      </c>
      <c r="AY560" s="27" t="s">
        <v>8</v>
      </c>
      <c r="AZ560" s="27" t="s">
        <v>7</v>
      </c>
      <c r="BA560" s="27" t="s">
        <v>8</v>
      </c>
      <c r="BD560" s="27" t="s">
        <v>7</v>
      </c>
    </row>
    <row r="561" spans="1:71" x14ac:dyDescent="0.25">
      <c r="A561" s="7">
        <v>1.6734181143540252</v>
      </c>
      <c r="B561"/>
      <c r="C561"/>
      <c r="D561"/>
      <c r="E561" t="s">
        <v>8</v>
      </c>
      <c r="V561" s="27" t="s">
        <v>7</v>
      </c>
      <c r="W561" s="27" t="s">
        <v>8</v>
      </c>
      <c r="X561" s="27" t="s">
        <v>7</v>
      </c>
      <c r="Y561" s="27" t="s">
        <v>8</v>
      </c>
      <c r="Z561" s="27" t="s">
        <v>7</v>
      </c>
      <c r="AA561" s="27" t="s">
        <v>8</v>
      </c>
      <c r="AB561" s="27" t="s">
        <v>7</v>
      </c>
      <c r="AU561" s="27" t="s">
        <v>8</v>
      </c>
      <c r="AV561" s="27" t="s">
        <v>7</v>
      </c>
      <c r="AY561" s="27" t="s">
        <v>8</v>
      </c>
      <c r="AZ561" s="27" t="s">
        <v>7</v>
      </c>
      <c r="BA561" s="27" t="s">
        <v>8</v>
      </c>
      <c r="BD561" s="27" t="s">
        <v>7</v>
      </c>
    </row>
    <row r="562" spans="1:71" x14ac:dyDescent="0.25">
      <c r="A562" s="7">
        <v>1.6406059944647307</v>
      </c>
      <c r="B562"/>
      <c r="C562"/>
      <c r="D562"/>
      <c r="E562" t="s">
        <v>8</v>
      </c>
      <c r="V562" s="27" t="s">
        <v>7</v>
      </c>
      <c r="W562" s="27" t="s">
        <v>8</v>
      </c>
      <c r="X562" s="27" t="s">
        <v>7</v>
      </c>
      <c r="Y562" s="27" t="s">
        <v>8</v>
      </c>
      <c r="Z562" s="27" t="s">
        <v>7</v>
      </c>
      <c r="AA562" s="27" t="s">
        <v>8</v>
      </c>
      <c r="AB562" s="27" t="s">
        <v>7</v>
      </c>
      <c r="AU562" s="27" t="s">
        <v>8</v>
      </c>
      <c r="AV562" s="27" t="s">
        <v>7</v>
      </c>
      <c r="AY562" s="27" t="s">
        <v>8</v>
      </c>
      <c r="AZ562" s="27" t="s">
        <v>7</v>
      </c>
      <c r="BA562" s="27" t="s">
        <v>8</v>
      </c>
      <c r="BD562" s="27" t="s">
        <v>7</v>
      </c>
      <c r="BQ562" s="27" t="s">
        <v>8</v>
      </c>
    </row>
    <row r="563" spans="1:71" x14ac:dyDescent="0.25">
      <c r="A563" s="7">
        <v>1.6084372494752261</v>
      </c>
      <c r="B563"/>
      <c r="C563"/>
      <c r="D563"/>
      <c r="E563" t="s">
        <v>8</v>
      </c>
      <c r="V563" s="27" t="s">
        <v>7</v>
      </c>
      <c r="W563" s="27" t="s">
        <v>8</v>
      </c>
      <c r="X563" s="27" t="s">
        <v>7</v>
      </c>
      <c r="Y563" s="27" t="s">
        <v>8</v>
      </c>
      <c r="Z563" s="27" t="s">
        <v>7</v>
      </c>
      <c r="AA563" s="27" t="s">
        <v>8</v>
      </c>
      <c r="AB563" s="27" t="s">
        <v>7</v>
      </c>
      <c r="AU563" s="27" t="s">
        <v>8</v>
      </c>
      <c r="AV563" s="27" t="s">
        <v>7</v>
      </c>
      <c r="AY563" s="27" t="s">
        <v>8</v>
      </c>
      <c r="AZ563" s="27" t="s">
        <v>7</v>
      </c>
      <c r="BA563" s="27" t="s">
        <v>8</v>
      </c>
      <c r="BD563" s="27" t="s">
        <v>7</v>
      </c>
      <c r="BQ563" s="27" t="s">
        <v>8</v>
      </c>
      <c r="BR563" s="27" t="s">
        <v>7</v>
      </c>
    </row>
    <row r="564" spans="1:71" x14ac:dyDescent="0.25">
      <c r="A564" s="7">
        <v>1.5768992641913981</v>
      </c>
      <c r="B564"/>
      <c r="C564"/>
      <c r="D564"/>
      <c r="E564" t="s">
        <v>8</v>
      </c>
      <c r="V564" s="27" t="s">
        <v>7</v>
      </c>
      <c r="W564" s="27" t="s">
        <v>8</v>
      </c>
      <c r="X564" s="27" t="s">
        <v>7</v>
      </c>
      <c r="Y564" s="27" t="s">
        <v>8</v>
      </c>
      <c r="Z564" s="27" t="s">
        <v>7</v>
      </c>
      <c r="AB564" s="27" t="s">
        <v>7</v>
      </c>
      <c r="AC564" s="27" t="s">
        <v>8</v>
      </c>
      <c r="AU564" s="27" t="s">
        <v>8</v>
      </c>
      <c r="AV564" s="27" t="s">
        <v>7</v>
      </c>
      <c r="AY564" s="27" t="s">
        <v>8</v>
      </c>
      <c r="AZ564" s="27" t="s">
        <v>7</v>
      </c>
      <c r="BA564" s="27" t="s">
        <v>8</v>
      </c>
      <c r="BD564" s="27" t="s">
        <v>7</v>
      </c>
      <c r="BQ564" s="27" t="s">
        <v>8</v>
      </c>
      <c r="BR564" s="27" t="s">
        <v>7</v>
      </c>
    </row>
    <row r="565" spans="1:71" x14ac:dyDescent="0.25">
      <c r="A565" s="7">
        <v>1.5459796707758806</v>
      </c>
      <c r="B565"/>
      <c r="C565"/>
      <c r="D565"/>
      <c r="E565" t="s">
        <v>8</v>
      </c>
      <c r="V565" s="27" t="s">
        <v>7</v>
      </c>
      <c r="W565" s="27" t="s">
        <v>8</v>
      </c>
      <c r="X565" s="27" t="s">
        <v>7</v>
      </c>
      <c r="Y565" s="27" t="s">
        <v>8</v>
      </c>
      <c r="AB565" s="27" t="s">
        <v>7</v>
      </c>
      <c r="AC565" s="27" t="s">
        <v>8</v>
      </c>
      <c r="AD565" s="27" t="s">
        <v>7</v>
      </c>
      <c r="AU565" s="27" t="s">
        <v>8</v>
      </c>
      <c r="AV565" s="27" t="s">
        <v>7</v>
      </c>
      <c r="AY565" s="27" t="s">
        <v>8</v>
      </c>
      <c r="AZ565" s="27" t="s">
        <v>7</v>
      </c>
      <c r="BA565" s="27" t="s">
        <v>8</v>
      </c>
      <c r="BD565" s="27" t="s">
        <v>7</v>
      </c>
      <c r="BO565" s="27" t="s">
        <v>8</v>
      </c>
      <c r="BQ565" s="27" t="s">
        <v>8</v>
      </c>
      <c r="BR565" s="27" t="s">
        <v>7</v>
      </c>
    </row>
    <row r="566" spans="1:71" x14ac:dyDescent="0.25">
      <c r="A566" s="7">
        <v>1.5156663438979221</v>
      </c>
      <c r="B566"/>
      <c r="C566"/>
      <c r="D566"/>
      <c r="E566" t="s">
        <v>8</v>
      </c>
      <c r="V566" s="27" t="s">
        <v>7</v>
      </c>
      <c r="W566" s="27" t="s">
        <v>8</v>
      </c>
      <c r="X566" s="27" t="s">
        <v>7</v>
      </c>
      <c r="Y566" s="27" t="s">
        <v>8</v>
      </c>
      <c r="AB566" s="27" t="s">
        <v>7</v>
      </c>
      <c r="AC566" s="27" t="s">
        <v>8</v>
      </c>
      <c r="AD566" s="27" t="s">
        <v>7</v>
      </c>
      <c r="AU566" s="27" t="s">
        <v>8</v>
      </c>
      <c r="AV566" s="27" t="s">
        <v>7</v>
      </c>
      <c r="AW566" s="27" t="s">
        <v>8</v>
      </c>
      <c r="AY566" s="27" t="s">
        <v>8</v>
      </c>
      <c r="AZ566" s="27" t="s">
        <v>7</v>
      </c>
      <c r="BA566" s="27" t="s">
        <v>8</v>
      </c>
      <c r="BD566" s="27" t="s">
        <v>7</v>
      </c>
      <c r="BO566" s="27" t="s">
        <v>8</v>
      </c>
      <c r="BP566" s="27" t="s">
        <v>7</v>
      </c>
      <c r="BQ566" s="27" t="s">
        <v>8</v>
      </c>
      <c r="BR566" s="27" t="s">
        <v>7</v>
      </c>
    </row>
    <row r="567" spans="1:71" x14ac:dyDescent="0.25">
      <c r="A567" s="7">
        <v>1.4859473959783549</v>
      </c>
      <c r="B567"/>
      <c r="C567"/>
      <c r="D567"/>
      <c r="E567" t="s">
        <v>8</v>
      </c>
      <c r="V567" s="27" t="s">
        <v>7</v>
      </c>
      <c r="W567" s="27" t="s">
        <v>8</v>
      </c>
      <c r="X567" s="27" t="s">
        <v>7</v>
      </c>
      <c r="Y567" s="27" t="s">
        <v>8</v>
      </c>
      <c r="AB567" s="27" t="s">
        <v>7</v>
      </c>
      <c r="AC567" s="27" t="s">
        <v>8</v>
      </c>
      <c r="AD567" s="27" t="s">
        <v>7</v>
      </c>
      <c r="AS567" s="27" t="s">
        <v>8</v>
      </c>
      <c r="AU567" s="27" t="s">
        <v>8</v>
      </c>
      <c r="AV567" s="27" t="s">
        <v>7</v>
      </c>
      <c r="AW567" s="27" t="s">
        <v>8</v>
      </c>
      <c r="AX567" s="27" t="s">
        <v>7</v>
      </c>
      <c r="AY567" s="27" t="s">
        <v>8</v>
      </c>
      <c r="AZ567" s="27" t="s">
        <v>7</v>
      </c>
      <c r="BA567" s="27" t="s">
        <v>8</v>
      </c>
      <c r="BD567" s="27" t="s">
        <v>7</v>
      </c>
      <c r="BO567" s="27" t="s">
        <v>8</v>
      </c>
      <c r="BP567" s="27" t="s">
        <v>7</v>
      </c>
      <c r="BQ567" s="27" t="s">
        <v>8</v>
      </c>
      <c r="BR567" s="27" t="s">
        <v>7</v>
      </c>
    </row>
    <row r="568" spans="1:71" x14ac:dyDescent="0.25">
      <c r="A568" s="7">
        <v>1.4568111725277988</v>
      </c>
      <c r="B568"/>
      <c r="C568"/>
      <c r="D568"/>
      <c r="E568" t="s">
        <v>8</v>
      </c>
      <c r="V568" s="27" t="s">
        <v>7</v>
      </c>
      <c r="W568" s="27" t="s">
        <v>8</v>
      </c>
      <c r="X568" s="27" t="s">
        <v>7</v>
      </c>
      <c r="AB568" s="27" t="s">
        <v>7</v>
      </c>
      <c r="AD568" s="27" t="s">
        <v>7</v>
      </c>
      <c r="AS568" s="27" t="s">
        <v>8</v>
      </c>
      <c r="AT568" s="27" t="s">
        <v>7</v>
      </c>
      <c r="AU568" s="27" t="s">
        <v>8</v>
      </c>
      <c r="AV568" s="27" t="s">
        <v>7</v>
      </c>
      <c r="AW568" s="27" t="s">
        <v>8</v>
      </c>
      <c r="AX568" s="27" t="s">
        <v>7</v>
      </c>
      <c r="AY568" s="27" t="s">
        <v>8</v>
      </c>
      <c r="AZ568" s="27" t="s">
        <v>7</v>
      </c>
      <c r="BA568" s="27" t="s">
        <v>8</v>
      </c>
      <c r="BD568" s="27" t="s">
        <v>7</v>
      </c>
      <c r="BO568" s="27" t="s">
        <v>8</v>
      </c>
      <c r="BP568" s="27" t="s">
        <v>7</v>
      </c>
      <c r="BQ568" s="27" t="s">
        <v>8</v>
      </c>
      <c r="BR568" s="27" t="s">
        <v>7</v>
      </c>
    </row>
    <row r="569" spans="1:71" x14ac:dyDescent="0.25">
      <c r="A569" s="7">
        <v>1.4282462475762734</v>
      </c>
      <c r="B569"/>
      <c r="C569"/>
      <c r="D569"/>
      <c r="E569" t="s">
        <v>8</v>
      </c>
      <c r="V569" s="27" t="s">
        <v>7</v>
      </c>
      <c r="AD569" s="27" t="s">
        <v>7</v>
      </c>
      <c r="AO569" s="27" t="s">
        <v>8</v>
      </c>
      <c r="AQ569" s="27" t="s">
        <v>8</v>
      </c>
      <c r="AS569" s="27" t="s">
        <v>8</v>
      </c>
      <c r="AT569" s="27" t="s">
        <v>7</v>
      </c>
      <c r="AU569" s="27" t="s">
        <v>8</v>
      </c>
      <c r="AV569" s="27" t="s">
        <v>7</v>
      </c>
      <c r="AX569" s="27" t="s">
        <v>7</v>
      </c>
      <c r="AY569" s="27" t="s">
        <v>8</v>
      </c>
      <c r="AZ569" s="27" t="s">
        <v>7</v>
      </c>
      <c r="BA569" s="27" t="s">
        <v>8</v>
      </c>
      <c r="BD569" s="27" t="s">
        <v>7</v>
      </c>
      <c r="BO569" s="27" t="s">
        <v>8</v>
      </c>
      <c r="BP569" s="27" t="s">
        <v>7</v>
      </c>
      <c r="BQ569" s="27" t="s">
        <v>8</v>
      </c>
      <c r="BR569" s="27" t="s">
        <v>7</v>
      </c>
    </row>
    <row r="570" spans="1:71" x14ac:dyDescent="0.25">
      <c r="A570" s="7">
        <v>1.4002414191924248</v>
      </c>
      <c r="B570"/>
      <c r="C570"/>
      <c r="D570"/>
      <c r="E570" t="s">
        <v>8</v>
      </c>
      <c r="AD570" s="27" t="s">
        <v>7</v>
      </c>
      <c r="AM570" s="27" t="s">
        <v>8</v>
      </c>
      <c r="AO570" s="27" t="s">
        <v>8</v>
      </c>
      <c r="AP570" s="27" t="s">
        <v>7</v>
      </c>
      <c r="AQ570" s="27" t="s">
        <v>8</v>
      </c>
      <c r="AR570" s="27" t="s">
        <v>7</v>
      </c>
      <c r="AS570" s="27" t="s">
        <v>8</v>
      </c>
      <c r="AT570" s="27" t="s">
        <v>7</v>
      </c>
      <c r="AU570" s="27" t="s">
        <v>8</v>
      </c>
      <c r="AX570" s="27" t="s">
        <v>7</v>
      </c>
      <c r="AY570" s="27" t="s">
        <v>8</v>
      </c>
      <c r="AZ570" s="27" t="s">
        <v>7</v>
      </c>
      <c r="BA570" s="27" t="s">
        <v>8</v>
      </c>
      <c r="BD570" s="27" t="s">
        <v>7</v>
      </c>
      <c r="BE570" s="27" t="s">
        <v>8</v>
      </c>
      <c r="BO570" s="27" t="s">
        <v>8</v>
      </c>
      <c r="BP570" s="27" t="s">
        <v>7</v>
      </c>
      <c r="BQ570" s="27" t="s">
        <v>8</v>
      </c>
      <c r="BR570" s="27" t="s">
        <v>7</v>
      </c>
    </row>
    <row r="571" spans="1:71" x14ac:dyDescent="0.25">
      <c r="A571" s="7">
        <v>1.3727857050906125</v>
      </c>
      <c r="B571"/>
      <c r="C571"/>
      <c r="D571"/>
      <c r="E571" t="s">
        <v>8</v>
      </c>
      <c r="AD571" s="27" t="s">
        <v>7</v>
      </c>
      <c r="AM571" s="27" t="s">
        <v>8</v>
      </c>
      <c r="AN571" s="27" t="s">
        <v>7</v>
      </c>
      <c r="AO571" s="27" t="s">
        <v>8</v>
      </c>
      <c r="AP571" s="27" t="s">
        <v>7</v>
      </c>
      <c r="AQ571" s="27" t="s">
        <v>8</v>
      </c>
      <c r="AR571" s="27" t="s">
        <v>7</v>
      </c>
      <c r="AS571" s="27" t="s">
        <v>8</v>
      </c>
      <c r="AT571" s="27" t="s">
        <v>7</v>
      </c>
      <c r="AU571" s="27" t="s">
        <v>8</v>
      </c>
      <c r="AX571" s="27" t="s">
        <v>7</v>
      </c>
      <c r="AZ571" s="27" t="s">
        <v>7</v>
      </c>
      <c r="BA571" s="27" t="s">
        <v>8</v>
      </c>
      <c r="BD571" s="27" t="s">
        <v>7</v>
      </c>
      <c r="BE571" s="27" t="s">
        <v>8</v>
      </c>
      <c r="BF571" s="27" t="s">
        <v>7</v>
      </c>
      <c r="BO571" s="27" t="s">
        <v>8</v>
      </c>
      <c r="BP571" s="27" t="s">
        <v>7</v>
      </c>
      <c r="BQ571" s="27" t="s">
        <v>8</v>
      </c>
      <c r="BR571" s="27" t="s">
        <v>7</v>
      </c>
    </row>
    <row r="572" spans="1:71" x14ac:dyDescent="0.25">
      <c r="A572" s="7">
        <v>1.3458683383241299</v>
      </c>
      <c r="B572"/>
      <c r="C572"/>
      <c r="D572"/>
      <c r="E572" t="s">
        <v>8</v>
      </c>
      <c r="AD572" s="27" t="s">
        <v>7</v>
      </c>
      <c r="AM572" s="27" t="s">
        <v>8</v>
      </c>
      <c r="AN572" s="27" t="s">
        <v>7</v>
      </c>
      <c r="AO572" s="27" t="s">
        <v>8</v>
      </c>
      <c r="AP572" s="27" t="s">
        <v>7</v>
      </c>
      <c r="AQ572" s="27" t="s">
        <v>8</v>
      </c>
      <c r="AR572" s="27" t="s">
        <v>7</v>
      </c>
      <c r="AT572" s="27" t="s">
        <v>7</v>
      </c>
      <c r="AU572" s="27" t="s">
        <v>8</v>
      </c>
      <c r="AZ572" s="27" t="s">
        <v>7</v>
      </c>
      <c r="BA572" s="27" t="s">
        <v>8</v>
      </c>
      <c r="BD572" s="27" t="s">
        <v>7</v>
      </c>
      <c r="BE572" s="27" t="s">
        <v>8</v>
      </c>
      <c r="BF572" s="27" t="s">
        <v>7</v>
      </c>
      <c r="BO572" s="27" t="s">
        <v>8</v>
      </c>
      <c r="BP572" s="27" t="s">
        <v>7</v>
      </c>
      <c r="BR572" s="27" t="s">
        <v>7</v>
      </c>
    </row>
    <row r="573" spans="1:71" x14ac:dyDescent="0.25">
      <c r="A573" s="7">
        <v>1.3194787630628724</v>
      </c>
      <c r="B573"/>
      <c r="C573"/>
      <c r="D573"/>
      <c r="E573" t="s">
        <v>8</v>
      </c>
      <c r="AD573" s="18" t="s">
        <v>7</v>
      </c>
      <c r="AM573" s="27" t="s">
        <v>8</v>
      </c>
      <c r="AN573" s="27" t="s">
        <v>7</v>
      </c>
      <c r="AO573" s="27" t="s">
        <v>8</v>
      </c>
      <c r="AP573" s="27" t="s">
        <v>7</v>
      </c>
      <c r="AT573" s="27" t="s">
        <v>7</v>
      </c>
      <c r="AU573" s="27" t="s">
        <v>8</v>
      </c>
      <c r="AZ573" s="27" t="s">
        <v>7</v>
      </c>
      <c r="BD573" s="27" t="s">
        <v>7</v>
      </c>
      <c r="BE573" s="27" t="s">
        <v>8</v>
      </c>
      <c r="BF573" s="27" t="s">
        <v>7</v>
      </c>
      <c r="BG573" s="27" t="s">
        <v>8</v>
      </c>
      <c r="BK573" s="27" t="s">
        <v>8</v>
      </c>
      <c r="BO573" s="27" t="s">
        <v>8</v>
      </c>
      <c r="BR573" s="27" t="s">
        <v>7</v>
      </c>
    </row>
    <row r="574" spans="1:71" x14ac:dyDescent="0.25">
      <c r="A574" s="7">
        <v>1.2936066304537963</v>
      </c>
      <c r="B574"/>
      <c r="C574"/>
      <c r="D574"/>
      <c r="E574" t="s">
        <v>8</v>
      </c>
      <c r="AD574" s="27" t="s">
        <v>7</v>
      </c>
      <c r="AM574" s="27" t="s">
        <v>8</v>
      </c>
      <c r="AN574" s="27" t="s">
        <v>7</v>
      </c>
      <c r="AO574" s="27" t="s">
        <v>8</v>
      </c>
      <c r="AT574" s="27" t="s">
        <v>7</v>
      </c>
      <c r="AU574" s="27" t="s">
        <v>8</v>
      </c>
      <c r="BD574" s="27" t="s">
        <v>7</v>
      </c>
      <c r="BE574" s="27" t="s">
        <v>8</v>
      </c>
      <c r="BF574" s="27" t="s">
        <v>7</v>
      </c>
      <c r="BG574" s="27" t="s">
        <v>8</v>
      </c>
      <c r="BH574" s="27" t="s">
        <v>7</v>
      </c>
      <c r="BI574" s="27" t="s">
        <v>8</v>
      </c>
      <c r="BK574" s="27" t="s">
        <v>8</v>
      </c>
      <c r="BL574" s="27" t="s">
        <v>7</v>
      </c>
      <c r="BO574" s="27" t="s">
        <v>8</v>
      </c>
      <c r="BR574" s="27" t="s">
        <v>7</v>
      </c>
    </row>
    <row r="575" spans="1:71" x14ac:dyDescent="0.25">
      <c r="A575" s="7">
        <v>1.2682417945625455</v>
      </c>
      <c r="B575"/>
      <c r="C575"/>
      <c r="D575"/>
      <c r="E575" t="s">
        <v>8</v>
      </c>
      <c r="AD575" s="27" t="s">
        <v>7</v>
      </c>
      <c r="AE575" s="27" t="s">
        <v>8</v>
      </c>
      <c r="AG575" s="27" t="s">
        <v>8</v>
      </c>
      <c r="AM575" s="27" t="s">
        <v>8</v>
      </c>
      <c r="AN575" s="27" t="s">
        <v>7</v>
      </c>
      <c r="AO575" s="27" t="s">
        <v>8</v>
      </c>
      <c r="AT575" s="27" t="s">
        <v>7</v>
      </c>
      <c r="BD575" s="27" t="s">
        <v>7</v>
      </c>
      <c r="BF575" s="27" t="s">
        <v>7</v>
      </c>
      <c r="BG575" s="27" t="s">
        <v>8</v>
      </c>
      <c r="BH575" s="27" t="s">
        <v>7</v>
      </c>
      <c r="BI575" s="27" t="s">
        <v>8</v>
      </c>
      <c r="BJ575" s="27" t="s">
        <v>7</v>
      </c>
      <c r="BK575" s="27" t="s">
        <v>8</v>
      </c>
      <c r="BL575" s="27" t="s">
        <v>7</v>
      </c>
      <c r="BM575" s="27" t="s">
        <v>8</v>
      </c>
      <c r="BO575" s="27" t="s">
        <v>8</v>
      </c>
      <c r="BR575" s="27" t="s">
        <v>7</v>
      </c>
    </row>
    <row r="576" spans="1:71" x14ac:dyDescent="0.25">
      <c r="A576" s="7">
        <v>1.2433743083946525</v>
      </c>
      <c r="B576"/>
      <c r="C576"/>
      <c r="D576"/>
      <c r="E576" t="s">
        <v>8</v>
      </c>
      <c r="AD576" s="27" t="s">
        <v>7</v>
      </c>
      <c r="AE576" s="27" t="s">
        <v>8</v>
      </c>
      <c r="AF576" s="27" t="s">
        <v>7</v>
      </c>
      <c r="AG576" s="27" t="s">
        <v>8</v>
      </c>
      <c r="AH576" s="27" t="s">
        <v>7</v>
      </c>
      <c r="AM576" s="27" t="s">
        <v>8</v>
      </c>
      <c r="AN576" s="27" t="s">
        <v>7</v>
      </c>
      <c r="BF576" s="27" t="s">
        <v>7</v>
      </c>
      <c r="BG576" s="27" t="s">
        <v>8</v>
      </c>
      <c r="BH576" s="27" t="s">
        <v>7</v>
      </c>
      <c r="BI576" s="27" t="s">
        <v>8</v>
      </c>
      <c r="BJ576" s="27" t="s">
        <v>7</v>
      </c>
      <c r="BK576" s="27" t="s">
        <v>8</v>
      </c>
      <c r="BL576" s="27" t="s">
        <v>7</v>
      </c>
      <c r="BM576" s="27" t="s">
        <v>8</v>
      </c>
      <c r="BN576" s="27" t="s">
        <v>7</v>
      </c>
      <c r="BO576" s="27" t="s">
        <v>8</v>
      </c>
      <c r="BR576" s="27" t="s">
        <v>7</v>
      </c>
      <c r="BS576" s="27" t="s">
        <v>8</v>
      </c>
    </row>
    <row r="577" spans="1:82" x14ac:dyDescent="0.25">
      <c r="A577" s="7">
        <v>1.2189944199947573</v>
      </c>
      <c r="B577"/>
      <c r="C577"/>
      <c r="D577"/>
      <c r="E577" t="s">
        <v>8</v>
      </c>
      <c r="AD577" s="27" t="s">
        <v>7</v>
      </c>
      <c r="AE577" s="27" t="s">
        <v>8</v>
      </c>
      <c r="AF577" s="27" t="s">
        <v>7</v>
      </c>
      <c r="AG577" s="27" t="s">
        <v>8</v>
      </c>
      <c r="AH577" s="27" t="s">
        <v>7</v>
      </c>
      <c r="AI577" s="27" t="s">
        <v>8</v>
      </c>
      <c r="AM577" s="27" t="s">
        <v>8</v>
      </c>
      <c r="BF577" s="27" t="s">
        <v>7</v>
      </c>
      <c r="BG577" s="27" t="s">
        <v>8</v>
      </c>
      <c r="BH577" s="27" t="s">
        <v>7</v>
      </c>
      <c r="BI577" s="27" t="s">
        <v>8</v>
      </c>
      <c r="BJ577" s="27" t="s">
        <v>7</v>
      </c>
      <c r="BK577" s="27" t="s">
        <v>8</v>
      </c>
      <c r="BL577" s="27" t="s">
        <v>7</v>
      </c>
      <c r="BM577" s="27" t="s">
        <v>8</v>
      </c>
      <c r="BN577" s="27" t="s">
        <v>7</v>
      </c>
      <c r="BO577" s="27" t="s">
        <v>8</v>
      </c>
      <c r="BR577" s="27" t="s">
        <v>7</v>
      </c>
      <c r="BS577" s="27" t="s">
        <v>8</v>
      </c>
      <c r="BT577" s="27" t="s">
        <v>7</v>
      </c>
    </row>
    <row r="578" spans="1:82" x14ac:dyDescent="0.25">
      <c r="A578" s="7">
        <v>1.1950925686223111</v>
      </c>
      <c r="B578"/>
      <c r="C578"/>
      <c r="D578"/>
      <c r="E578" t="s">
        <v>8</v>
      </c>
      <c r="AD578" s="27" t="s">
        <v>7</v>
      </c>
      <c r="AE578" s="27" t="s">
        <v>8</v>
      </c>
      <c r="AF578" s="27" t="s">
        <v>7</v>
      </c>
      <c r="AG578" s="27" t="s">
        <v>8</v>
      </c>
      <c r="AH578" s="27" t="s">
        <v>7</v>
      </c>
      <c r="AI578" s="27" t="s">
        <v>8</v>
      </c>
      <c r="AJ578" s="27" t="s">
        <v>7</v>
      </c>
      <c r="AK578" s="27" t="s">
        <v>8</v>
      </c>
      <c r="AM578" s="27" t="s">
        <v>8</v>
      </c>
      <c r="BF578" s="27" t="s">
        <v>7</v>
      </c>
      <c r="BG578" s="27" t="s">
        <v>8</v>
      </c>
      <c r="BH578" s="27" t="s">
        <v>7</v>
      </c>
      <c r="BI578" s="27" t="s">
        <v>8</v>
      </c>
      <c r="BJ578" s="27" t="s">
        <v>7</v>
      </c>
      <c r="BL578" s="27" t="s">
        <v>7</v>
      </c>
      <c r="BN578" s="27" t="s">
        <v>7</v>
      </c>
      <c r="BO578" s="27" t="s">
        <v>8</v>
      </c>
      <c r="BR578" s="27" t="s">
        <v>7</v>
      </c>
      <c r="BS578" s="27" t="s">
        <v>8</v>
      </c>
      <c r="BT578" s="27" t="s">
        <v>7</v>
      </c>
    </row>
    <row r="579" spans="1:82" x14ac:dyDescent="0.25">
      <c r="A579" s="7">
        <v>1.1716593810022657</v>
      </c>
      <c r="B579"/>
      <c r="C579"/>
      <c r="D579"/>
      <c r="E579" t="s">
        <v>8</v>
      </c>
      <c r="AD579" s="27" t="s">
        <v>7</v>
      </c>
      <c r="AE579" s="27" t="s">
        <v>8</v>
      </c>
      <c r="AF579" s="27" t="s">
        <v>7</v>
      </c>
      <c r="AH579" s="27" t="s">
        <v>7</v>
      </c>
      <c r="AI579" s="27" t="s">
        <v>8</v>
      </c>
      <c r="AJ579" s="27" t="s">
        <v>7</v>
      </c>
      <c r="AK579" s="27" t="s">
        <v>8</v>
      </c>
      <c r="AL579" s="27" t="s">
        <v>7</v>
      </c>
      <c r="AM579" s="27" t="s">
        <v>8</v>
      </c>
      <c r="BF579" s="27" t="s">
        <v>7</v>
      </c>
      <c r="BG579" s="27" t="s">
        <v>8</v>
      </c>
      <c r="BH579" s="27" t="s">
        <v>7</v>
      </c>
      <c r="BI579" s="27" t="s">
        <v>8</v>
      </c>
      <c r="BN579" s="27" t="s">
        <v>7</v>
      </c>
      <c r="BO579" s="27" t="s">
        <v>8</v>
      </c>
      <c r="BR579" s="27" t="s">
        <v>7</v>
      </c>
      <c r="BT579" s="27" t="s">
        <v>7</v>
      </c>
    </row>
    <row r="580" spans="1:82" x14ac:dyDescent="0.25">
      <c r="A580" s="7">
        <v>1.14868566764928</v>
      </c>
      <c r="B580"/>
      <c r="C580"/>
      <c r="D580"/>
      <c r="E580" t="s">
        <v>8</v>
      </c>
      <c r="AD580" s="27" t="s">
        <v>7</v>
      </c>
      <c r="AE580" s="27" t="s">
        <v>8</v>
      </c>
      <c r="AH580" s="27" t="s">
        <v>7</v>
      </c>
      <c r="AI580" s="27" t="s">
        <v>8</v>
      </c>
      <c r="AJ580" s="27" t="s">
        <v>7</v>
      </c>
      <c r="AK580" s="27" t="s">
        <v>8</v>
      </c>
      <c r="AL580" s="27" t="s">
        <v>7</v>
      </c>
      <c r="AM580" s="27" t="s">
        <v>8</v>
      </c>
      <c r="BF580" s="27" t="s">
        <v>7</v>
      </c>
      <c r="BG580" s="27" t="s">
        <v>8</v>
      </c>
      <c r="BH580" s="27" t="s">
        <v>7</v>
      </c>
      <c r="BI580" s="27" t="s">
        <v>8</v>
      </c>
      <c r="BN580" s="27" t="s">
        <v>7</v>
      </c>
      <c r="BO580" s="27" t="s">
        <v>8</v>
      </c>
      <c r="BT580" s="27" t="s">
        <v>7</v>
      </c>
    </row>
    <row r="581" spans="1:82" x14ac:dyDescent="0.25">
      <c r="A581" s="7">
        <v>1.1261624192640001</v>
      </c>
      <c r="B581"/>
      <c r="C581"/>
      <c r="D581"/>
      <c r="E581" t="s">
        <v>8</v>
      </c>
      <c r="AD581" s="27" t="s">
        <v>7</v>
      </c>
      <c r="AE581" s="27" t="s">
        <v>8</v>
      </c>
      <c r="AH581" s="27" t="s">
        <v>7</v>
      </c>
      <c r="AI581" s="27" t="s">
        <v>8</v>
      </c>
      <c r="AJ581" s="27" t="s">
        <v>7</v>
      </c>
      <c r="AK581" s="27" t="s">
        <v>8</v>
      </c>
      <c r="AL581" s="27" t="s">
        <v>7</v>
      </c>
      <c r="AM581" s="27" t="s">
        <v>8</v>
      </c>
      <c r="BF581" s="27" t="s">
        <v>7</v>
      </c>
      <c r="BG581" s="27" t="s">
        <v>8</v>
      </c>
      <c r="BH581" s="27" t="s">
        <v>7</v>
      </c>
      <c r="BI581" s="27" t="s">
        <v>8</v>
      </c>
      <c r="BN581" s="27" t="s">
        <v>7</v>
      </c>
      <c r="BT581" s="27" t="s">
        <v>7</v>
      </c>
      <c r="BW581" s="27" t="s">
        <v>8</v>
      </c>
    </row>
    <row r="582" spans="1:82" x14ac:dyDescent="0.25">
      <c r="A582" s="7">
        <v>1.1040808032</v>
      </c>
      <c r="B582"/>
      <c r="C582"/>
      <c r="D582"/>
      <c r="E582" t="s">
        <v>8</v>
      </c>
      <c r="AD582" s="27" t="s">
        <v>7</v>
      </c>
      <c r="AE582" s="27" t="s">
        <v>8</v>
      </c>
      <c r="AH582" s="27" t="s">
        <v>7</v>
      </c>
      <c r="AI582" s="27" t="s">
        <v>8</v>
      </c>
      <c r="AJ582" s="27" t="s">
        <v>7</v>
      </c>
      <c r="AL582" s="27" t="s">
        <v>7</v>
      </c>
      <c r="BF582" s="27" t="s">
        <v>7</v>
      </c>
      <c r="BG582" s="27" t="s">
        <v>8</v>
      </c>
      <c r="BH582" s="27" t="s">
        <v>7</v>
      </c>
      <c r="BI582" s="27" t="s">
        <v>8</v>
      </c>
      <c r="BT582" s="27" t="s">
        <v>7</v>
      </c>
      <c r="BW582" s="27" t="s">
        <v>8</v>
      </c>
      <c r="BX582" s="27" t="s">
        <v>7</v>
      </c>
    </row>
    <row r="583" spans="1:82" x14ac:dyDescent="0.25">
      <c r="A583" s="7">
        <v>1.08243216</v>
      </c>
      <c r="B583"/>
      <c r="C583"/>
      <c r="D583"/>
      <c r="E583" t="s">
        <v>8</v>
      </c>
      <c r="AD583" s="27" t="s">
        <v>7</v>
      </c>
      <c r="AE583" s="27" t="s">
        <v>8</v>
      </c>
      <c r="AH583" s="27" t="s">
        <v>7</v>
      </c>
      <c r="AI583" s="27" t="s">
        <v>8</v>
      </c>
      <c r="BF583" s="27" t="s">
        <v>7</v>
      </c>
      <c r="BG583" s="27" t="s">
        <v>8</v>
      </c>
      <c r="BH583" s="27" t="s">
        <v>7</v>
      </c>
      <c r="BT583" s="27" t="s">
        <v>7</v>
      </c>
      <c r="BU583" s="27" t="s">
        <v>8</v>
      </c>
      <c r="BW583" s="27" t="s">
        <v>8</v>
      </c>
      <c r="BX583" s="27" t="s">
        <v>7</v>
      </c>
    </row>
    <row r="584" spans="1:82" x14ac:dyDescent="0.25">
      <c r="A584" s="7">
        <v>1.0612079999999999</v>
      </c>
      <c r="B584"/>
      <c r="C584"/>
      <c r="D584"/>
      <c r="E584" t="s">
        <v>8</v>
      </c>
      <c r="AD584" s="27" t="s">
        <v>7</v>
      </c>
      <c r="AH584" s="27" t="s">
        <v>7</v>
      </c>
      <c r="BF584" s="27" t="s">
        <v>7</v>
      </c>
      <c r="BG584" s="27" t="s">
        <v>8</v>
      </c>
      <c r="BT584" s="27" t="s">
        <v>7</v>
      </c>
      <c r="BU584" s="27" t="s">
        <v>8</v>
      </c>
      <c r="BV584" s="27" t="s">
        <v>7</v>
      </c>
      <c r="BW584" s="27" t="s">
        <v>8</v>
      </c>
      <c r="BX584" s="27" t="s">
        <v>7</v>
      </c>
    </row>
    <row r="585" spans="1:82" x14ac:dyDescent="0.25">
      <c r="A585" s="7">
        <v>1.0404</v>
      </c>
      <c r="B585"/>
      <c r="C585"/>
      <c r="D585"/>
      <c r="E585" t="s">
        <v>8</v>
      </c>
      <c r="BF585" s="27" t="s">
        <v>7</v>
      </c>
      <c r="BG585" s="27" t="s">
        <v>8</v>
      </c>
      <c r="BT585" s="27" t="s">
        <v>7</v>
      </c>
      <c r="BU585" s="27" t="s">
        <v>8</v>
      </c>
      <c r="BV585" s="27" t="s">
        <v>7</v>
      </c>
      <c r="BW585" s="27" t="s">
        <v>8</v>
      </c>
      <c r="BX585" s="27" t="s">
        <v>7</v>
      </c>
    </row>
    <row r="586" spans="1:82" x14ac:dyDescent="0.25">
      <c r="A586" s="7">
        <v>1.02</v>
      </c>
      <c r="B586"/>
      <c r="C586"/>
      <c r="D586"/>
      <c r="E586" t="s">
        <v>8</v>
      </c>
      <c r="BF586" s="27" t="s">
        <v>7</v>
      </c>
      <c r="BG586" s="27" t="s">
        <v>8</v>
      </c>
      <c r="BT586" s="27" t="s">
        <v>7</v>
      </c>
      <c r="BU586" s="27" t="s">
        <v>8</v>
      </c>
      <c r="BV586" s="27" t="s">
        <v>7</v>
      </c>
      <c r="BW586" s="27" t="s">
        <v>8</v>
      </c>
      <c r="BX586" s="27" t="s">
        <v>7</v>
      </c>
    </row>
    <row r="587" spans="1:82" x14ac:dyDescent="0.25">
      <c r="A587" s="7">
        <v>1</v>
      </c>
      <c r="B587"/>
      <c r="C587"/>
      <c r="D587"/>
      <c r="E587" s="29" t="s">
        <v>8</v>
      </c>
      <c r="BF587" s="27" t="s">
        <v>7</v>
      </c>
      <c r="BG587" s="27" t="s">
        <v>8</v>
      </c>
      <c r="BT587" s="27" t="s">
        <v>7</v>
      </c>
      <c r="BV587" s="27" t="s">
        <v>7</v>
      </c>
      <c r="BX587" s="27" t="s">
        <v>7</v>
      </c>
    </row>
    <row r="588" spans="1:82" x14ac:dyDescent="0.25">
      <c r="A588" s="7">
        <v>0.98039215686274506</v>
      </c>
      <c r="B588"/>
      <c r="C588"/>
      <c r="D588"/>
      <c r="E588"/>
      <c r="BF588" s="27" t="s">
        <v>7</v>
      </c>
      <c r="BG588" s="27" t="s">
        <v>8</v>
      </c>
      <c r="BX588" s="27" t="s">
        <v>7</v>
      </c>
    </row>
    <row r="589" spans="1:82" x14ac:dyDescent="0.25">
      <c r="A589" s="7">
        <v>0.96116878123798544</v>
      </c>
      <c r="B589"/>
      <c r="C589"/>
      <c r="D589"/>
      <c r="E589"/>
      <c r="BF589" s="27" t="s">
        <v>7</v>
      </c>
      <c r="BG589" s="27" t="s">
        <v>8</v>
      </c>
      <c r="BX589" s="27" t="s">
        <v>7</v>
      </c>
      <c r="CC589" s="27" t="s">
        <v>8</v>
      </c>
    </row>
    <row r="590" spans="1:82" x14ac:dyDescent="0.25">
      <c r="A590" s="7">
        <v>0.94232233454704462</v>
      </c>
      <c r="B590"/>
      <c r="C590"/>
      <c r="D590"/>
      <c r="E590"/>
      <c r="BF590" s="27" t="s">
        <v>7</v>
      </c>
      <c r="BG590" s="27" t="s">
        <v>8</v>
      </c>
      <c r="BX590" s="27" t="s">
        <v>7</v>
      </c>
      <c r="BY590" s="27" t="s">
        <v>8</v>
      </c>
      <c r="CC590" s="27" t="s">
        <v>8</v>
      </c>
      <c r="CD590" s="27" t="s">
        <v>7</v>
      </c>
    </row>
    <row r="591" spans="1:82" x14ac:dyDescent="0.25">
      <c r="A591" s="7">
        <v>0.92384542602651432</v>
      </c>
      <c r="B591"/>
      <c r="C591"/>
      <c r="D591"/>
      <c r="E591"/>
      <c r="BF591" s="27" t="s">
        <v>7</v>
      </c>
      <c r="BG591" s="27" t="s">
        <v>8</v>
      </c>
      <c r="BX591" s="27" t="s">
        <v>7</v>
      </c>
      <c r="BY591" s="27" t="s">
        <v>8</v>
      </c>
      <c r="BZ591" s="27" t="s">
        <v>7</v>
      </c>
      <c r="CC591" s="27" t="s">
        <v>8</v>
      </c>
      <c r="CD591" s="27" t="s">
        <v>7</v>
      </c>
    </row>
    <row r="592" spans="1:82" x14ac:dyDescent="0.25">
      <c r="A592" s="7">
        <v>0.90573080982991594</v>
      </c>
      <c r="B592"/>
      <c r="C592"/>
      <c r="D592"/>
      <c r="E592"/>
      <c r="BF592" s="27" t="s">
        <v>7</v>
      </c>
      <c r="BG592" s="27" t="s">
        <v>8</v>
      </c>
      <c r="BX592" s="27" t="s">
        <v>7</v>
      </c>
      <c r="BY592" s="27" t="s">
        <v>8</v>
      </c>
      <c r="BZ592" s="27" t="s">
        <v>7</v>
      </c>
      <c r="CC592" s="27" t="s">
        <v>8</v>
      </c>
      <c r="CD592" s="27" t="s">
        <v>7</v>
      </c>
    </row>
    <row r="593" spans="1:90" x14ac:dyDescent="0.25">
      <c r="A593" s="7">
        <v>0.8879713821861922</v>
      </c>
      <c r="B593"/>
      <c r="C593"/>
      <c r="D593"/>
      <c r="E593"/>
      <c r="BF593" s="27" t="s">
        <v>7</v>
      </c>
      <c r="BG593" s="27" t="s">
        <v>8</v>
      </c>
      <c r="BX593" s="27" t="s">
        <v>7</v>
      </c>
      <c r="BY593" s="27" t="s">
        <v>8</v>
      </c>
      <c r="BZ593" s="27" t="s">
        <v>7</v>
      </c>
      <c r="CC593" s="27" t="s">
        <v>8</v>
      </c>
      <c r="CD593" s="27" t="s">
        <v>7</v>
      </c>
    </row>
    <row r="594" spans="1:90" x14ac:dyDescent="0.25">
      <c r="A594" s="7">
        <v>0.87056017861391399</v>
      </c>
      <c r="B594"/>
      <c r="C594"/>
      <c r="D594"/>
      <c r="E594"/>
      <c r="BF594" s="27" t="s">
        <v>7</v>
      </c>
      <c r="BG594" s="27" t="s">
        <v>8</v>
      </c>
      <c r="BX594" s="27" t="s">
        <v>7</v>
      </c>
      <c r="BY594" s="27" t="s">
        <v>8</v>
      </c>
      <c r="BZ594" s="27" t="s">
        <v>7</v>
      </c>
      <c r="CC594" s="27" t="s">
        <v>8</v>
      </c>
      <c r="CD594" s="27" t="s">
        <v>7</v>
      </c>
    </row>
    <row r="595" spans="1:90" x14ac:dyDescent="0.25">
      <c r="A595" s="7">
        <v>0.85349037119011173</v>
      </c>
      <c r="B595"/>
      <c r="C595"/>
      <c r="D595"/>
      <c r="E595"/>
      <c r="BF595" s="27" t="s">
        <v>7</v>
      </c>
      <c r="BX595" s="27" t="s">
        <v>7</v>
      </c>
      <c r="BZ595" s="27" t="s">
        <v>7</v>
      </c>
      <c r="CC595" s="27" t="s">
        <v>8</v>
      </c>
      <c r="CD595" s="27" t="s">
        <v>7</v>
      </c>
    </row>
    <row r="596" spans="1:90" x14ac:dyDescent="0.25">
      <c r="A596" s="7">
        <v>0.83675526587265858</v>
      </c>
      <c r="B596"/>
      <c r="C596"/>
      <c r="D596"/>
      <c r="E596"/>
      <c r="BZ596" s="27" t="s">
        <v>7</v>
      </c>
      <c r="CC596" s="27" t="s">
        <v>8</v>
      </c>
      <c r="CD596" s="27" t="s">
        <v>7</v>
      </c>
    </row>
    <row r="597" spans="1:90" x14ac:dyDescent="0.25">
      <c r="A597" s="7">
        <v>0.82034829987515545</v>
      </c>
      <c r="B597"/>
      <c r="C597"/>
      <c r="D597"/>
      <c r="E597"/>
      <c r="BZ597" s="27" t="s">
        <v>7</v>
      </c>
      <c r="CC597" s="27" t="s">
        <v>8</v>
      </c>
      <c r="CD597" s="27" t="s">
        <v>7</v>
      </c>
    </row>
    <row r="598" spans="1:90" x14ac:dyDescent="0.25">
      <c r="A598" s="7">
        <v>0.80426303909328967</v>
      </c>
      <c r="B598"/>
      <c r="C598"/>
      <c r="D598"/>
      <c r="E598"/>
      <c r="BZ598" s="27" t="s">
        <v>7</v>
      </c>
      <c r="CC598" s="27" t="s">
        <v>8</v>
      </c>
      <c r="CD598" s="27" t="s">
        <v>7</v>
      </c>
      <c r="CE598" s="27" t="s">
        <v>8</v>
      </c>
    </row>
    <row r="599" spans="1:90" x14ac:dyDescent="0.25">
      <c r="A599" s="7">
        <v>0.78849317558165644</v>
      </c>
      <c r="B599"/>
      <c r="C599"/>
      <c r="D599"/>
      <c r="E599"/>
      <c r="BZ599" s="27" t="s">
        <v>7</v>
      </c>
      <c r="CC599" s="27" t="s">
        <v>8</v>
      </c>
      <c r="CD599" s="27" t="s">
        <v>7</v>
      </c>
      <c r="CE599" s="27" t="s">
        <v>8</v>
      </c>
      <c r="CF599" s="27" t="s">
        <v>7</v>
      </c>
    </row>
    <row r="600" spans="1:90" x14ac:dyDescent="0.25">
      <c r="A600" s="7">
        <v>0.77303252508005538</v>
      </c>
      <c r="B600"/>
      <c r="C600"/>
      <c r="D600"/>
      <c r="E600"/>
      <c r="BZ600" s="27" t="s">
        <v>7</v>
      </c>
      <c r="CC600" s="27" t="s">
        <v>8</v>
      </c>
      <c r="CD600" s="27" t="s">
        <v>7</v>
      </c>
      <c r="CE600" s="27" t="s">
        <v>8</v>
      </c>
      <c r="CF600" s="27" t="s">
        <v>7</v>
      </c>
    </row>
    <row r="601" spans="1:90" x14ac:dyDescent="0.25">
      <c r="A601" s="7">
        <v>0.75787502458828959</v>
      </c>
      <c r="B601"/>
      <c r="C601"/>
      <c r="D601"/>
      <c r="E601"/>
      <c r="BZ601" s="27" t="s">
        <v>7</v>
      </c>
      <c r="CA601" s="27" t="s">
        <v>8</v>
      </c>
      <c r="CC601" s="27" t="s">
        <v>8</v>
      </c>
      <c r="CD601" s="27" t="s">
        <v>7</v>
      </c>
      <c r="CF601" s="27" t="s">
        <v>7</v>
      </c>
    </row>
    <row r="602" spans="1:90" x14ac:dyDescent="0.25">
      <c r="A602" s="7">
        <v>0.74301472998851925</v>
      </c>
      <c r="B602"/>
      <c r="C602"/>
      <c r="D602"/>
      <c r="E602"/>
      <c r="BZ602" s="27" t="s">
        <v>7</v>
      </c>
      <c r="CA602" s="27" t="s">
        <v>8</v>
      </c>
      <c r="CB602" s="27" t="s">
        <v>7</v>
      </c>
      <c r="CC602" s="27" t="s">
        <v>8</v>
      </c>
      <c r="CF602" s="27" t="s">
        <v>7</v>
      </c>
    </row>
    <row r="603" spans="1:90" x14ac:dyDescent="0.25">
      <c r="A603" s="7">
        <v>0.72844581371423456</v>
      </c>
      <c r="B603"/>
      <c r="C603"/>
      <c r="D603"/>
      <c r="E603"/>
      <c r="BZ603" s="27" t="s">
        <v>7</v>
      </c>
      <c r="CA603" s="27" t="s">
        <v>8</v>
      </c>
      <c r="CB603" s="27" t="s">
        <v>7</v>
      </c>
      <c r="CC603" s="27" t="s">
        <v>8</v>
      </c>
      <c r="CF603" s="27" t="s">
        <v>7</v>
      </c>
      <c r="CI603" s="27" t="s">
        <v>8</v>
      </c>
    </row>
    <row r="604" spans="1:90" x14ac:dyDescent="0.25">
      <c r="A604" s="7">
        <v>0.71416256246493581</v>
      </c>
      <c r="B604"/>
      <c r="C604"/>
      <c r="D604"/>
      <c r="E604"/>
      <c r="BZ604" s="27" t="s">
        <v>7</v>
      </c>
      <c r="CA604" s="27" t="s">
        <v>8</v>
      </c>
      <c r="CB604" s="27" t="s">
        <v>7</v>
      </c>
      <c r="CF604" s="27" t="s">
        <v>7</v>
      </c>
      <c r="CI604" s="27" t="s">
        <v>8</v>
      </c>
      <c r="CJ604" s="27" t="s">
        <v>7</v>
      </c>
      <c r="CK604" s="27" t="s">
        <v>8</v>
      </c>
    </row>
    <row r="605" spans="1:90" x14ac:dyDescent="0.25">
      <c r="A605" s="7">
        <v>0.7001593749656233</v>
      </c>
      <c r="B605"/>
      <c r="C605"/>
      <c r="D605"/>
      <c r="E605"/>
      <c r="BZ605" s="27" t="s">
        <v>7</v>
      </c>
      <c r="CF605" s="27" t="s">
        <v>7</v>
      </c>
      <c r="CI605" s="27" t="s">
        <v>8</v>
      </c>
      <c r="CJ605" s="27" t="s">
        <v>7</v>
      </c>
      <c r="CK605" s="27" t="s">
        <v>8</v>
      </c>
      <c r="CL605" s="27" t="s">
        <v>7</v>
      </c>
    </row>
    <row r="606" spans="1:90" x14ac:dyDescent="0.25">
      <c r="A606" s="7">
        <v>0.68643075977021883</v>
      </c>
      <c r="B606"/>
      <c r="C606"/>
      <c r="D606"/>
      <c r="E606"/>
      <c r="CF606" s="27" t="s">
        <v>7</v>
      </c>
      <c r="CI606" s="27" t="s">
        <v>8</v>
      </c>
      <c r="CJ606" s="27" t="s">
        <v>7</v>
      </c>
      <c r="CK606" s="27" t="s">
        <v>8</v>
      </c>
      <c r="CL606" s="27" t="s">
        <v>7</v>
      </c>
    </row>
    <row r="607" spans="1:90" x14ac:dyDescent="0.25">
      <c r="A607" s="7">
        <v>0.67297133310805768</v>
      </c>
      <c r="B607"/>
      <c r="C607"/>
      <c r="D607"/>
      <c r="E607"/>
      <c r="CF607" s="27" t="s">
        <v>7</v>
      </c>
      <c r="CG607" s="27" t="s">
        <v>8</v>
      </c>
      <c r="CI607" s="27" t="s">
        <v>8</v>
      </c>
      <c r="CJ607" s="27" t="s">
        <v>7</v>
      </c>
      <c r="CK607" s="27" t="s">
        <v>8</v>
      </c>
      <c r="CL607" s="27" t="s">
        <v>7</v>
      </c>
    </row>
    <row r="608" spans="1:90" x14ac:dyDescent="0.25">
      <c r="A608" s="7">
        <v>0.65977581677260566</v>
      </c>
      <c r="B608"/>
      <c r="C608"/>
      <c r="D608"/>
      <c r="E608"/>
      <c r="CF608" s="27" t="s">
        <v>7</v>
      </c>
      <c r="CG608" s="27" t="s">
        <v>8</v>
      </c>
      <c r="CH608" s="27" t="s">
        <v>7</v>
      </c>
      <c r="CI608" s="27" t="s">
        <v>8</v>
      </c>
      <c r="CJ608" s="27" t="s">
        <v>7</v>
      </c>
      <c r="CK608" s="27" t="s">
        <v>8</v>
      </c>
      <c r="CL608" s="27" t="s">
        <v>7</v>
      </c>
    </row>
    <row r="609" spans="1:101" x14ac:dyDescent="0.25">
      <c r="A609" s="7">
        <v>0.64683903605157422</v>
      </c>
      <c r="B609"/>
      <c r="C609"/>
      <c r="D609"/>
      <c r="E609"/>
      <c r="CF609" s="27" t="s">
        <v>7</v>
      </c>
      <c r="CG609" s="27" t="s">
        <v>8</v>
      </c>
      <c r="CH609" s="27" t="s">
        <v>7</v>
      </c>
      <c r="CI609" s="27" t="s">
        <v>8</v>
      </c>
      <c r="CJ609" s="27" t="s">
        <v>7</v>
      </c>
      <c r="CK609" s="27" t="s">
        <v>8</v>
      </c>
      <c r="CL609" s="27" t="s">
        <v>7</v>
      </c>
    </row>
    <row r="610" spans="1:101" x14ac:dyDescent="0.25">
      <c r="A610" s="7">
        <v>0.63415591769762181</v>
      </c>
      <c r="B610"/>
      <c r="C610"/>
      <c r="D610"/>
      <c r="E610"/>
      <c r="CF610" s="27" t="s">
        <v>7</v>
      </c>
      <c r="CG610" s="27" t="s">
        <v>8</v>
      </c>
      <c r="CH610" s="27" t="s">
        <v>7</v>
      </c>
      <c r="CJ610" s="27" t="s">
        <v>7</v>
      </c>
      <c r="CL610" s="27" t="s">
        <v>7</v>
      </c>
    </row>
    <row r="611" spans="1:101" x14ac:dyDescent="0.25">
      <c r="A611" s="7">
        <v>0.62172148793884496</v>
      </c>
      <c r="B611"/>
      <c r="C611"/>
      <c r="D611"/>
      <c r="E611"/>
      <c r="CF611" s="27" t="s">
        <v>7</v>
      </c>
      <c r="CL611" s="27" t="s">
        <v>7</v>
      </c>
    </row>
    <row r="612" spans="1:101" x14ac:dyDescent="0.25">
      <c r="A612" s="7">
        <v>0.60953087052827937</v>
      </c>
      <c r="B612"/>
      <c r="C612"/>
      <c r="D612"/>
      <c r="E612"/>
      <c r="CL612" s="27" t="s">
        <v>7</v>
      </c>
    </row>
    <row r="613" spans="1:101" x14ac:dyDescent="0.25">
      <c r="A613" s="7">
        <v>0.59757928483164646</v>
      </c>
      <c r="B613"/>
      <c r="C613"/>
      <c r="D613"/>
      <c r="E613"/>
      <c r="CL613" s="27" t="s">
        <v>7</v>
      </c>
    </row>
    <row r="614" spans="1:101" x14ac:dyDescent="0.25">
      <c r="A614" s="7">
        <v>0.58586204395259456</v>
      </c>
      <c r="B614"/>
      <c r="C614"/>
      <c r="D614"/>
      <c r="E614"/>
      <c r="CL614" s="27" t="s">
        <v>7</v>
      </c>
    </row>
    <row r="615" spans="1:101" x14ac:dyDescent="0.25">
      <c r="A615" s="7">
        <v>0.57437455289470052</v>
      </c>
      <c r="B615"/>
      <c r="C615"/>
      <c r="D615"/>
      <c r="E615"/>
      <c r="CL615" s="27" t="s">
        <v>7</v>
      </c>
      <c r="CQ615" s="27" t="s">
        <v>8</v>
      </c>
    </row>
    <row r="616" spans="1:101" x14ac:dyDescent="0.25">
      <c r="A616" s="7">
        <v>0.56311230675951029</v>
      </c>
      <c r="B616"/>
      <c r="C616"/>
      <c r="D616"/>
      <c r="E616"/>
      <c r="CL616" s="27" t="s">
        <v>7</v>
      </c>
      <c r="CQ616" s="27" t="s">
        <v>8</v>
      </c>
      <c r="CR616" s="27" t="s">
        <v>7</v>
      </c>
    </row>
    <row r="617" spans="1:101" x14ac:dyDescent="0.25">
      <c r="A617" s="7">
        <v>0.55207088897991208</v>
      </c>
      <c r="B617"/>
      <c r="C617"/>
      <c r="D617"/>
      <c r="E617"/>
      <c r="CL617" s="27" t="s">
        <v>7</v>
      </c>
      <c r="CM617" s="27" t="s">
        <v>8</v>
      </c>
      <c r="CQ617" s="27" t="s">
        <v>8</v>
      </c>
      <c r="CR617" s="27" t="s">
        <v>7</v>
      </c>
    </row>
    <row r="618" spans="1:101" x14ac:dyDescent="0.25">
      <c r="A618" s="7">
        <v>0.54124596958814908</v>
      </c>
      <c r="B618"/>
      <c r="C618"/>
      <c r="D618"/>
      <c r="E618"/>
      <c r="CL618" s="27" t="s">
        <v>7</v>
      </c>
      <c r="CM618" s="27" t="s">
        <v>8</v>
      </c>
      <c r="CN618" s="27" t="s">
        <v>7</v>
      </c>
      <c r="CQ618" s="27" t="s">
        <v>8</v>
      </c>
      <c r="CR618" s="27" t="s">
        <v>7</v>
      </c>
    </row>
    <row r="619" spans="1:101" x14ac:dyDescent="0.25">
      <c r="A619" s="7">
        <v>0.53063330351779314</v>
      </c>
      <c r="B619"/>
      <c r="C619"/>
      <c r="D619"/>
      <c r="E619"/>
      <c r="CL619" s="27" t="s">
        <v>7</v>
      </c>
      <c r="CM619" s="27" t="s">
        <v>8</v>
      </c>
      <c r="CN619" s="27" t="s">
        <v>7</v>
      </c>
      <c r="CQ619" s="27" t="s">
        <v>8</v>
      </c>
      <c r="CR619" s="27" t="s">
        <v>7</v>
      </c>
    </row>
    <row r="620" spans="1:101" x14ac:dyDescent="0.25">
      <c r="A620" s="7">
        <v>0.52022872893901284</v>
      </c>
      <c r="B620"/>
      <c r="C620"/>
      <c r="D620"/>
      <c r="E620"/>
      <c r="CL620" s="27" t="s">
        <v>7</v>
      </c>
      <c r="CM620" s="27" t="s">
        <v>8</v>
      </c>
      <c r="CN620" s="27" t="s">
        <v>7</v>
      </c>
      <c r="CO620" s="27" t="s">
        <v>8</v>
      </c>
      <c r="CQ620" s="27" t="s">
        <v>8</v>
      </c>
      <c r="CR620" s="27" t="s">
        <v>7</v>
      </c>
    </row>
    <row r="621" spans="1:101" x14ac:dyDescent="0.25">
      <c r="A621" s="7">
        <v>0.51002816562648323</v>
      </c>
      <c r="B621"/>
      <c r="C621"/>
      <c r="D621"/>
      <c r="E621"/>
      <c r="CL621" s="27" t="s">
        <v>7</v>
      </c>
      <c r="CN621" s="27" t="s">
        <v>7</v>
      </c>
      <c r="CO621" s="27" t="s">
        <v>8</v>
      </c>
      <c r="CP621" s="27" t="s">
        <v>7</v>
      </c>
      <c r="CQ621" s="27" t="s">
        <v>8</v>
      </c>
      <c r="CR621" s="27" t="s">
        <v>7</v>
      </c>
    </row>
    <row r="622" spans="1:101" x14ac:dyDescent="0.25">
      <c r="A622" s="7">
        <v>0.50002761335929735</v>
      </c>
      <c r="B622"/>
      <c r="C622"/>
      <c r="D622"/>
      <c r="E622"/>
      <c r="CN622" s="27" t="s">
        <v>7</v>
      </c>
      <c r="CO622" s="27" t="s">
        <v>8</v>
      </c>
      <c r="CP622" s="27" t="s">
        <v>7</v>
      </c>
      <c r="CQ622" s="27" t="s">
        <v>8</v>
      </c>
      <c r="CR622" s="27" t="s">
        <v>7</v>
      </c>
    </row>
    <row r="623" spans="1:101" x14ac:dyDescent="0.25">
      <c r="A623" s="7">
        <v>0.49022315035225228</v>
      </c>
      <c r="B623"/>
      <c r="C623"/>
      <c r="D623"/>
      <c r="E623"/>
      <c r="CN623" s="27" t="s">
        <v>7</v>
      </c>
      <c r="CO623" s="27" t="s">
        <v>8</v>
      </c>
      <c r="CP623" s="27" t="s">
        <v>7</v>
      </c>
      <c r="CQ623" s="27" t="s">
        <v>8</v>
      </c>
      <c r="CR623" s="27" t="s">
        <v>7</v>
      </c>
    </row>
    <row r="624" spans="1:101" x14ac:dyDescent="0.25">
      <c r="A624" s="7">
        <v>0.48061093171789437</v>
      </c>
      <c r="B624"/>
      <c r="C624"/>
      <c r="D624"/>
      <c r="E624"/>
      <c r="CN624" s="27" t="s">
        <v>7</v>
      </c>
      <c r="CO624" s="27" t="s">
        <v>8</v>
      </c>
      <c r="CP624" s="27" t="s">
        <v>7</v>
      </c>
      <c r="CQ624" s="27" t="s">
        <v>8</v>
      </c>
      <c r="CR624" s="27" t="s">
        <v>7</v>
      </c>
      <c r="CW624" s="27" t="s">
        <v>8</v>
      </c>
    </row>
    <row r="625" spans="1:113" x14ac:dyDescent="0.25">
      <c r="A625" s="7">
        <v>0.47118718795871994</v>
      </c>
      <c r="B625"/>
      <c r="C625"/>
      <c r="D625"/>
      <c r="E625"/>
      <c r="CN625" s="27" t="s">
        <v>7</v>
      </c>
      <c r="CO625" s="27" t="s">
        <v>8</v>
      </c>
      <c r="CP625" s="27" t="s">
        <v>7</v>
      </c>
      <c r="CQ625" s="27" t="s">
        <v>8</v>
      </c>
      <c r="CR625" s="27" t="s">
        <v>7</v>
      </c>
      <c r="CW625" s="27" t="s">
        <v>8</v>
      </c>
      <c r="CX625" s="27" t="s">
        <v>7</v>
      </c>
    </row>
    <row r="626" spans="1:113" x14ac:dyDescent="0.25">
      <c r="A626" s="7">
        <v>0.46194822348894116</v>
      </c>
      <c r="B626"/>
      <c r="C626"/>
      <c r="D626"/>
      <c r="E626"/>
      <c r="CN626" s="27" t="s">
        <v>7</v>
      </c>
      <c r="CP626" s="27" t="s">
        <v>7</v>
      </c>
      <c r="CQ626" s="27" t="s">
        <v>8</v>
      </c>
      <c r="CR626" s="27" t="s">
        <v>7</v>
      </c>
      <c r="CW626" s="27" t="s">
        <v>8</v>
      </c>
      <c r="CX626" s="27" t="s">
        <v>7</v>
      </c>
    </row>
    <row r="627" spans="1:113" x14ac:dyDescent="0.25">
      <c r="A627" s="7">
        <v>0.45289041518523643</v>
      </c>
      <c r="B627"/>
      <c r="C627"/>
      <c r="D627"/>
      <c r="E627"/>
      <c r="CP627" s="27" t="s">
        <v>7</v>
      </c>
      <c r="CQ627" s="27" t="s">
        <v>8</v>
      </c>
      <c r="CR627" s="27" t="s">
        <v>7</v>
      </c>
      <c r="CW627" s="27" t="s">
        <v>8</v>
      </c>
      <c r="CX627" s="27" t="s">
        <v>7</v>
      </c>
    </row>
    <row r="628" spans="1:113" x14ac:dyDescent="0.25">
      <c r="A628" s="7">
        <v>0.44401021096591808</v>
      </c>
      <c r="B628"/>
      <c r="C628"/>
      <c r="D628"/>
      <c r="E628"/>
      <c r="CP628" s="27" t="s">
        <v>7</v>
      </c>
      <c r="CQ628" s="27" t="s">
        <v>8</v>
      </c>
      <c r="CR628" s="27" t="s">
        <v>7</v>
      </c>
      <c r="CW628" s="27" t="s">
        <v>8</v>
      </c>
      <c r="CX628" s="27" t="s">
        <v>7</v>
      </c>
    </row>
    <row r="629" spans="1:113" x14ac:dyDescent="0.25">
      <c r="A629" s="7">
        <v>0.4353041283979589</v>
      </c>
      <c r="B629"/>
      <c r="C629"/>
      <c r="D629"/>
      <c r="E629"/>
      <c r="CP629" s="27" t="s">
        <v>7</v>
      </c>
      <c r="CQ629" s="27" t="s">
        <v>8</v>
      </c>
      <c r="CR629" s="27" t="s">
        <v>7</v>
      </c>
      <c r="CS629" s="27" t="s">
        <v>8</v>
      </c>
      <c r="CW629" s="27" t="s">
        <v>8</v>
      </c>
      <c r="CX629" s="27" t="s">
        <v>7</v>
      </c>
      <c r="DA629" s="27" t="s">
        <v>8</v>
      </c>
    </row>
    <row r="630" spans="1:113" x14ac:dyDescent="0.25">
      <c r="A630" s="7">
        <v>0.4267687533313323</v>
      </c>
      <c r="B630"/>
      <c r="C630"/>
      <c r="D630"/>
      <c r="E630"/>
      <c r="CP630" s="27" t="s">
        <v>7</v>
      </c>
      <c r="CQ630" s="27" t="s">
        <v>8</v>
      </c>
      <c r="CR630" s="27" t="s">
        <v>7</v>
      </c>
      <c r="CS630" s="27" t="s">
        <v>8</v>
      </c>
      <c r="CT630" s="27" t="s">
        <v>7</v>
      </c>
      <c r="CW630" s="27" t="s">
        <v>8</v>
      </c>
      <c r="CX630" s="27" t="s">
        <v>7</v>
      </c>
      <c r="CY630" s="27" t="s">
        <v>8</v>
      </c>
      <c r="DA630" s="27" t="s">
        <v>8</v>
      </c>
      <c r="DB630" s="27" t="s">
        <v>7</v>
      </c>
    </row>
    <row r="631" spans="1:113" x14ac:dyDescent="0.25">
      <c r="A631" s="7">
        <v>0.41840073856012971</v>
      </c>
      <c r="B631"/>
      <c r="C631"/>
      <c r="D631"/>
      <c r="E631"/>
      <c r="CP631" s="27" t="s">
        <v>7</v>
      </c>
      <c r="CR631" s="27" t="s">
        <v>7</v>
      </c>
      <c r="CS631" s="27" t="s">
        <v>8</v>
      </c>
      <c r="CT631" s="27" t="s">
        <v>7</v>
      </c>
      <c r="CW631" s="27" t="s">
        <v>8</v>
      </c>
      <c r="CX631" s="27" t="s">
        <v>7</v>
      </c>
      <c r="CY631" s="27" t="s">
        <v>8</v>
      </c>
      <c r="CZ631" s="27" t="s">
        <v>7</v>
      </c>
      <c r="DA631" s="27" t="s">
        <v>8</v>
      </c>
      <c r="DB631" s="27" t="s">
        <v>7</v>
      </c>
    </row>
    <row r="632" spans="1:113" x14ac:dyDescent="0.25">
      <c r="A632" s="7">
        <v>0.41019680250993112</v>
      </c>
      <c r="B632"/>
      <c r="C632"/>
      <c r="D632"/>
      <c r="E632"/>
      <c r="CR632" s="27" t="s">
        <v>7</v>
      </c>
      <c r="CS632" s="27" t="s">
        <v>8</v>
      </c>
      <c r="CT632" s="27" t="s">
        <v>7</v>
      </c>
      <c r="CW632" s="27" t="s">
        <v>8</v>
      </c>
      <c r="CX632" s="27" t="s">
        <v>7</v>
      </c>
      <c r="CY632" s="27" t="s">
        <v>8</v>
      </c>
      <c r="CZ632" s="27" t="s">
        <v>7</v>
      </c>
      <c r="DA632" s="27" t="s">
        <v>8</v>
      </c>
      <c r="DB632" s="27" t="s">
        <v>7</v>
      </c>
    </row>
    <row r="633" spans="1:113" x14ac:dyDescent="0.25">
      <c r="A633" s="7">
        <v>0.40215372795091286</v>
      </c>
      <c r="B633"/>
      <c r="C633"/>
      <c r="D633"/>
      <c r="E633"/>
      <c r="CR633" s="27" t="s">
        <v>7</v>
      </c>
      <c r="CS633" s="27" t="s">
        <v>8</v>
      </c>
      <c r="CT633" s="27" t="s">
        <v>7</v>
      </c>
      <c r="CW633" s="27" t="s">
        <v>8</v>
      </c>
      <c r="CX633" s="27" t="s">
        <v>7</v>
      </c>
      <c r="CY633" s="27" t="s">
        <v>8</v>
      </c>
      <c r="CZ633" s="27" t="s">
        <v>7</v>
      </c>
      <c r="DA633" s="27" t="s">
        <v>8</v>
      </c>
      <c r="DB633" s="27" t="s">
        <v>7</v>
      </c>
      <c r="DC633" s="27" t="s">
        <v>8</v>
      </c>
    </row>
    <row r="634" spans="1:113" x14ac:dyDescent="0.25">
      <c r="A634" s="7">
        <v>0.39426836073618904</v>
      </c>
      <c r="B634"/>
      <c r="C634"/>
      <c r="D634"/>
      <c r="E634"/>
      <c r="CR634" s="27" t="s">
        <v>7</v>
      </c>
      <c r="CS634" s="27" t="s">
        <v>8</v>
      </c>
      <c r="CT634" s="27" t="s">
        <v>7</v>
      </c>
      <c r="CU634" s="27" t="s">
        <v>8</v>
      </c>
      <c r="CW634" s="27" t="s">
        <v>8</v>
      </c>
      <c r="CX634" s="27" t="s">
        <v>7</v>
      </c>
      <c r="CZ634" s="27" t="s">
        <v>7</v>
      </c>
      <c r="DA634" s="27" t="s">
        <v>8</v>
      </c>
      <c r="DB634" s="27" t="s">
        <v>7</v>
      </c>
      <c r="DC634" s="27" t="s">
        <v>8</v>
      </c>
      <c r="DD634" s="27" t="s">
        <v>7</v>
      </c>
    </row>
    <row r="635" spans="1:113" x14ac:dyDescent="0.25">
      <c r="A635" s="7">
        <v>0.38653760856489122</v>
      </c>
      <c r="B635"/>
      <c r="C635"/>
      <c r="D635"/>
      <c r="E635"/>
      <c r="CR635" s="27" t="s">
        <v>7</v>
      </c>
      <c r="CS635" s="27" t="s">
        <v>8</v>
      </c>
      <c r="CT635" s="27" t="s">
        <v>7</v>
      </c>
      <c r="CU635" s="27" t="s">
        <v>8</v>
      </c>
      <c r="CV635" s="27" t="s">
        <v>7</v>
      </c>
      <c r="CW635" s="27" t="s">
        <v>8</v>
      </c>
      <c r="CZ635" s="27" t="s">
        <v>7</v>
      </c>
      <c r="DA635" s="27" t="s">
        <v>8</v>
      </c>
      <c r="DB635" s="27" t="s">
        <v>7</v>
      </c>
      <c r="DC635" s="27" t="s">
        <v>8</v>
      </c>
      <c r="DD635" s="27" t="s">
        <v>7</v>
      </c>
    </row>
    <row r="636" spans="1:113" x14ac:dyDescent="0.25">
      <c r="A636" s="7">
        <v>0.37895843976950117</v>
      </c>
      <c r="B636"/>
      <c r="C636"/>
      <c r="D636"/>
      <c r="E636"/>
      <c r="CR636" s="27" t="s">
        <v>7</v>
      </c>
      <c r="CS636" s="27" t="s">
        <v>8</v>
      </c>
      <c r="CT636" s="27" t="s">
        <v>7</v>
      </c>
      <c r="CU636" s="27" t="s">
        <v>8</v>
      </c>
      <c r="CV636" s="27" t="s">
        <v>7</v>
      </c>
      <c r="CW636" s="27" t="s">
        <v>8</v>
      </c>
      <c r="CZ636" s="27" t="s">
        <v>7</v>
      </c>
      <c r="DA636" s="27" t="s">
        <v>8</v>
      </c>
      <c r="DB636" s="27" t="s">
        <v>7</v>
      </c>
      <c r="DD636" s="27" t="s">
        <v>7</v>
      </c>
    </row>
    <row r="637" spans="1:113" x14ac:dyDescent="0.25">
      <c r="A637" s="7">
        <v>0.37152788212696197</v>
      </c>
      <c r="B637"/>
      <c r="C637"/>
      <c r="D637"/>
      <c r="E637"/>
      <c r="CR637" s="27" t="s">
        <v>7</v>
      </c>
      <c r="CS637" s="27" t="s">
        <v>8</v>
      </c>
      <c r="CT637" s="27" t="s">
        <v>7</v>
      </c>
      <c r="CU637" s="27" t="s">
        <v>8</v>
      </c>
      <c r="CV637" s="27" t="s">
        <v>7</v>
      </c>
      <c r="CZ637" s="27" t="s">
        <v>7</v>
      </c>
      <c r="DA637" s="27" t="s">
        <v>8</v>
      </c>
      <c r="DD637" s="27" t="s">
        <v>7</v>
      </c>
    </row>
    <row r="638" spans="1:113" x14ac:dyDescent="0.25">
      <c r="A638" s="7">
        <v>0.36424302169310002</v>
      </c>
      <c r="B638"/>
      <c r="C638"/>
      <c r="D638"/>
      <c r="E638"/>
      <c r="CR638" s="27" t="s">
        <v>7</v>
      </c>
      <c r="CS638" s="27" t="s">
        <v>8</v>
      </c>
      <c r="CT638" s="27" t="s">
        <v>7</v>
      </c>
      <c r="CU638" s="27" t="s">
        <v>8</v>
      </c>
      <c r="CZ638" s="27" t="s">
        <v>7</v>
      </c>
      <c r="DD638" s="27" t="s">
        <v>7</v>
      </c>
    </row>
    <row r="639" spans="1:113" x14ac:dyDescent="0.25">
      <c r="A639" s="7">
        <v>0.35710100165990194</v>
      </c>
      <c r="B639"/>
      <c r="C639"/>
      <c r="D639"/>
      <c r="E639"/>
      <c r="CR639" s="27" t="s">
        <v>7</v>
      </c>
      <c r="CT639" s="27" t="s">
        <v>7</v>
      </c>
      <c r="CU639" s="27" t="s">
        <v>8</v>
      </c>
      <c r="DD639" s="27" t="s">
        <v>7</v>
      </c>
    </row>
    <row r="640" spans="1:113" x14ac:dyDescent="0.25">
      <c r="A640" s="7">
        <v>0.35009902123519804</v>
      </c>
      <c r="B640"/>
      <c r="C640"/>
      <c r="D640"/>
      <c r="E640"/>
      <c r="CT640" s="27" t="s">
        <v>7</v>
      </c>
      <c r="DD640" s="27" t="s">
        <v>7</v>
      </c>
      <c r="DI640" s="27" t="s">
        <v>8</v>
      </c>
    </row>
    <row r="641" spans="1:118" x14ac:dyDescent="0.25">
      <c r="A641" s="7">
        <v>0.34323433454431179</v>
      </c>
      <c r="B641"/>
      <c r="C641"/>
      <c r="D641"/>
      <c r="E641"/>
      <c r="DD641" s="27" t="s">
        <v>7</v>
      </c>
      <c r="DI641" s="27" t="s">
        <v>8</v>
      </c>
      <c r="DJ641" s="27" t="s">
        <v>7</v>
      </c>
    </row>
    <row r="642" spans="1:118" x14ac:dyDescent="0.25">
      <c r="A642" s="7">
        <v>0.33650424955324681</v>
      </c>
      <c r="B642"/>
      <c r="C642"/>
      <c r="D642"/>
      <c r="E642"/>
      <c r="DD642" s="27" t="s">
        <v>7</v>
      </c>
      <c r="DI642" s="27" t="s">
        <v>8</v>
      </c>
      <c r="DJ642" s="27" t="s">
        <v>7</v>
      </c>
    </row>
    <row r="643" spans="1:118" x14ac:dyDescent="0.25">
      <c r="A643" s="7">
        <v>0.3299061270129871</v>
      </c>
      <c r="B643"/>
      <c r="C643"/>
      <c r="D643"/>
      <c r="E643"/>
      <c r="DD643" s="27" t="s">
        <v>7</v>
      </c>
      <c r="DE643" s="27" t="s">
        <v>8</v>
      </c>
      <c r="DG643" s="27" t="s">
        <v>8</v>
      </c>
      <c r="DI643" s="27" t="s">
        <v>8</v>
      </c>
      <c r="DJ643" s="27" t="s">
        <v>7</v>
      </c>
    </row>
    <row r="644" spans="1:118" x14ac:dyDescent="0.25">
      <c r="A644" s="7">
        <v>0.32343737942449713</v>
      </c>
      <c r="B644"/>
      <c r="C644"/>
      <c r="D644"/>
      <c r="E644"/>
      <c r="DD644" s="27" t="s">
        <v>7</v>
      </c>
      <c r="DE644" s="27" t="s">
        <v>8</v>
      </c>
      <c r="DF644" s="27" t="s">
        <v>7</v>
      </c>
      <c r="DG644" s="27" t="s">
        <v>8</v>
      </c>
      <c r="DH644" s="27" t="s">
        <v>7</v>
      </c>
      <c r="DI644" s="27" t="s">
        <v>8</v>
      </c>
      <c r="DJ644" s="27" t="s">
        <v>7</v>
      </c>
      <c r="DK644" s="27" t="s">
        <v>8</v>
      </c>
    </row>
    <row r="645" spans="1:118" x14ac:dyDescent="0.25">
      <c r="A645" s="7">
        <v>0.31709547002401678</v>
      </c>
      <c r="B645"/>
      <c r="C645"/>
      <c r="D645"/>
      <c r="E645"/>
      <c r="DD645" s="27" t="s">
        <v>7</v>
      </c>
      <c r="DE645" s="27" t="s">
        <v>8</v>
      </c>
      <c r="DF645" s="27" t="s">
        <v>7</v>
      </c>
      <c r="DG645" s="27" t="s">
        <v>8</v>
      </c>
      <c r="DH645" s="27" t="s">
        <v>7</v>
      </c>
      <c r="DI645" s="27" t="s">
        <v>8</v>
      </c>
      <c r="DJ645" s="27" t="s">
        <v>7</v>
      </c>
      <c r="DK645" s="27" t="s">
        <v>8</v>
      </c>
      <c r="DL645" s="27" t="s">
        <v>7</v>
      </c>
    </row>
    <row r="646" spans="1:118" x14ac:dyDescent="0.25">
      <c r="A646" s="7">
        <v>0.31087791178825175</v>
      </c>
      <c r="B646"/>
      <c r="C646"/>
      <c r="D646"/>
      <c r="E646"/>
      <c r="DD646" s="27" t="s">
        <v>7</v>
      </c>
      <c r="DF646" s="27" t="s">
        <v>7</v>
      </c>
      <c r="DG646" s="27" t="s">
        <v>8</v>
      </c>
      <c r="DH646" s="27" t="s">
        <v>7</v>
      </c>
      <c r="DI646" s="27" t="s">
        <v>8</v>
      </c>
      <c r="DJ646" s="27" t="s">
        <v>7</v>
      </c>
      <c r="DK646" s="27" t="s">
        <v>8</v>
      </c>
      <c r="DL646" s="27" t="s">
        <v>7</v>
      </c>
    </row>
    <row r="647" spans="1:118" x14ac:dyDescent="0.25">
      <c r="A647" s="7">
        <v>0.30478226645907036</v>
      </c>
      <c r="B647"/>
      <c r="C647"/>
      <c r="D647"/>
      <c r="E647"/>
      <c r="DF647" s="27" t="s">
        <v>7</v>
      </c>
      <c r="DH647" s="27" t="s">
        <v>7</v>
      </c>
      <c r="DJ647" s="27" t="s">
        <v>7</v>
      </c>
      <c r="DL647" s="27" t="s">
        <v>7</v>
      </c>
    </row>
    <row r="648" spans="1:118" x14ac:dyDescent="0.25">
      <c r="A648" s="7">
        <v>0.29880614358732388</v>
      </c>
      <c r="B648"/>
      <c r="C648"/>
      <c r="D648"/>
      <c r="E648"/>
      <c r="DL648" s="27" t="s">
        <v>7</v>
      </c>
    </row>
    <row r="649" spans="1:118" x14ac:dyDescent="0.25">
      <c r="A649" s="7">
        <v>0.2929471995954156</v>
      </c>
      <c r="B649"/>
      <c r="C649"/>
      <c r="D649"/>
      <c r="E649"/>
      <c r="DL649" s="27" t="s">
        <v>7</v>
      </c>
    </row>
    <row r="650" spans="1:118" x14ac:dyDescent="0.25">
      <c r="A650" s="7">
        <v>0.28720313685825055</v>
      </c>
      <c r="B650"/>
      <c r="C650"/>
      <c r="D650"/>
      <c r="E650"/>
      <c r="DL650" s="27" t="s">
        <v>7</v>
      </c>
    </row>
    <row r="651" spans="1:118" x14ac:dyDescent="0.25">
      <c r="A651" s="7">
        <v>0.28157170280220645</v>
      </c>
      <c r="B651"/>
      <c r="C651"/>
      <c r="D651"/>
      <c r="E651"/>
      <c r="DL651" s="27" t="s">
        <v>7</v>
      </c>
    </row>
    <row r="652" spans="1:118" x14ac:dyDescent="0.25">
      <c r="A652" s="7">
        <v>0.27605068902177105</v>
      </c>
      <c r="B652"/>
      <c r="C652"/>
      <c r="D652"/>
      <c r="E652"/>
      <c r="DL652" s="27" t="s">
        <v>7</v>
      </c>
      <c r="DM652" s="27" t="s">
        <v>8</v>
      </c>
    </row>
    <row r="653" spans="1:118" x14ac:dyDescent="0.25">
      <c r="A653" s="7">
        <v>0.27063793041350104</v>
      </c>
      <c r="B653"/>
      <c r="C653"/>
      <c r="D653"/>
      <c r="E653"/>
      <c r="DL653" s="27" t="s">
        <v>7</v>
      </c>
      <c r="DM653" s="27" t="s">
        <v>8</v>
      </c>
      <c r="DN653" s="27" t="s">
        <v>7</v>
      </c>
    </row>
    <row r="654" spans="1:118" x14ac:dyDescent="0.25">
      <c r="A654" s="7">
        <v>0.26533130432696184</v>
      </c>
      <c r="B654"/>
      <c r="C654"/>
      <c r="D654"/>
      <c r="E654"/>
      <c r="DL654" s="27" t="s">
        <v>7</v>
      </c>
      <c r="DM654" s="27" t="s">
        <v>8</v>
      </c>
      <c r="DN654" s="27" t="s">
        <v>7</v>
      </c>
    </row>
    <row r="655" spans="1:118" x14ac:dyDescent="0.25">
      <c r="A655" s="7">
        <v>0.26012872973231554</v>
      </c>
      <c r="B655"/>
      <c r="C655"/>
      <c r="D655"/>
      <c r="E655"/>
      <c r="DL655" s="27" t="s">
        <v>7</v>
      </c>
      <c r="DM655" s="27" t="s">
        <v>8</v>
      </c>
      <c r="DN655" s="27" t="s">
        <v>7</v>
      </c>
    </row>
    <row r="656" spans="1:118" x14ac:dyDescent="0.25">
      <c r="A656" s="7">
        <v>0.25502816640423093</v>
      </c>
      <c r="B656"/>
      <c r="C656"/>
      <c r="D656"/>
      <c r="E656"/>
      <c r="DL656" s="27" t="s">
        <v>7</v>
      </c>
      <c r="DM656" s="27" t="s">
        <v>8</v>
      </c>
      <c r="DN656" s="27" t="s">
        <v>7</v>
      </c>
    </row>
    <row r="657" spans="1:120" x14ac:dyDescent="0.25">
      <c r="A657" s="7">
        <v>0.25002761412179503</v>
      </c>
      <c r="B657"/>
      <c r="C657"/>
      <c r="D657"/>
      <c r="E657"/>
      <c r="DL657" s="27" t="s">
        <v>7</v>
      </c>
      <c r="DM657" s="27" t="s">
        <v>8</v>
      </c>
      <c r="DN657" s="27" t="s">
        <v>7</v>
      </c>
      <c r="DO657" s="27" t="s">
        <v>8</v>
      </c>
    </row>
    <row r="658" spans="1:120" x14ac:dyDescent="0.25">
      <c r="A658" s="7">
        <v>0.24512511188411276</v>
      </c>
      <c r="B658"/>
      <c r="C658"/>
      <c r="D658"/>
      <c r="E658"/>
      <c r="DL658" s="27" t="s">
        <v>7</v>
      </c>
      <c r="DM658" s="27" t="s">
        <v>8</v>
      </c>
      <c r="DN658" s="27" t="s">
        <v>7</v>
      </c>
      <c r="DO658" s="27" t="s">
        <v>8</v>
      </c>
      <c r="DP658" s="27" t="s">
        <v>7</v>
      </c>
    </row>
    <row r="659" spans="1:120" x14ac:dyDescent="0.25">
      <c r="A659" s="7">
        <v>0.24031873714128701</v>
      </c>
      <c r="B659"/>
      <c r="C659"/>
      <c r="D659"/>
      <c r="E659"/>
      <c r="DL659" s="27" t="s">
        <v>7</v>
      </c>
      <c r="DM659" s="27" t="s">
        <v>8</v>
      </c>
      <c r="DN659" s="27" t="s">
        <v>7</v>
      </c>
      <c r="DO659" s="27" t="s">
        <v>8</v>
      </c>
      <c r="DP659" s="27" t="s">
        <v>7</v>
      </c>
    </row>
    <row r="660" spans="1:120" x14ac:dyDescent="0.25">
      <c r="A660" s="7">
        <v>0.23560660504047748</v>
      </c>
      <c r="B660"/>
      <c r="C660"/>
      <c r="D660"/>
      <c r="E660"/>
      <c r="DL660" s="27" t="s">
        <v>7</v>
      </c>
      <c r="DM660" s="27" t="s">
        <v>8</v>
      </c>
      <c r="DN660" s="27" t="s">
        <v>7</v>
      </c>
      <c r="DO660" s="27" t="s">
        <v>8</v>
      </c>
      <c r="DP660" s="27" t="s">
        <v>7</v>
      </c>
    </row>
    <row r="661" spans="1:120" x14ac:dyDescent="0.25">
      <c r="A661" s="7">
        <v>0.23098686768674265</v>
      </c>
      <c r="B661"/>
      <c r="C661"/>
      <c r="D661"/>
      <c r="E661"/>
      <c r="DL661" s="27" t="s">
        <v>7</v>
      </c>
      <c r="DM661" s="27" t="s">
        <v>8</v>
      </c>
      <c r="DN661" s="27" t="s">
        <v>7</v>
      </c>
      <c r="DO661" s="27" t="s">
        <v>8</v>
      </c>
      <c r="DP661" s="27" t="s">
        <v>7</v>
      </c>
    </row>
    <row r="662" spans="1:120" x14ac:dyDescent="0.25">
      <c r="A662" s="7">
        <v>0.22645771341837515</v>
      </c>
      <c r="B662"/>
      <c r="C662"/>
      <c r="D662"/>
      <c r="E662"/>
      <c r="DL662" s="27" t="s">
        <v>7</v>
      </c>
      <c r="DM662" s="27" t="s">
        <v>8</v>
      </c>
      <c r="DN662" s="27" t="s">
        <v>7</v>
      </c>
    </row>
    <row r="663" spans="1:120" x14ac:dyDescent="0.25">
      <c r="A663" s="7">
        <v>0.22201736609644623</v>
      </c>
      <c r="B663"/>
      <c r="C663"/>
      <c r="D663"/>
      <c r="E663"/>
      <c r="DL663" s="27" t="s">
        <v>7</v>
      </c>
    </row>
    <row r="664" spans="1:120" x14ac:dyDescent="0.25">
      <c r="A664" s="7">
        <v>0.21766408440828061</v>
      </c>
      <c r="B664"/>
      <c r="C664"/>
      <c r="D664"/>
      <c r="E664"/>
    </row>
    <row r="665" spans="1:120" x14ac:dyDescent="0.25">
      <c r="A665" s="7">
        <v>0.21339616118458882</v>
      </c>
      <c r="B665"/>
      <c r="C665"/>
      <c r="D665"/>
      <c r="E665"/>
    </row>
    <row r="666" spans="1:120" x14ac:dyDescent="0.25">
      <c r="A666" s="7">
        <v>0.20921192272998904</v>
      </c>
      <c r="B666"/>
      <c r="C666"/>
      <c r="D666"/>
      <c r="E666"/>
    </row>
    <row r="667" spans="1:120" x14ac:dyDescent="0.25">
      <c r="A667" s="7">
        <v>0.20510972816665593</v>
      </c>
      <c r="B667"/>
      <c r="C667"/>
      <c r="D667"/>
      <c r="E667"/>
    </row>
    <row r="668" spans="1:120" x14ac:dyDescent="0.25">
      <c r="A668" s="7">
        <v>0.20108796879083912</v>
      </c>
      <c r="B668"/>
      <c r="C668"/>
      <c r="D668"/>
      <c r="E668"/>
    </row>
    <row r="669" spans="1:120" x14ac:dyDescent="0.25">
      <c r="A669" s="7">
        <v>0.19714506744199917</v>
      </c>
      <c r="B669"/>
      <c r="C669"/>
      <c r="D669"/>
      <c r="E669"/>
    </row>
    <row r="670" spans="1:120" x14ac:dyDescent="0.25">
      <c r="A670" s="7">
        <v>0.19327947788431293</v>
      </c>
      <c r="B670"/>
      <c r="C670"/>
      <c r="D670"/>
      <c r="E670"/>
    </row>
    <row r="671" spans="1:120" x14ac:dyDescent="0.25">
      <c r="A671" s="7">
        <v>0.18948968420030682</v>
      </c>
      <c r="B671"/>
      <c r="C671"/>
      <c r="D671"/>
      <c r="E671"/>
    </row>
    <row r="672" spans="1:120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654" operator="equal">
      <formula>$U$1</formula>
    </cfRule>
    <cfRule type="cellIs" dxfId="89" priority="655" operator="equal">
      <formula>$S$1</formula>
    </cfRule>
  </conditionalFormatting>
  <conditionalFormatting sqref="D27">
    <cfRule type="cellIs" dxfId="88" priority="652" operator="equal">
      <formula>$S$1</formula>
    </cfRule>
    <cfRule type="cellIs" dxfId="87" priority="653" operator="equal">
      <formula>$U$1</formula>
    </cfRule>
  </conditionalFormatting>
  <conditionalFormatting sqref="C164">
    <cfRule type="cellIs" dxfId="86" priority="650" operator="equal">
      <formula>$U$1</formula>
    </cfRule>
    <cfRule type="cellIs" dxfId="85" priority="651" operator="equal">
      <formula>$S$1</formula>
    </cfRule>
  </conditionalFormatting>
  <conditionalFormatting sqref="D164">
    <cfRule type="cellIs" dxfId="84" priority="648" operator="equal">
      <formula>$S$1</formula>
    </cfRule>
    <cfRule type="cellIs" dxfId="83" priority="649" operator="equal">
      <formula>$U$1</formula>
    </cfRule>
  </conditionalFormatting>
  <conditionalFormatting sqref="C55">
    <cfRule type="cellIs" dxfId="82" priority="646" operator="equal">
      <formula>$U$1</formula>
    </cfRule>
    <cfRule type="cellIs" dxfId="81" priority="647" operator="equal">
      <formula>$S$1</formula>
    </cfRule>
  </conditionalFormatting>
  <conditionalFormatting sqref="D55">
    <cfRule type="cellIs" dxfId="80" priority="644" operator="equal">
      <formula>$S$1</formula>
    </cfRule>
    <cfRule type="cellIs" dxfId="79" priority="645" operator="equal">
      <formula>$U$1</formula>
    </cfRule>
  </conditionalFormatting>
  <conditionalFormatting sqref="C89">
    <cfRule type="cellIs" dxfId="78" priority="642" operator="equal">
      <formula>$U$1</formula>
    </cfRule>
    <cfRule type="cellIs" dxfId="77" priority="643" operator="equal">
      <formula>$S$1</formula>
    </cfRule>
  </conditionalFormatting>
  <conditionalFormatting sqref="D89">
    <cfRule type="cellIs" dxfId="76" priority="640" operator="equal">
      <formula>$S$1</formula>
    </cfRule>
    <cfRule type="cellIs" dxfId="75" priority="641" operator="equal">
      <formula>$U$1</formula>
    </cfRule>
  </conditionalFormatting>
  <conditionalFormatting sqref="C136">
    <cfRule type="cellIs" dxfId="74" priority="638" operator="equal">
      <formula>$U$1</formula>
    </cfRule>
    <cfRule type="cellIs" dxfId="73" priority="639" operator="equal">
      <formula>$S$1</formula>
    </cfRule>
  </conditionalFormatting>
  <conditionalFormatting sqref="D136">
    <cfRule type="cellIs" dxfId="72" priority="636" operator="equal">
      <formula>$S$1</formula>
    </cfRule>
    <cfRule type="cellIs" dxfId="71" priority="637" operator="equal">
      <formula>$U$1</formula>
    </cfRule>
  </conditionalFormatting>
  <conditionalFormatting sqref="C1">
    <cfRule type="cellIs" dxfId="70" priority="635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75"/>
  <sheetViews>
    <sheetView topLeftCell="A283" zoomScale="90" zoomScaleNormal="90" workbookViewId="0">
      <pane xSplit="4" topLeftCell="E1" activePane="topRight" state="frozen"/>
      <selection activeCell="A109" sqref="A109"/>
      <selection pane="topRight" activeCell="AV338" sqref="AV338"/>
    </sheetView>
  </sheetViews>
  <sheetFormatPr defaultRowHeight="15" x14ac:dyDescent="0.25"/>
  <cols>
    <col min="1" max="1" width="12.5703125" style="30" customWidth="1"/>
    <col min="2" max="5" width="10.7109375" style="1" hidden="1" customWidth="1"/>
    <col min="6" max="7" width="10.710937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1">
        <v>2632434.7683733804</v>
      </c>
    </row>
    <row r="6" spans="1:21" x14ac:dyDescent="0.25">
      <c r="A6" s="31">
        <v>2507080.7317841719</v>
      </c>
    </row>
    <row r="7" spans="1:21" x14ac:dyDescent="0.25">
      <c r="A7" s="31">
        <v>2387695.9350325447</v>
      </c>
    </row>
    <row r="8" spans="1:21" x14ac:dyDescent="0.25">
      <c r="A8" s="31">
        <v>2273996.1286024232</v>
      </c>
    </row>
    <row r="9" spans="1:21" x14ac:dyDescent="0.25">
      <c r="A9" s="31">
        <v>2165710.5986689744</v>
      </c>
    </row>
    <row r="10" spans="1:21" x14ac:dyDescent="0.25">
      <c r="A10" s="31">
        <v>2062581.5225418801</v>
      </c>
    </row>
    <row r="11" spans="1:21" x14ac:dyDescent="0.25">
      <c r="A11" s="31">
        <v>1964363.3548017906</v>
      </c>
    </row>
    <row r="12" spans="1:21" x14ac:dyDescent="0.25">
      <c r="A12" s="31">
        <v>1870822.2426683719</v>
      </c>
    </row>
    <row r="13" spans="1:21" x14ac:dyDescent="0.25">
      <c r="A13" s="31">
        <v>1781735.4692079732</v>
      </c>
    </row>
    <row r="14" spans="1:21" x14ac:dyDescent="0.25">
      <c r="A14" s="31">
        <v>1696890.9230552125</v>
      </c>
    </row>
    <row r="15" spans="1:21" x14ac:dyDescent="0.25">
      <c r="A15" s="31">
        <v>1616086.5933859167</v>
      </c>
    </row>
    <row r="16" spans="1:21" x14ac:dyDescent="0.25">
      <c r="A16" s="31">
        <v>1539130.0889389683</v>
      </c>
    </row>
    <row r="17" spans="1:7" x14ac:dyDescent="0.25">
      <c r="A17" s="31">
        <v>1465838.1799418745</v>
      </c>
    </row>
    <row r="18" spans="1:7" x14ac:dyDescent="0.25">
      <c r="A18" s="31">
        <v>1396036.3618494042</v>
      </c>
    </row>
    <row r="19" spans="1:7" x14ac:dyDescent="0.25">
      <c r="A19" s="31">
        <v>1329558.4398565753</v>
      </c>
    </row>
    <row r="20" spans="1:7" x14ac:dyDescent="0.25">
      <c r="A20" s="31">
        <v>1266246.1331967383</v>
      </c>
    </row>
    <row r="21" spans="1:7" x14ac:dyDescent="0.25">
      <c r="A21" s="31">
        <v>1205948.6982826078</v>
      </c>
      <c r="C21" s="1" t="s">
        <v>15</v>
      </c>
      <c r="G21" s="11"/>
    </row>
    <row r="22" spans="1:7" x14ac:dyDescent="0.25">
      <c r="A22" s="31">
        <v>1148522.5697929598</v>
      </c>
      <c r="C22" s="7">
        <v>0.11686133436193799</v>
      </c>
      <c r="D22"/>
    </row>
    <row r="23" spans="1:7" x14ac:dyDescent="0.25">
      <c r="A23" s="31">
        <v>1093831.0188504378</v>
      </c>
    </row>
    <row r="24" spans="1:7" x14ac:dyDescent="0.25">
      <c r="A24" s="31">
        <v>1041743.8274766075</v>
      </c>
      <c r="C24" s="1" t="s">
        <v>11</v>
      </c>
      <c r="D24" s="1" t="s">
        <v>12</v>
      </c>
    </row>
    <row r="25" spans="1:7" x14ac:dyDescent="0.25">
      <c r="A25" s="31">
        <v>992136.97854914994</v>
      </c>
      <c r="C25"/>
      <c r="D25"/>
    </row>
    <row r="26" spans="1:7" x14ac:dyDescent="0.25">
      <c r="A26" s="31">
        <v>944892.36052299989</v>
      </c>
    </row>
    <row r="27" spans="1:7" x14ac:dyDescent="0.25">
      <c r="A27" s="31">
        <v>899897.48621238081</v>
      </c>
      <c r="C27" s="1" t="s">
        <v>13</v>
      </c>
    </row>
    <row r="28" spans="1:7" x14ac:dyDescent="0.25">
      <c r="A28" s="31">
        <v>857045.22496417211</v>
      </c>
      <c r="C28" s="1">
        <f>C17</f>
        <v>0</v>
      </c>
    </row>
    <row r="29" spans="1:7" x14ac:dyDescent="0.25">
      <c r="A29" s="31">
        <v>816233.54758492578</v>
      </c>
      <c r="C29"/>
    </row>
    <row r="30" spans="1:7" x14ac:dyDescent="0.25">
      <c r="A30" s="31">
        <v>777365.28341421497</v>
      </c>
      <c r="C30" s="1" t="s">
        <v>14</v>
      </c>
    </row>
    <row r="31" spans="1:7" x14ac:dyDescent="0.25">
      <c r="A31" s="31">
        <v>740347.88896591903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1">
        <v>705093.22758658952</v>
      </c>
    </row>
    <row r="33" spans="1:5" x14ac:dyDescent="0.25">
      <c r="A33" s="31">
        <v>671517.35960627568</v>
      </c>
      <c r="E33"/>
    </row>
    <row r="34" spans="1:5" x14ac:dyDescent="0.25">
      <c r="A34" s="31">
        <v>639540.3424821673</v>
      </c>
      <c r="E34"/>
    </row>
    <row r="35" spans="1:5" x14ac:dyDescent="0.25">
      <c r="A35" s="31">
        <v>609086.04045920691</v>
      </c>
      <c r="E35"/>
    </row>
    <row r="36" spans="1:5" x14ac:dyDescent="0.25">
      <c r="A36" s="31">
        <v>580081.94329448277</v>
      </c>
      <c r="E36"/>
    </row>
    <row r="37" spans="1:5" x14ac:dyDescent="0.25">
      <c r="A37" s="31">
        <v>552458.99361379305</v>
      </c>
      <c r="E37"/>
    </row>
    <row r="38" spans="1:5" x14ac:dyDescent="0.25">
      <c r="A38" s="31">
        <v>526151.42248932668</v>
      </c>
      <c r="E38"/>
    </row>
    <row r="39" spans="1:5" x14ac:dyDescent="0.25">
      <c r="A39" s="31">
        <v>501096.59284697776</v>
      </c>
      <c r="E39"/>
    </row>
    <row r="40" spans="1:5" x14ac:dyDescent="0.25">
      <c r="A40" s="31">
        <v>477234.850330455</v>
      </c>
      <c r="E40"/>
    </row>
    <row r="41" spans="1:5" x14ac:dyDescent="0.25">
      <c r="A41" s="31">
        <v>454509.38126709999</v>
      </c>
      <c r="E41"/>
    </row>
    <row r="42" spans="1:5" x14ac:dyDescent="0.25">
      <c r="A42" s="31">
        <v>432866.07739723806</v>
      </c>
      <c r="E42"/>
    </row>
    <row r="43" spans="1:5" x14ac:dyDescent="0.25">
      <c r="A43" s="31">
        <v>412253.40704498859</v>
      </c>
      <c r="E43"/>
    </row>
    <row r="44" spans="1:5" x14ac:dyDescent="0.25">
      <c r="A44" s="31">
        <v>392622.29242379864</v>
      </c>
      <c r="E44"/>
    </row>
    <row r="45" spans="1:5" x14ac:dyDescent="0.25">
      <c r="A45" s="31">
        <v>373925.99278457015</v>
      </c>
      <c r="E45"/>
    </row>
    <row r="46" spans="1:5" x14ac:dyDescent="0.25">
      <c r="A46" s="31">
        <v>356119.99312816205</v>
      </c>
      <c r="C46" s="1" t="s">
        <v>15</v>
      </c>
      <c r="E46"/>
    </row>
    <row r="47" spans="1:5" x14ac:dyDescent="0.25">
      <c r="A47" s="31">
        <v>339161.89821729716</v>
      </c>
      <c r="C47" s="7">
        <v>0.11686133436193799</v>
      </c>
      <c r="D47"/>
      <c r="E47"/>
    </row>
    <row r="48" spans="1:5" x14ac:dyDescent="0.25">
      <c r="A48" s="31">
        <v>323011.33163552108</v>
      </c>
      <c r="E48"/>
    </row>
    <row r="49" spans="1:5" x14ac:dyDescent="0.25">
      <c r="A49" s="31">
        <v>307629.83965287718</v>
      </c>
      <c r="C49" s="1" t="s">
        <v>11</v>
      </c>
      <c r="D49" s="1" t="s">
        <v>12</v>
      </c>
      <c r="E49"/>
    </row>
    <row r="50" spans="1:5" x14ac:dyDescent="0.25">
      <c r="A50" s="31">
        <v>292980.79966940684</v>
      </c>
      <c r="C50"/>
      <c r="D50"/>
      <c r="E50"/>
    </row>
    <row r="51" spans="1:5" x14ac:dyDescent="0.25">
      <c r="A51" s="31">
        <v>279029.33301848272</v>
      </c>
      <c r="E51"/>
    </row>
    <row r="52" spans="1:5" x14ac:dyDescent="0.25">
      <c r="A52" s="31">
        <v>265742.22192236449</v>
      </c>
      <c r="C52" s="1" t="s">
        <v>13</v>
      </c>
      <c r="E52"/>
    </row>
    <row r="53" spans="1:5" x14ac:dyDescent="0.25">
      <c r="A53" s="31">
        <v>253087.83040225189</v>
      </c>
      <c r="C53" s="1">
        <f>C42</f>
        <v>0</v>
      </c>
      <c r="E53"/>
    </row>
    <row r="54" spans="1:5" x14ac:dyDescent="0.25">
      <c r="A54" s="31">
        <v>241036.02895452559</v>
      </c>
      <c r="C54"/>
      <c r="E54"/>
    </row>
    <row r="55" spans="1:5" x14ac:dyDescent="0.25">
      <c r="A55" s="31">
        <v>229558.12281383388</v>
      </c>
      <c r="C55" s="1" t="s">
        <v>14</v>
      </c>
      <c r="E55"/>
    </row>
    <row r="56" spans="1:5" x14ac:dyDescent="0.25">
      <c r="A56" s="31">
        <v>218626.78363222274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1">
        <v>208215.9844116407</v>
      </c>
      <c r="E57"/>
    </row>
    <row r="58" spans="1:5" x14ac:dyDescent="0.25">
      <c r="A58" s="31">
        <v>198300.9375348959</v>
      </c>
      <c r="E58"/>
    </row>
    <row r="59" spans="1:5" x14ac:dyDescent="0.25">
      <c r="A59" s="31">
        <v>188858.0357475199</v>
      </c>
      <c r="E59"/>
    </row>
    <row r="60" spans="1:5" x14ac:dyDescent="0.25">
      <c r="A60" s="31">
        <v>179864.79595001895</v>
      </c>
      <c r="E60"/>
    </row>
    <row r="61" spans="1:5" x14ac:dyDescent="0.25">
      <c r="A61" s="31">
        <v>171299.8056666847</v>
      </c>
      <c r="E61"/>
    </row>
    <row r="62" spans="1:5" x14ac:dyDescent="0.25">
      <c r="A62" s="31">
        <v>163142.67206350924</v>
      </c>
      <c r="E62"/>
    </row>
    <row r="63" spans="1:5" x14ac:dyDescent="0.25">
      <c r="A63" s="31">
        <v>155373.97339381831</v>
      </c>
      <c r="E63"/>
    </row>
    <row r="64" spans="1:5" x14ac:dyDescent="0.25">
      <c r="A64" s="31">
        <v>147975.21275601743</v>
      </c>
      <c r="E64"/>
    </row>
    <row r="65" spans="1:5" x14ac:dyDescent="0.25">
      <c r="A65" s="31">
        <v>140928.77405334992</v>
      </c>
      <c r="E65"/>
    </row>
    <row r="66" spans="1:5" x14ac:dyDescent="0.25">
      <c r="A66" s="31">
        <v>134217.88005080944</v>
      </c>
      <c r="E66"/>
    </row>
    <row r="67" spans="1:5" x14ac:dyDescent="0.25">
      <c r="A67" s="31">
        <v>127826.55242934231</v>
      </c>
      <c r="E67"/>
    </row>
    <row r="68" spans="1:5" x14ac:dyDescent="0.25">
      <c r="A68" s="31">
        <v>121739.57374223076</v>
      </c>
      <c r="E68"/>
    </row>
    <row r="69" spans="1:5" x14ac:dyDescent="0.25">
      <c r="A69" s="31">
        <v>115942.4511830769</v>
      </c>
      <c r="E69"/>
    </row>
    <row r="70" spans="1:5" x14ac:dyDescent="0.25">
      <c r="A70" s="31">
        <v>110421.38207912086</v>
      </c>
      <c r="E70"/>
    </row>
    <row r="71" spans="1:5" x14ac:dyDescent="0.25">
      <c r="A71" s="31">
        <v>105163.22102773415</v>
      </c>
      <c r="C71" s="1" t="s">
        <v>15</v>
      </c>
      <c r="E71"/>
    </row>
    <row r="72" spans="1:5" x14ac:dyDescent="0.25">
      <c r="A72" s="30">
        <v>100155.44859784204</v>
      </c>
      <c r="C72" s="7">
        <v>0.11686133436193799</v>
      </c>
      <c r="D72"/>
      <c r="E72"/>
    </row>
    <row r="73" spans="1:5" x14ac:dyDescent="0.25">
      <c r="A73" s="30">
        <v>95386.141521754325</v>
      </c>
      <c r="E73"/>
    </row>
    <row r="74" spans="1:5" x14ac:dyDescent="0.25">
      <c r="A74" s="30">
        <v>90843.944306432692</v>
      </c>
      <c r="C74" s="1" t="s">
        <v>11</v>
      </c>
      <c r="D74" s="1" t="s">
        <v>12</v>
      </c>
      <c r="E74"/>
    </row>
    <row r="75" spans="1:5" x14ac:dyDescent="0.25">
      <c r="A75" s="30">
        <v>86518.042196602561</v>
      </c>
      <c r="C75"/>
      <c r="D75"/>
      <c r="E75"/>
    </row>
    <row r="76" spans="1:5" x14ac:dyDescent="0.25">
      <c r="A76" s="30">
        <v>82398.135425335771</v>
      </c>
      <c r="E76"/>
    </row>
    <row r="77" spans="1:5" x14ac:dyDescent="0.25">
      <c r="A77" s="30">
        <v>78474.414690795966</v>
      </c>
      <c r="C77" s="1" t="s">
        <v>13</v>
      </c>
      <c r="E77"/>
    </row>
    <row r="78" spans="1:5" x14ac:dyDescent="0.25">
      <c r="A78" s="30">
        <v>74737.537800758058</v>
      </c>
      <c r="C78" s="1">
        <f>C67</f>
        <v>0</v>
      </c>
      <c r="E78"/>
    </row>
    <row r="79" spans="1:5" x14ac:dyDescent="0.25">
      <c r="A79" s="30">
        <v>71178.607429293392</v>
      </c>
      <c r="C79"/>
      <c r="E79"/>
    </row>
    <row r="80" spans="1:5" x14ac:dyDescent="0.25">
      <c r="A80" s="30">
        <v>67789.149932660366</v>
      </c>
      <c r="C80" s="1" t="s">
        <v>14</v>
      </c>
      <c r="E80"/>
    </row>
    <row r="81" spans="1:5" x14ac:dyDescent="0.25">
      <c r="A81" s="30">
        <v>64561.095173962254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61486.757308535474</v>
      </c>
      <c r="E82"/>
    </row>
    <row r="83" spans="1:5" x14ac:dyDescent="0.25">
      <c r="A83" s="30">
        <v>58558.816484319497</v>
      </c>
      <c r="E83"/>
    </row>
    <row r="84" spans="1:5" x14ac:dyDescent="0.25">
      <c r="A84" s="30">
        <v>55770.301413637615</v>
      </c>
      <c r="E84"/>
    </row>
    <row r="85" spans="1:5" x14ac:dyDescent="0.25">
      <c r="A85" s="30">
        <v>53114.572774892964</v>
      </c>
      <c r="E85"/>
    </row>
    <row r="86" spans="1:5" x14ac:dyDescent="0.25">
      <c r="A86" s="30">
        <v>50585.307404659965</v>
      </c>
      <c r="E86"/>
    </row>
    <row r="87" spans="1:5" x14ac:dyDescent="0.25">
      <c r="A87" s="30">
        <v>48176.483242533301</v>
      </c>
      <c r="E87"/>
    </row>
    <row r="88" spans="1:5" x14ac:dyDescent="0.25">
      <c r="A88" s="30">
        <v>45882.364992888855</v>
      </c>
      <c r="E88"/>
    </row>
    <row r="89" spans="1:5" x14ac:dyDescent="0.25">
      <c r="A89" s="30">
        <v>43697.490469417957</v>
      </c>
      <c r="E89"/>
    </row>
    <row r="90" spans="1:5" x14ac:dyDescent="0.25">
      <c r="A90" s="30">
        <v>41616.657589921859</v>
      </c>
      <c r="E90"/>
    </row>
    <row r="91" spans="1:5" x14ac:dyDescent="0.25">
      <c r="A91" s="30">
        <v>39634.911990401772</v>
      </c>
      <c r="E91"/>
    </row>
    <row r="92" spans="1:5" x14ac:dyDescent="0.25">
      <c r="A92" s="30">
        <v>37747.535228954068</v>
      </c>
      <c r="E92"/>
    </row>
    <row r="93" spans="1:5" x14ac:dyDescent="0.25">
      <c r="A93" s="30">
        <v>35950.033551384826</v>
      </c>
      <c r="E93"/>
    </row>
    <row r="94" spans="1:5" x14ac:dyDescent="0.25">
      <c r="A94" s="30">
        <v>34238.127191795073</v>
      </c>
      <c r="E94"/>
    </row>
    <row r="95" spans="1:5" x14ac:dyDescent="0.25">
      <c r="A95" s="30">
        <v>32607.740182661972</v>
      </c>
      <c r="E95"/>
    </row>
    <row r="96" spans="1:5" x14ac:dyDescent="0.25">
      <c r="A96" s="30">
        <v>31054.990650154257</v>
      </c>
      <c r="C96" s="1" t="s">
        <v>15</v>
      </c>
      <c r="E96"/>
    </row>
    <row r="97" spans="1:5" x14ac:dyDescent="0.25">
      <c r="A97" s="30">
        <v>29576.181571575482</v>
      </c>
      <c r="C97" s="7">
        <v>0.11686133436193799</v>
      </c>
      <c r="D97"/>
      <c r="E97"/>
    </row>
    <row r="98" spans="1:5" x14ac:dyDescent="0.25">
      <c r="A98" s="30">
        <v>28167.79197292903</v>
      </c>
      <c r="E98"/>
    </row>
    <row r="99" spans="1:5" x14ac:dyDescent="0.25">
      <c r="A99" s="30">
        <v>26826.468545646694</v>
      </c>
      <c r="C99" s="1" t="s">
        <v>11</v>
      </c>
      <c r="D99" s="1" t="s">
        <v>12</v>
      </c>
      <c r="E99"/>
    </row>
    <row r="100" spans="1:5" x14ac:dyDescent="0.25">
      <c r="A100" s="30">
        <v>25549.017662520659</v>
      </c>
      <c r="C100"/>
      <c r="D100"/>
      <c r="E100"/>
    </row>
    <row r="101" spans="1:5" x14ac:dyDescent="0.25">
      <c r="A101" s="30">
        <v>24332.397773829198</v>
      </c>
      <c r="E101"/>
    </row>
    <row r="102" spans="1:5" x14ac:dyDescent="0.25">
      <c r="A102" s="30">
        <v>23173.712165551617</v>
      </c>
      <c r="C102" s="1" t="s">
        <v>13</v>
      </c>
      <c r="E102"/>
    </row>
    <row r="103" spans="1:5" x14ac:dyDescent="0.25">
      <c r="A103" s="30">
        <v>22070.202062430111</v>
      </c>
      <c r="C103" s="1">
        <f>C92</f>
        <v>0</v>
      </c>
      <c r="E103"/>
    </row>
    <row r="104" spans="1:5" x14ac:dyDescent="0.25">
      <c r="A104" s="30">
        <v>21019.240059457246</v>
      </c>
      <c r="C104"/>
      <c r="E104"/>
    </row>
    <row r="105" spans="1:5" x14ac:dyDescent="0.25">
      <c r="A105" s="30">
        <v>20018.323866149756</v>
      </c>
      <c r="C105" s="1" t="s">
        <v>14</v>
      </c>
      <c r="E105"/>
    </row>
    <row r="106" spans="1:5" x14ac:dyDescent="0.25">
      <c r="A106" s="30">
        <v>19065.070348714053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18157.209855918143</v>
      </c>
      <c r="E107"/>
    </row>
    <row r="108" spans="1:5" x14ac:dyDescent="0.25">
      <c r="A108" s="30">
        <v>17292.580815160134</v>
      </c>
      <c r="E108"/>
    </row>
    <row r="109" spans="1:5" x14ac:dyDescent="0.25">
      <c r="A109" s="30">
        <v>16469.124585866793</v>
      </c>
      <c r="E109"/>
    </row>
    <row r="110" spans="1:5" x14ac:dyDescent="0.25">
      <c r="A110" s="30">
        <v>15684.880557968376</v>
      </c>
      <c r="E110"/>
    </row>
    <row r="111" spans="1:5" x14ac:dyDescent="0.25">
      <c r="A111" s="30">
        <v>14937.981483779406</v>
      </c>
      <c r="C111" s="1" t="str">
        <f>ADDRESS(C121-1,1,1,1)</f>
        <v>$A$337</v>
      </c>
      <c r="D111" s="1" t="str">
        <f>ADDRESS(C121-1,D121,1,1)</f>
        <v>$AV$337</v>
      </c>
      <c r="E111"/>
    </row>
    <row r="112" spans="1:5" x14ac:dyDescent="0.25">
      <c r="A112" s="30">
        <v>14226.649032170862</v>
      </c>
      <c r="C112" s="1" t="str">
        <f>ADDRESS(C121,1,1,1)</f>
        <v>$A$338</v>
      </c>
      <c r="D112" s="1" t="str">
        <f>ADDRESS(C121,D121-1,1,1)</f>
        <v>$AU$338</v>
      </c>
      <c r="E112"/>
    </row>
    <row r="113" spans="1:5" x14ac:dyDescent="0.25">
      <c r="A113" s="30">
        <v>13549.18955444844</v>
      </c>
      <c r="C113" s="1" t="str">
        <f>ADDRESS(C121+1,1,1,1)</f>
        <v>$A$339</v>
      </c>
      <c r="D113" s="1" t="str">
        <f>ADDRESS(C121-1,D121+1,1,1)</f>
        <v>$AW$337</v>
      </c>
    </row>
    <row r="114" spans="1:5" x14ac:dyDescent="0.25">
      <c r="A114" s="30">
        <v>12903.990051855657</v>
      </c>
      <c r="C114" s="1" t="str">
        <f>ADDRESS(C121,D121,1,1)</f>
        <v>$AV$338</v>
      </c>
      <c r="D114" s="1" t="str">
        <f>ADDRESS(C121+1,D121+1,1,1)</f>
        <v>$AW$339</v>
      </c>
    </row>
    <row r="115" spans="1:5" x14ac:dyDescent="0.25">
      <c r="A115" s="30">
        <v>12289.514335100625</v>
      </c>
      <c r="C115" s="1" t="str">
        <f>ADDRESS(C121+1,D121,1,1)</f>
        <v>$AV$339</v>
      </c>
    </row>
    <row r="116" spans="1:5" x14ac:dyDescent="0.25">
      <c r="A116" s="30">
        <v>11704.2993667625</v>
      </c>
      <c r="C116" s="1">
        <f>C117-1</f>
        <v>337</v>
      </c>
    </row>
    <row r="117" spans="1:5" x14ac:dyDescent="0.25">
      <c r="A117" s="30">
        <v>11146.951777869046</v>
      </c>
      <c r="C117" s="1">
        <f>C121</f>
        <v>338</v>
      </c>
      <c r="D117" s="1">
        <f>D121</f>
        <v>48</v>
      </c>
    </row>
    <row r="118" spans="1:5" x14ac:dyDescent="0.25">
      <c r="A118" s="30">
        <v>10616.144550351471</v>
      </c>
      <c r="C118" s="1">
        <f>C117+1</f>
        <v>339</v>
      </c>
      <c r="D118" s="1">
        <f>D117+1</f>
        <v>49</v>
      </c>
    </row>
    <row r="119" spans="1:5" x14ac:dyDescent="0.25">
      <c r="A119" s="30">
        <v>10110.613857477592</v>
      </c>
    </row>
    <row r="120" spans="1:5" x14ac:dyDescent="0.25">
      <c r="A120" s="30">
        <v>9629.1560547405643</v>
      </c>
      <c r="C120" s="1" t="s">
        <v>9</v>
      </c>
    </row>
    <row r="121" spans="1:5" x14ac:dyDescent="0.25">
      <c r="A121" s="30">
        <v>9170.6248140386324</v>
      </c>
      <c r="C121" s="18">
        <v>338</v>
      </c>
      <c r="D121" s="19">
        <v>48</v>
      </c>
      <c r="E121" s="19"/>
    </row>
    <row r="122" spans="1:5" x14ac:dyDescent="0.25">
      <c r="A122" s="30">
        <v>8733.9283943225073</v>
      </c>
      <c r="C122" s="1" t="str">
        <f>INDEX(1:1048576,C117,D117)</f>
        <v>O</v>
      </c>
    </row>
    <row r="123" spans="1:5" x14ac:dyDescent="0.25">
      <c r="A123" s="30">
        <v>8318.027042211912</v>
      </c>
      <c r="C123" s="1" t="str">
        <f>"R"&amp;C121</f>
        <v>R338</v>
      </c>
      <c r="D123" s="1" t="str">
        <f>"C"&amp;D121</f>
        <v>C48</v>
      </c>
    </row>
    <row r="124" spans="1:5" x14ac:dyDescent="0.25">
      <c r="A124" s="30">
        <v>7921.9305163922963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7544.6957298974248</v>
      </c>
    </row>
    <row r="126" spans="1:5" x14ac:dyDescent="0.25">
      <c r="A126" s="30">
        <v>7185.4245046642136</v>
      </c>
      <c r="C126" s="1" t="s">
        <v>10</v>
      </c>
    </row>
    <row r="127" spans="1:5" x14ac:dyDescent="0.25">
      <c r="A127" s="30">
        <v>6843.2614330135366</v>
      </c>
      <c r="C127" s="30">
        <v>0.23137744865585538</v>
      </c>
      <c r="D127"/>
    </row>
    <row r="128" spans="1:5" x14ac:dyDescent="0.25">
      <c r="A128" s="30">
        <v>6517.3918409652724</v>
      </c>
    </row>
    <row r="129" spans="1:5" x14ac:dyDescent="0.25">
      <c r="A129" s="30">
        <v>6207.0398485383548</v>
      </c>
      <c r="C129" s="1" t="s">
        <v>11</v>
      </c>
      <c r="D129" s="1" t="s">
        <v>12</v>
      </c>
      <c r="E129"/>
    </row>
    <row r="130" spans="1:5" x14ac:dyDescent="0.25">
      <c r="A130" s="30">
        <v>5911.4665224174805</v>
      </c>
      <c r="C130" s="6"/>
      <c r="D130" s="6"/>
      <c r="E130"/>
    </row>
    <row r="131" spans="1:5" x14ac:dyDescent="0.25">
      <c r="A131" s="30">
        <v>5629.9681165880766</v>
      </c>
      <c r="E131"/>
    </row>
    <row r="132" spans="1:5" x14ac:dyDescent="0.25">
      <c r="A132" s="30">
        <v>5361.8743967505488</v>
      </c>
      <c r="C132" s="1" t="s">
        <v>13</v>
      </c>
      <c r="E132"/>
    </row>
    <row r="133" spans="1:5" x14ac:dyDescent="0.25">
      <c r="A133" s="30">
        <v>5106.5470445243318</v>
      </c>
      <c r="C133" s="1" t="str">
        <f>C122</f>
        <v>O</v>
      </c>
      <c r="E133"/>
    </row>
    <row r="134" spans="1:5" x14ac:dyDescent="0.25">
      <c r="A134" s="30">
        <v>4863.3781376422203</v>
      </c>
      <c r="C134"/>
      <c r="E134"/>
    </row>
    <row r="135" spans="1:5" x14ac:dyDescent="0.25">
      <c r="A135" s="30">
        <v>4631.7887025164</v>
      </c>
      <c r="C135" s="1" t="s">
        <v>14</v>
      </c>
      <c r="E135"/>
    </row>
    <row r="136" spans="1:5" x14ac:dyDescent="0.25">
      <c r="A136" s="30">
        <v>4411.2273357299046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4201.1688911713372</v>
      </c>
      <c r="E137"/>
    </row>
    <row r="138" spans="1:5" x14ac:dyDescent="0.25">
      <c r="A138" s="30">
        <v>4001.1132296869878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3810.5840282733216</v>
      </c>
      <c r="E139"/>
    </row>
    <row r="140" spans="1:5" x14ac:dyDescent="0.25">
      <c r="A140" s="30">
        <v>3629.1276459745918</v>
      </c>
      <c r="C140" s="1">
        <v>0</v>
      </c>
      <c r="E140"/>
    </row>
    <row r="141" spans="1:5" x14ac:dyDescent="0.25">
      <c r="A141" s="30">
        <v>3456.3120437853254</v>
      </c>
      <c r="C141" s="1">
        <v>1</v>
      </c>
      <c r="E141"/>
    </row>
    <row r="142" spans="1:5" x14ac:dyDescent="0.25">
      <c r="A142" s="30">
        <v>3291.7257559860241</v>
      </c>
      <c r="C142" s="1">
        <v>2</v>
      </c>
      <c r="E142"/>
    </row>
    <row r="143" spans="1:5" x14ac:dyDescent="0.25">
      <c r="A143" s="30">
        <v>3134.9769104628799</v>
      </c>
      <c r="C143" s="1">
        <v>3</v>
      </c>
      <c r="E143"/>
    </row>
    <row r="144" spans="1:5" x14ac:dyDescent="0.25">
      <c r="A144" s="30">
        <v>2985.6922956789331</v>
      </c>
      <c r="C144" s="1">
        <v>4</v>
      </c>
      <c r="E144"/>
    </row>
    <row r="145" spans="1:5" x14ac:dyDescent="0.25">
      <c r="A145" s="30">
        <v>2843.5164720751741</v>
      </c>
      <c r="E145"/>
    </row>
    <row r="146" spans="1:5" x14ac:dyDescent="0.25">
      <c r="A146" s="30">
        <v>2708.1109257858798</v>
      </c>
      <c r="E146"/>
    </row>
    <row r="147" spans="1:5" x14ac:dyDescent="0.25">
      <c r="A147" s="30">
        <v>2579.1532626532189</v>
      </c>
      <c r="E147"/>
    </row>
    <row r="148" spans="1:5" x14ac:dyDescent="0.25">
      <c r="A148" s="30">
        <v>2456.3364406221131</v>
      </c>
      <c r="E148"/>
    </row>
    <row r="149" spans="1:5" x14ac:dyDescent="0.25">
      <c r="A149" s="30">
        <v>2339.3680386877268</v>
      </c>
      <c r="E149"/>
    </row>
    <row r="150" spans="1:5" x14ac:dyDescent="0.25">
      <c r="A150" s="30">
        <v>2227.9695606549776</v>
      </c>
      <c r="E150"/>
    </row>
    <row r="151" spans="1:5" x14ac:dyDescent="0.25">
      <c r="A151" s="30">
        <v>2121.8757720523595</v>
      </c>
      <c r="E151"/>
    </row>
    <row r="152" spans="1:5" x14ac:dyDescent="0.25">
      <c r="A152" s="30">
        <v>2020.8340686212948</v>
      </c>
      <c r="E152"/>
    </row>
    <row r="153" spans="1:5" x14ac:dyDescent="0.25">
      <c r="A153" s="30">
        <v>1924.6038748774236</v>
      </c>
      <c r="C153" s="7"/>
      <c r="D153"/>
      <c r="E153"/>
    </row>
    <row r="154" spans="1:5" x14ac:dyDescent="0.25">
      <c r="A154" s="30">
        <v>1832.9560713118319</v>
      </c>
      <c r="E154"/>
    </row>
    <row r="155" spans="1:5" x14ac:dyDescent="0.25">
      <c r="A155" s="30">
        <v>1745.6724488684113</v>
      </c>
      <c r="E155"/>
    </row>
    <row r="156" spans="1:5" x14ac:dyDescent="0.25">
      <c r="A156" s="30">
        <v>1662.5451893984869</v>
      </c>
      <c r="C156"/>
      <c r="D156"/>
      <c r="E156"/>
    </row>
    <row r="157" spans="1:5" x14ac:dyDescent="0.25">
      <c r="A157" s="30">
        <v>1583.3763708557017</v>
      </c>
      <c r="E157"/>
    </row>
    <row r="158" spans="1:5" x14ac:dyDescent="0.25">
      <c r="A158" s="30">
        <v>1507.9774960530492</v>
      </c>
      <c r="E158"/>
    </row>
    <row r="159" spans="1:5" x14ac:dyDescent="0.25">
      <c r="A159" s="30">
        <v>1436.1690438600467</v>
      </c>
      <c r="E159"/>
    </row>
    <row r="160" spans="1:5" x14ac:dyDescent="0.25">
      <c r="A160" s="30">
        <v>1367.780041771473</v>
      </c>
      <c r="C160"/>
      <c r="E160"/>
    </row>
    <row r="161" spans="1:5" x14ac:dyDescent="0.25">
      <c r="A161" s="30">
        <v>1302.6476588299743</v>
      </c>
      <c r="E161"/>
    </row>
    <row r="162" spans="1:5" x14ac:dyDescent="0.25">
      <c r="A162" s="30">
        <v>1240.6168179333088</v>
      </c>
      <c r="E162"/>
    </row>
    <row r="163" spans="1:5" x14ac:dyDescent="0.25">
      <c r="A163" s="30">
        <v>1181.5398266031511</v>
      </c>
      <c r="E163"/>
    </row>
    <row r="164" spans="1:5" x14ac:dyDescent="0.25">
      <c r="A164" s="30">
        <v>1125.2760253363344</v>
      </c>
      <c r="E164"/>
    </row>
    <row r="165" spans="1:5" x14ac:dyDescent="0.25">
      <c r="A165" s="30">
        <v>1071.6914527012709</v>
      </c>
      <c r="E165"/>
    </row>
    <row r="166" spans="1:5" x14ac:dyDescent="0.25">
      <c r="A166" s="30">
        <v>1020.6585263821628</v>
      </c>
      <c r="E166"/>
    </row>
    <row r="167" spans="1:5" x14ac:dyDescent="0.25">
      <c r="A167" s="30">
        <v>972.05573941158355</v>
      </c>
      <c r="E167"/>
    </row>
    <row r="168" spans="1:5" x14ac:dyDescent="0.25">
      <c r="A168" s="30">
        <v>925.76737086817479</v>
      </c>
      <c r="E168"/>
    </row>
    <row r="169" spans="1:5" x14ac:dyDescent="0.25">
      <c r="A169" s="30">
        <v>881.68321035064264</v>
      </c>
      <c r="E169"/>
    </row>
    <row r="170" spans="1:5" x14ac:dyDescent="0.25">
      <c r="A170" s="30">
        <v>839.69829557204059</v>
      </c>
      <c r="E170"/>
    </row>
    <row r="171" spans="1:5" x14ac:dyDescent="0.25">
      <c r="A171" s="30">
        <v>799.71266244956246</v>
      </c>
      <c r="E171"/>
    </row>
    <row r="172" spans="1:5" x14ac:dyDescent="0.25">
      <c r="A172" s="30">
        <v>761.63110709482135</v>
      </c>
      <c r="E172"/>
    </row>
    <row r="173" spans="1:5" x14ac:dyDescent="0.25">
      <c r="A173" s="30">
        <v>725.36295913792503</v>
      </c>
      <c r="E173"/>
    </row>
    <row r="174" spans="1:5" x14ac:dyDescent="0.25">
      <c r="A174" s="30">
        <v>690.82186584564283</v>
      </c>
      <c r="E174"/>
    </row>
    <row r="175" spans="1:5" x14ac:dyDescent="0.25">
      <c r="A175" s="30">
        <v>657.92558651965976</v>
      </c>
      <c r="E175"/>
    </row>
    <row r="176" spans="1:5" x14ac:dyDescent="0.25">
      <c r="A176" s="30">
        <v>626.59579668539027</v>
      </c>
      <c r="E176"/>
    </row>
    <row r="177" spans="1:5" x14ac:dyDescent="0.25">
      <c r="A177" s="30">
        <v>596.75790160513361</v>
      </c>
      <c r="E177"/>
    </row>
    <row r="178" spans="1:5" x14ac:dyDescent="0.25">
      <c r="A178" s="30">
        <v>568.34085867155579</v>
      </c>
      <c r="C178" s="7"/>
      <c r="D178"/>
      <c r="E178"/>
    </row>
    <row r="179" spans="1:5" x14ac:dyDescent="0.25">
      <c r="A179" s="30">
        <v>541.27700825862451</v>
      </c>
      <c r="E179"/>
    </row>
    <row r="180" spans="1:5" x14ac:dyDescent="0.25">
      <c r="A180" s="30">
        <v>515.50191262726139</v>
      </c>
      <c r="E180"/>
    </row>
    <row r="181" spans="1:5" x14ac:dyDescent="0.25">
      <c r="A181" s="30">
        <v>490.95420250215363</v>
      </c>
      <c r="C181"/>
      <c r="D181"/>
      <c r="E181"/>
    </row>
    <row r="182" spans="1:5" x14ac:dyDescent="0.25">
      <c r="A182" s="30">
        <v>467.57543095443202</v>
      </c>
      <c r="E182"/>
    </row>
    <row r="183" spans="1:5" x14ac:dyDescent="0.25">
      <c r="A183" s="30">
        <v>445.30993424231622</v>
      </c>
      <c r="E183"/>
    </row>
    <row r="184" spans="1:5" x14ac:dyDescent="0.25">
      <c r="A184" s="30">
        <v>424.10469927839637</v>
      </c>
      <c r="E184"/>
    </row>
    <row r="185" spans="1:5" x14ac:dyDescent="0.25">
      <c r="A185" s="30">
        <v>403.9092374079965</v>
      </c>
      <c r="C185"/>
      <c r="E185"/>
    </row>
    <row r="186" spans="1:5" x14ac:dyDescent="0.25">
      <c r="A186" s="30">
        <v>384.6754641980919</v>
      </c>
      <c r="E186"/>
    </row>
    <row r="187" spans="1:5" x14ac:dyDescent="0.25">
      <c r="A187" s="30">
        <v>366.35758495056371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348.91198566720351</v>
      </c>
      <c r="E188"/>
    </row>
    <row r="189" spans="1:5" x14ac:dyDescent="0.25">
      <c r="A189" s="30">
        <v>332.29712920686046</v>
      </c>
      <c r="E189"/>
    </row>
    <row r="190" spans="1:5" x14ac:dyDescent="0.25">
      <c r="A190" s="30">
        <v>316.47345638748612</v>
      </c>
      <c r="E190"/>
    </row>
    <row r="191" spans="1:5" x14ac:dyDescent="0.25">
      <c r="A191" s="30">
        <v>301.40329179760585</v>
      </c>
      <c r="E191"/>
    </row>
    <row r="192" spans="1:5" x14ac:dyDescent="0.25">
      <c r="A192" s="30">
        <v>287.05075409295796</v>
      </c>
      <c r="E192"/>
    </row>
    <row r="193" spans="1:5" x14ac:dyDescent="0.25">
      <c r="A193" s="30">
        <v>273.38167056472184</v>
      </c>
      <c r="E193"/>
    </row>
    <row r="194" spans="1:5" x14ac:dyDescent="0.25">
      <c r="A194" s="30">
        <v>260.36349577592557</v>
      </c>
      <c r="E194"/>
    </row>
    <row r="195" spans="1:5" x14ac:dyDescent="0.25">
      <c r="A195" s="30">
        <v>247.96523407231004</v>
      </c>
      <c r="E195"/>
    </row>
    <row r="196" spans="1:5" x14ac:dyDescent="0.25">
      <c r="A196" s="30">
        <v>236.15736578315241</v>
      </c>
      <c r="E196"/>
    </row>
    <row r="197" spans="1:5" x14ac:dyDescent="0.25">
      <c r="A197" s="30">
        <v>224.91177693633563</v>
      </c>
      <c r="E197"/>
    </row>
    <row r="198" spans="1:5" x14ac:dyDescent="0.25">
      <c r="A198" s="30">
        <v>214.20169232031964</v>
      </c>
      <c r="E198"/>
    </row>
    <row r="199" spans="1:5" x14ac:dyDescent="0.25">
      <c r="A199" s="30">
        <v>204.00161173363773</v>
      </c>
      <c r="E199"/>
    </row>
    <row r="200" spans="1:5" x14ac:dyDescent="0.25">
      <c r="A200" s="30">
        <v>194.28724927013116</v>
      </c>
      <c r="E200"/>
    </row>
    <row r="201" spans="1:5" x14ac:dyDescent="0.25">
      <c r="A201" s="30">
        <v>185.03547549536299</v>
      </c>
      <c r="E201"/>
    </row>
    <row r="202" spans="1:5" x14ac:dyDescent="0.25">
      <c r="A202" s="30">
        <v>176.22426237653616</v>
      </c>
      <c r="E202"/>
    </row>
    <row r="203" spans="1:5" x14ac:dyDescent="0.25">
      <c r="A203" s="30">
        <v>167.83263083479633</v>
      </c>
      <c r="C203" s="7"/>
      <c r="D203"/>
      <c r="E203"/>
    </row>
    <row r="204" spans="1:5" x14ac:dyDescent="0.25">
      <c r="A204" s="30">
        <v>159.84060079504411</v>
      </c>
      <c r="E204"/>
    </row>
    <row r="205" spans="1:5" x14ac:dyDescent="0.25">
      <c r="A205" s="30">
        <v>152.22914361432771</v>
      </c>
      <c r="E205"/>
    </row>
    <row r="206" spans="1:5" x14ac:dyDescent="0.25">
      <c r="A206" s="30">
        <v>144.98013677555019</v>
      </c>
      <c r="C206"/>
      <c r="D206"/>
      <c r="E206"/>
    </row>
    <row r="207" spans="1:5" x14ac:dyDescent="0.25">
      <c r="A207" s="30">
        <v>138.07632073861922</v>
      </c>
      <c r="E207"/>
    </row>
    <row r="208" spans="1:5" x14ac:dyDescent="0.25">
      <c r="A208" s="30">
        <v>131.50125784630401</v>
      </c>
      <c r="E208"/>
    </row>
    <row r="209" spans="1:5" x14ac:dyDescent="0.25">
      <c r="A209" s="30">
        <v>125.23929318695619</v>
      </c>
      <c r="E209"/>
    </row>
    <row r="210" spans="1:5" x14ac:dyDescent="0.25">
      <c r="A210" s="30">
        <v>119.27551732091065</v>
      </c>
      <c r="C210"/>
      <c r="E210"/>
    </row>
    <row r="211" spans="1:5" x14ac:dyDescent="0.25">
      <c r="A211" s="30">
        <v>113.59573078181967</v>
      </c>
      <c r="E211"/>
    </row>
    <row r="212" spans="1:5" x14ac:dyDescent="0.25">
      <c r="A212" s="30">
        <v>108.18641026839968</v>
      </c>
      <c r="E212"/>
    </row>
    <row r="213" spans="1:5" x14ac:dyDescent="0.25">
      <c r="A213" s="30">
        <v>103.03467644609493</v>
      </c>
      <c r="E213"/>
    </row>
    <row r="214" spans="1:5" x14ac:dyDescent="0.25">
      <c r="A214" s="30">
        <v>98.128263281995174</v>
      </c>
      <c r="E214"/>
    </row>
    <row r="215" spans="1:5" x14ac:dyDescent="0.25">
      <c r="A215" s="30">
        <v>93.455488839995397</v>
      </c>
      <c r="E215"/>
    </row>
    <row r="216" spans="1:5" x14ac:dyDescent="0.25">
      <c r="A216" s="30">
        <v>89.005227466662276</v>
      </c>
      <c r="E216"/>
    </row>
    <row r="217" spans="1:5" x14ac:dyDescent="0.25">
      <c r="A217" s="30">
        <v>84.766883301583121</v>
      </c>
      <c r="E217"/>
    </row>
    <row r="218" spans="1:5" x14ac:dyDescent="0.25">
      <c r="A218" s="30">
        <v>80.730365049126775</v>
      </c>
      <c r="E218"/>
    </row>
    <row r="219" spans="1:5" x14ac:dyDescent="0.25">
      <c r="A219" s="30">
        <v>76.886061951549308</v>
      </c>
      <c r="E219"/>
    </row>
    <row r="220" spans="1:5" x14ac:dyDescent="0.25">
      <c r="A220" s="30">
        <v>73.22482090623744</v>
      </c>
      <c r="E220"/>
    </row>
    <row r="221" spans="1:5" x14ac:dyDescent="0.25">
      <c r="A221" s="30">
        <v>69.737924672607079</v>
      </c>
      <c r="E221"/>
    </row>
    <row r="222" spans="1:5" x14ac:dyDescent="0.25">
      <c r="A222" s="30">
        <v>66.417071116768639</v>
      </c>
      <c r="E222"/>
    </row>
    <row r="223" spans="1:5" x14ac:dyDescent="0.25">
      <c r="A223" s="30">
        <v>63.254353444541557</v>
      </c>
      <c r="E223"/>
    </row>
    <row r="224" spans="1:5" x14ac:dyDescent="0.25">
      <c r="A224" s="30">
        <v>60.242241375753864</v>
      </c>
      <c r="E224"/>
    </row>
    <row r="225" spans="1:5" x14ac:dyDescent="0.25">
      <c r="A225" s="30">
        <v>57.373563215003678</v>
      </c>
      <c r="E225"/>
    </row>
    <row r="226" spans="1:5" x14ac:dyDescent="0.25">
      <c r="A226" s="30">
        <v>54.641488776193974</v>
      </c>
      <c r="E226"/>
    </row>
    <row r="227" spans="1:5" x14ac:dyDescent="0.25">
      <c r="A227" s="30">
        <v>52.039513120184736</v>
      </c>
      <c r="E227"/>
    </row>
    <row r="228" spans="1:5" x14ac:dyDescent="0.25">
      <c r="A228" s="30">
        <v>49.561441066842605</v>
      </c>
      <c r="C228" s="7"/>
      <c r="D228"/>
      <c r="E228"/>
    </row>
    <row r="229" spans="1:5" x14ac:dyDescent="0.25">
      <c r="A229" s="30">
        <v>47.201372444612005</v>
      </c>
      <c r="E229"/>
    </row>
    <row r="230" spans="1:5" x14ac:dyDescent="0.25">
      <c r="A230" s="30">
        <v>44.95368804248762</v>
      </c>
      <c r="E230"/>
    </row>
    <row r="231" spans="1:5" x14ac:dyDescent="0.25">
      <c r="A231" s="30">
        <v>42.81303623094059</v>
      </c>
      <c r="C231"/>
      <c r="D231"/>
      <c r="E231"/>
    </row>
    <row r="232" spans="1:5" x14ac:dyDescent="0.25">
      <c r="A232" s="30">
        <v>40.774320219943419</v>
      </c>
      <c r="E232"/>
    </row>
    <row r="233" spans="1:5" x14ac:dyDescent="0.25">
      <c r="A233" s="30">
        <v>38.832685923755633</v>
      </c>
      <c r="E233"/>
    </row>
    <row r="234" spans="1:5" x14ac:dyDescent="0.25">
      <c r="A234" s="30">
        <v>36.983510403576794</v>
      </c>
      <c r="E234"/>
    </row>
    <row r="235" spans="1:5" x14ac:dyDescent="0.25">
      <c r="A235" s="30">
        <v>35.222390860549325</v>
      </c>
      <c r="C235"/>
      <c r="E235"/>
    </row>
    <row r="236" spans="1:5" x14ac:dyDescent="0.25">
      <c r="A236" s="30">
        <v>33.545134152904119</v>
      </c>
      <c r="E236"/>
    </row>
    <row r="237" spans="1:5" x14ac:dyDescent="0.25">
      <c r="A237" s="30">
        <v>31.947746812289637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30.426425535513939</v>
      </c>
      <c r="E238"/>
    </row>
    <row r="239" spans="1:5" x14ac:dyDescent="0.25">
      <c r="A239" s="30">
        <v>28.977548129060892</v>
      </c>
      <c r="E239"/>
    </row>
    <row r="240" spans="1:5" x14ac:dyDescent="0.25">
      <c r="A240" s="30">
        <v>27.597664884819896</v>
      </c>
      <c r="E240" s="29"/>
    </row>
    <row r="241" spans="1:5" x14ac:dyDescent="0.25">
      <c r="A241" s="30">
        <v>26.283490366495137</v>
      </c>
      <c r="B241"/>
      <c r="C241"/>
      <c r="D241"/>
      <c r="E241"/>
    </row>
    <row r="242" spans="1:5" x14ac:dyDescent="0.25">
      <c r="A242" s="30">
        <v>25.031895587138223</v>
      </c>
      <c r="B242"/>
      <c r="C242"/>
      <c r="D242"/>
      <c r="E242"/>
    </row>
    <row r="243" spans="1:5" x14ac:dyDescent="0.25">
      <c r="A243" s="30">
        <v>23.839900559179259</v>
      </c>
      <c r="B243"/>
      <c r="C243"/>
      <c r="D243"/>
      <c r="E243"/>
    </row>
    <row r="244" spans="1:5" x14ac:dyDescent="0.25">
      <c r="A244" s="30">
        <v>22.704667199218342</v>
      </c>
      <c r="B244"/>
      <c r="C244"/>
      <c r="D244"/>
      <c r="E244"/>
    </row>
    <row r="245" spans="1:5" x14ac:dyDescent="0.25">
      <c r="A245" s="30">
        <v>21.623492570684135</v>
      </c>
      <c r="B245"/>
      <c r="C245"/>
      <c r="D245"/>
      <c r="E245"/>
    </row>
    <row r="246" spans="1:5" x14ac:dyDescent="0.25">
      <c r="A246" s="30">
        <v>20.593802448270605</v>
      </c>
      <c r="B246"/>
      <c r="C246"/>
      <c r="D246"/>
      <c r="E246"/>
    </row>
    <row r="247" spans="1:5" x14ac:dyDescent="0.25">
      <c r="A247" s="30">
        <v>19.613145188829147</v>
      </c>
      <c r="B247"/>
      <c r="C247"/>
      <c r="D247"/>
      <c r="E247"/>
    </row>
    <row r="248" spans="1:5" x14ac:dyDescent="0.25">
      <c r="A248" s="30">
        <v>18.679185894122998</v>
      </c>
      <c r="B248"/>
      <c r="C248"/>
      <c r="D248"/>
      <c r="E248"/>
    </row>
    <row r="249" spans="1:5" x14ac:dyDescent="0.25">
      <c r="A249" s="30">
        <v>17.78970085154571</v>
      </c>
      <c r="B249"/>
      <c r="C249"/>
      <c r="D249"/>
      <c r="E249"/>
    </row>
    <row r="250" spans="1:5" x14ac:dyDescent="0.25">
      <c r="A250" s="30">
        <v>16.942572239567344</v>
      </c>
      <c r="B250"/>
      <c r="C250"/>
      <c r="D250"/>
      <c r="E250"/>
    </row>
    <row r="251" spans="1:5" x14ac:dyDescent="0.25">
      <c r="A251" s="30">
        <v>16.135783085302233</v>
      </c>
      <c r="B251"/>
      <c r="C251"/>
      <c r="D251"/>
      <c r="E251"/>
    </row>
    <row r="252" spans="1:5" x14ac:dyDescent="0.25">
      <c r="A252" s="30">
        <v>15.367412462192602</v>
      </c>
      <c r="B252"/>
      <c r="C252"/>
      <c r="D252"/>
      <c r="E252"/>
    </row>
    <row r="253" spans="1:5" x14ac:dyDescent="0.25">
      <c r="A253" s="30">
        <v>14.635630916373906</v>
      </c>
      <c r="B253"/>
      <c r="C253"/>
      <c r="D253"/>
      <c r="E253"/>
    </row>
    <row r="254" spans="1:5" x14ac:dyDescent="0.25">
      <c r="A254" s="30">
        <v>13.938696110832291</v>
      </c>
      <c r="B254"/>
      <c r="C254"/>
      <c r="D254"/>
      <c r="E254"/>
    </row>
    <row r="255" spans="1:5" x14ac:dyDescent="0.25">
      <c r="A255" s="30">
        <v>13.274948676983135</v>
      </c>
      <c r="E255"/>
    </row>
    <row r="256" spans="1:5" x14ac:dyDescent="0.25">
      <c r="A256" s="30">
        <v>12.64280826379346</v>
      </c>
      <c r="E256"/>
    </row>
    <row r="257" spans="1:5" x14ac:dyDescent="0.25">
      <c r="A257" s="30">
        <v>12.04076977504139</v>
      </c>
      <c r="B257"/>
      <c r="C257"/>
      <c r="D257"/>
      <c r="E257"/>
    </row>
    <row r="258" spans="1:5" x14ac:dyDescent="0.25">
      <c r="A258" s="30">
        <v>11.467399785753704</v>
      </c>
      <c r="B258"/>
      <c r="C258"/>
      <c r="D258"/>
      <c r="E258"/>
    </row>
    <row r="259" spans="1:5" x14ac:dyDescent="0.25">
      <c r="A259" s="30">
        <v>10.921333129289241</v>
      </c>
      <c r="B259"/>
      <c r="C259"/>
      <c r="D259"/>
      <c r="E259"/>
    </row>
    <row r="260" spans="1:5" x14ac:dyDescent="0.25">
      <c r="A260" s="30">
        <v>10.401269646942135</v>
      </c>
      <c r="B260"/>
      <c r="C260"/>
      <c r="D260"/>
      <c r="E260"/>
    </row>
    <row r="261" spans="1:5" x14ac:dyDescent="0.25">
      <c r="A261" s="30">
        <v>9.9059710923258422</v>
      </c>
      <c r="B261"/>
      <c r="C261"/>
      <c r="D261"/>
      <c r="E261"/>
    </row>
    <row r="262" spans="1:5" x14ac:dyDescent="0.25">
      <c r="A262" s="30">
        <v>9.4342581831674686</v>
      </c>
      <c r="B262"/>
      <c r="C262"/>
      <c r="D262"/>
      <c r="E262"/>
    </row>
    <row r="263" spans="1:5" x14ac:dyDescent="0.25">
      <c r="A263" s="30">
        <v>8.9850077934928265</v>
      </c>
      <c r="B263"/>
      <c r="C263"/>
      <c r="D263"/>
      <c r="E263"/>
    </row>
    <row r="264" spans="1:5" x14ac:dyDescent="0.25">
      <c r="A264" s="30">
        <v>8.5571502795169767</v>
      </c>
      <c r="B264"/>
      <c r="C264"/>
      <c r="D264"/>
      <c r="E264"/>
    </row>
    <row r="265" spans="1:5" x14ac:dyDescent="0.25">
      <c r="A265" s="30">
        <v>8.1496669328733109</v>
      </c>
      <c r="B265"/>
      <c r="C265"/>
      <c r="D265"/>
      <c r="E265"/>
    </row>
    <row r="266" spans="1:5" x14ac:dyDescent="0.25">
      <c r="A266" s="30">
        <v>7.7615875551174378</v>
      </c>
      <c r="B266"/>
      <c r="C266"/>
      <c r="D266"/>
      <c r="E266"/>
    </row>
    <row r="267" spans="1:5" x14ac:dyDescent="0.25">
      <c r="A267" s="30">
        <v>7.3919881477308929</v>
      </c>
      <c r="B267"/>
      <c r="C267"/>
      <c r="D267"/>
      <c r="E267"/>
    </row>
    <row r="268" spans="1:5" x14ac:dyDescent="0.25">
      <c r="A268" s="30">
        <v>7.0399887121246598</v>
      </c>
      <c r="B268"/>
      <c r="C268"/>
      <c r="D268"/>
      <c r="E268"/>
    </row>
    <row r="269" spans="1:5" x14ac:dyDescent="0.25">
      <c r="A269" s="30">
        <v>6.7047511544044376</v>
      </c>
      <c r="B269"/>
      <c r="C269"/>
      <c r="D269"/>
      <c r="E269"/>
    </row>
    <row r="270" spans="1:5" x14ac:dyDescent="0.25">
      <c r="A270" s="30">
        <v>6.3854772899089882</v>
      </c>
      <c r="B270"/>
      <c r="C270"/>
      <c r="D270"/>
      <c r="E270"/>
    </row>
    <row r="271" spans="1:5" x14ac:dyDescent="0.25">
      <c r="A271" s="30">
        <v>6.0814069427704647</v>
      </c>
      <c r="B271"/>
      <c r="C271"/>
      <c r="D271"/>
      <c r="E271"/>
    </row>
    <row r="272" spans="1:5" x14ac:dyDescent="0.25">
      <c r="A272" s="30">
        <v>5.7918161359718709</v>
      </c>
      <c r="B272"/>
      <c r="C272"/>
      <c r="D272"/>
      <c r="E272"/>
    </row>
    <row r="273" spans="1:7" x14ac:dyDescent="0.25">
      <c r="A273" s="30">
        <v>5.5160153675922574</v>
      </c>
      <c r="B273"/>
      <c r="C273"/>
      <c r="D273"/>
      <c r="E273"/>
    </row>
    <row r="274" spans="1:7" x14ac:dyDescent="0.25">
      <c r="A274" s="30">
        <v>5.2533479691354827</v>
      </c>
      <c r="B274"/>
      <c r="C274"/>
      <c r="D274"/>
      <c r="E274"/>
    </row>
    <row r="275" spans="1:7" x14ac:dyDescent="0.25">
      <c r="A275" s="30">
        <v>5.0031885420337927</v>
      </c>
      <c r="B275"/>
      <c r="C275"/>
      <c r="D275"/>
      <c r="E275"/>
    </row>
    <row r="276" spans="1:7" x14ac:dyDescent="0.25">
      <c r="A276" s="30">
        <v>4.7649414686036122</v>
      </c>
      <c r="B276"/>
      <c r="C276"/>
      <c r="D276"/>
      <c r="E276"/>
    </row>
    <row r="277" spans="1:7" x14ac:dyDescent="0.25">
      <c r="A277" s="30">
        <v>4.5380394939082018</v>
      </c>
      <c r="B277"/>
      <c r="C277"/>
      <c r="D277"/>
      <c r="E277"/>
    </row>
    <row r="278" spans="1:7" x14ac:dyDescent="0.25">
      <c r="A278" s="30">
        <v>4.3219423751506678</v>
      </c>
      <c r="B278"/>
      <c r="C278"/>
      <c r="D278"/>
      <c r="E278"/>
    </row>
    <row r="279" spans="1:7" x14ac:dyDescent="0.25">
      <c r="A279" s="30">
        <v>4.1161355953815884</v>
      </c>
      <c r="B279"/>
      <c r="C279"/>
      <c r="D279"/>
      <c r="E279"/>
    </row>
    <row r="280" spans="1:7" x14ac:dyDescent="0.25">
      <c r="A280" s="30">
        <v>3.9201291384586554</v>
      </c>
      <c r="B280"/>
      <c r="C280"/>
      <c r="D280"/>
      <c r="E280"/>
    </row>
    <row r="281" spans="1:7" x14ac:dyDescent="0.25">
      <c r="A281" s="30">
        <v>3.7334563223415764</v>
      </c>
      <c r="B281"/>
      <c r="C281"/>
      <c r="D281"/>
      <c r="E281"/>
    </row>
    <row r="282" spans="1:7" x14ac:dyDescent="0.25">
      <c r="A282" s="30">
        <v>3.5556726879443583</v>
      </c>
      <c r="B282"/>
      <c r="C282"/>
      <c r="D282"/>
      <c r="E282"/>
    </row>
    <row r="283" spans="1:7" x14ac:dyDescent="0.25">
      <c r="A283" s="30">
        <v>3.3863549408993889</v>
      </c>
      <c r="B283"/>
      <c r="C283"/>
      <c r="D283"/>
      <c r="E283"/>
    </row>
    <row r="284" spans="1:7" x14ac:dyDescent="0.25">
      <c r="A284" s="30">
        <v>3.2250999437137038</v>
      </c>
      <c r="B284"/>
      <c r="C284"/>
      <c r="D284"/>
      <c r="E284"/>
    </row>
    <row r="285" spans="1:7" x14ac:dyDescent="0.25">
      <c r="A285" s="30">
        <v>3.0715237559178128</v>
      </c>
      <c r="B285"/>
      <c r="C285"/>
      <c r="D285"/>
      <c r="E285"/>
    </row>
    <row r="286" spans="1:7" x14ac:dyDescent="0.25">
      <c r="A286" s="30">
        <v>2.9252607199217264</v>
      </c>
      <c r="B286"/>
      <c r="C286"/>
      <c r="D286"/>
      <c r="E286"/>
    </row>
    <row r="287" spans="1:7" x14ac:dyDescent="0.25">
      <c r="A287" s="30">
        <v>2.7859625904016441</v>
      </c>
      <c r="B287"/>
      <c r="C287"/>
      <c r="D287"/>
      <c r="E287"/>
    </row>
    <row r="288" spans="1:7" x14ac:dyDescent="0.25">
      <c r="A288" s="30">
        <v>2.6532977051444226</v>
      </c>
      <c r="B288"/>
      <c r="C288"/>
      <c r="D288"/>
      <c r="E288"/>
      <c r="G288" s="27" t="s">
        <v>8</v>
      </c>
    </row>
    <row r="289" spans="1:34" x14ac:dyDescent="0.25">
      <c r="A289" s="30">
        <v>2.5269501953756404</v>
      </c>
      <c r="B289"/>
      <c r="C289"/>
      <c r="D289"/>
      <c r="E289"/>
      <c r="G289" s="27" t="s">
        <v>8</v>
      </c>
      <c r="H289" s="27" t="s">
        <v>7</v>
      </c>
    </row>
    <row r="290" spans="1:34" x14ac:dyDescent="0.25">
      <c r="A290" s="30">
        <v>2.4066192336910861</v>
      </c>
      <c r="B290"/>
      <c r="C290"/>
      <c r="D290"/>
      <c r="E290" t="s">
        <v>8</v>
      </c>
      <c r="G290" s="27" t="s">
        <v>8</v>
      </c>
      <c r="H290" s="27" t="s">
        <v>7</v>
      </c>
      <c r="I290" s="27" t="s">
        <v>8</v>
      </c>
    </row>
    <row r="291" spans="1:34" x14ac:dyDescent="0.25">
      <c r="A291" s="30">
        <v>2.2920183178010345</v>
      </c>
      <c r="B291"/>
      <c r="C291"/>
      <c r="D291"/>
      <c r="E291" t="s">
        <v>8</v>
      </c>
      <c r="F291" s="27" t="s">
        <v>7</v>
      </c>
      <c r="G291" s="27" t="s">
        <v>8</v>
      </c>
      <c r="H291" s="27" t="s">
        <v>7</v>
      </c>
      <c r="I291" s="27" t="s">
        <v>8</v>
      </c>
      <c r="J291" s="27" t="s">
        <v>7</v>
      </c>
    </row>
    <row r="292" spans="1:34" x14ac:dyDescent="0.25">
      <c r="A292" s="30">
        <v>2.1828745883819374</v>
      </c>
      <c r="B292"/>
      <c r="C292"/>
      <c r="D292"/>
      <c r="E292" t="s">
        <v>8</v>
      </c>
      <c r="F292" s="27" t="s">
        <v>7</v>
      </c>
      <c r="G292" s="27" t="s">
        <v>8</v>
      </c>
      <c r="H292" s="27" t="s">
        <v>7</v>
      </c>
      <c r="I292" s="27" t="s">
        <v>8</v>
      </c>
      <c r="J292" s="27" t="s">
        <v>7</v>
      </c>
      <c r="K292" s="27" t="s">
        <v>8</v>
      </c>
    </row>
    <row r="293" spans="1:34" x14ac:dyDescent="0.25">
      <c r="A293" s="30">
        <v>2.0789281794113688</v>
      </c>
      <c r="B293"/>
      <c r="C293"/>
      <c r="D293"/>
      <c r="E293" t="s">
        <v>8</v>
      </c>
      <c r="F293" s="27" t="s">
        <v>7</v>
      </c>
      <c r="G293" s="27" t="s">
        <v>8</v>
      </c>
      <c r="H293" s="27" t="s">
        <v>7</v>
      </c>
      <c r="J293" s="27" t="s">
        <v>7</v>
      </c>
      <c r="K293" s="27" t="s">
        <v>8</v>
      </c>
      <c r="L293" s="27" t="s">
        <v>7</v>
      </c>
      <c r="W293" s="27" t="s">
        <v>8</v>
      </c>
    </row>
    <row r="294" spans="1:34" x14ac:dyDescent="0.25">
      <c r="A294" s="30">
        <v>1.9799315994393987</v>
      </c>
      <c r="B294"/>
      <c r="C294"/>
      <c r="D294"/>
      <c r="E294" t="s">
        <v>8</v>
      </c>
      <c r="F294" s="27" t="s">
        <v>7</v>
      </c>
      <c r="G294" s="27" t="s">
        <v>8</v>
      </c>
      <c r="J294" s="27" t="s">
        <v>7</v>
      </c>
      <c r="K294" s="27" t="s">
        <v>8</v>
      </c>
      <c r="L294" s="27" t="s">
        <v>7</v>
      </c>
      <c r="W294" s="27" t="s">
        <v>8</v>
      </c>
      <c r="X294" s="27" t="s">
        <v>7</v>
      </c>
      <c r="Y294" s="27" t="s">
        <v>8</v>
      </c>
    </row>
    <row r="295" spans="1:34" x14ac:dyDescent="0.25">
      <c r="A295" s="30">
        <v>1.8856491423232367</v>
      </c>
      <c r="B295"/>
      <c r="C295"/>
      <c r="D295"/>
      <c r="E295" t="s">
        <v>8</v>
      </c>
      <c r="F295" s="27" t="s">
        <v>7</v>
      </c>
      <c r="J295" s="27" t="s">
        <v>7</v>
      </c>
      <c r="L295" s="27" t="s">
        <v>7</v>
      </c>
      <c r="W295" s="27" t="s">
        <v>8</v>
      </c>
      <c r="X295" s="27" t="s">
        <v>7</v>
      </c>
      <c r="Y295" s="27" t="s">
        <v>8</v>
      </c>
      <c r="Z295" s="27" t="s">
        <v>7</v>
      </c>
    </row>
    <row r="296" spans="1:34" x14ac:dyDescent="0.25">
      <c r="A296" s="30">
        <v>1.7958563260221301</v>
      </c>
      <c r="B296"/>
      <c r="C296"/>
      <c r="D296"/>
      <c r="E296" t="s">
        <v>8</v>
      </c>
      <c r="L296" s="27" t="s">
        <v>7</v>
      </c>
      <c r="W296" s="27" t="s">
        <v>8</v>
      </c>
      <c r="X296" s="27" t="s">
        <v>7</v>
      </c>
      <c r="Y296" s="27" t="s">
        <v>8</v>
      </c>
      <c r="Z296" s="27" t="s">
        <v>7</v>
      </c>
    </row>
    <row r="297" spans="1:34" x14ac:dyDescent="0.25">
      <c r="A297" s="30">
        <v>1.7103393581163142</v>
      </c>
      <c r="B297"/>
      <c r="C297"/>
      <c r="D297"/>
      <c r="E297" t="s">
        <v>8</v>
      </c>
      <c r="L297" s="27" t="s">
        <v>7</v>
      </c>
      <c r="M297" s="27" t="s">
        <v>8</v>
      </c>
      <c r="O297" s="27" t="s">
        <v>8</v>
      </c>
      <c r="U297" s="27" t="s">
        <v>8</v>
      </c>
      <c r="W297" s="27" t="s">
        <v>8</v>
      </c>
      <c r="X297" s="27" t="s">
        <v>7</v>
      </c>
      <c r="Y297" s="27" t="s">
        <v>8</v>
      </c>
      <c r="Z297" s="27" t="s">
        <v>7</v>
      </c>
    </row>
    <row r="298" spans="1:34" x14ac:dyDescent="0.25">
      <c r="A298" s="30">
        <v>1.628894626777442</v>
      </c>
      <c r="B298"/>
      <c r="C298"/>
      <c r="D298"/>
      <c r="E298" t="s">
        <v>8</v>
      </c>
      <c r="L298" s="27" t="s">
        <v>7</v>
      </c>
      <c r="M298" s="27" t="s">
        <v>8</v>
      </c>
      <c r="N298" s="27" t="s">
        <v>7</v>
      </c>
      <c r="O298" s="27" t="s">
        <v>8</v>
      </c>
      <c r="P298" s="27" t="s">
        <v>7</v>
      </c>
      <c r="U298" s="27" t="s">
        <v>8</v>
      </c>
      <c r="V298" s="27" t="s">
        <v>7</v>
      </c>
      <c r="W298" s="27" t="s">
        <v>8</v>
      </c>
      <c r="X298" s="27" t="s">
        <v>7</v>
      </c>
      <c r="Y298" s="27" t="s">
        <v>8</v>
      </c>
      <c r="Z298" s="27" t="s">
        <v>7</v>
      </c>
      <c r="AG298" s="27" t="s">
        <v>8</v>
      </c>
    </row>
    <row r="299" spans="1:34" x14ac:dyDescent="0.25">
      <c r="A299" s="30">
        <v>1.5513282159785162</v>
      </c>
      <c r="B299"/>
      <c r="C299"/>
      <c r="D299"/>
      <c r="E299" t="s">
        <v>8</v>
      </c>
      <c r="L299" s="27" t="s">
        <v>7</v>
      </c>
      <c r="M299" s="27" t="s">
        <v>8</v>
      </c>
      <c r="N299" s="27" t="s">
        <v>7</v>
      </c>
      <c r="O299" s="27" t="s">
        <v>8</v>
      </c>
      <c r="P299" s="27" t="s">
        <v>7</v>
      </c>
      <c r="U299" s="27" t="s">
        <v>8</v>
      </c>
      <c r="V299" s="27" t="s">
        <v>7</v>
      </c>
      <c r="W299" s="27" t="s">
        <v>8</v>
      </c>
      <c r="X299" s="27" t="s">
        <v>7</v>
      </c>
      <c r="Y299" s="27" t="s">
        <v>8</v>
      </c>
      <c r="Z299" s="27" t="s">
        <v>7</v>
      </c>
      <c r="AE299" s="27" t="s">
        <v>8</v>
      </c>
      <c r="AG299" s="27" t="s">
        <v>8</v>
      </c>
      <c r="AH299" s="27" t="s">
        <v>7</v>
      </c>
    </row>
    <row r="300" spans="1:34" x14ac:dyDescent="0.25">
      <c r="A300" s="30">
        <v>1.477455443789063</v>
      </c>
      <c r="B300"/>
      <c r="C300"/>
      <c r="D300"/>
      <c r="E300" t="s">
        <v>8</v>
      </c>
      <c r="L300" s="27" t="s">
        <v>7</v>
      </c>
      <c r="N300" s="27" t="s">
        <v>7</v>
      </c>
      <c r="P300" s="27" t="s">
        <v>7</v>
      </c>
      <c r="S300" s="27" t="s">
        <v>8</v>
      </c>
      <c r="U300" s="27" t="s">
        <v>8</v>
      </c>
      <c r="V300" s="27" t="s">
        <v>7</v>
      </c>
      <c r="W300" s="27" t="s">
        <v>8</v>
      </c>
      <c r="X300" s="27" t="s">
        <v>7</v>
      </c>
      <c r="Y300" s="27" t="s">
        <v>8</v>
      </c>
      <c r="Z300" s="27" t="s">
        <v>7</v>
      </c>
      <c r="AE300" s="27" t="s">
        <v>8</v>
      </c>
      <c r="AF300" s="27" t="s">
        <v>7</v>
      </c>
      <c r="AG300" s="27" t="s">
        <v>8</v>
      </c>
      <c r="AH300" s="27" t="s">
        <v>7</v>
      </c>
    </row>
    <row r="301" spans="1:34" x14ac:dyDescent="0.25">
      <c r="A301" s="30">
        <v>1.4071004226562505</v>
      </c>
      <c r="B301"/>
      <c r="C301"/>
      <c r="D301"/>
      <c r="E301" t="s">
        <v>8</v>
      </c>
      <c r="P301" s="27" t="s">
        <v>7</v>
      </c>
      <c r="S301" s="27" t="s">
        <v>8</v>
      </c>
      <c r="T301" s="27" t="s">
        <v>7</v>
      </c>
      <c r="U301" s="27" t="s">
        <v>8</v>
      </c>
      <c r="V301" s="27" t="s">
        <v>7</v>
      </c>
      <c r="X301" s="27" t="s">
        <v>7</v>
      </c>
      <c r="Y301" s="27" t="s">
        <v>8</v>
      </c>
      <c r="Z301" s="27" t="s">
        <v>7</v>
      </c>
      <c r="AE301" s="27" t="s">
        <v>8</v>
      </c>
      <c r="AF301" s="27" t="s">
        <v>7</v>
      </c>
      <c r="AG301" s="27" t="s">
        <v>8</v>
      </c>
      <c r="AH301" s="27" t="s">
        <v>7</v>
      </c>
    </row>
    <row r="302" spans="1:34" x14ac:dyDescent="0.25">
      <c r="A302" s="30">
        <v>1.3400956406250004</v>
      </c>
      <c r="B302"/>
      <c r="C302"/>
      <c r="D302"/>
      <c r="E302" t="s">
        <v>8</v>
      </c>
      <c r="P302" s="18" t="s">
        <v>7</v>
      </c>
      <c r="S302" s="27" t="s">
        <v>8</v>
      </c>
      <c r="T302" s="27" t="s">
        <v>7</v>
      </c>
      <c r="U302" s="27" t="s">
        <v>8</v>
      </c>
      <c r="X302" s="27" t="s">
        <v>7</v>
      </c>
      <c r="Z302" s="27" t="s">
        <v>7</v>
      </c>
      <c r="AA302" s="27" t="s">
        <v>8</v>
      </c>
      <c r="AC302" s="27" t="s">
        <v>8</v>
      </c>
      <c r="AE302" s="27" t="s">
        <v>8</v>
      </c>
      <c r="AF302" s="27" t="s">
        <v>7</v>
      </c>
      <c r="AH302" s="27" t="s">
        <v>7</v>
      </c>
    </row>
    <row r="303" spans="1:34" x14ac:dyDescent="0.25">
      <c r="A303" s="30">
        <v>1.2762815625000004</v>
      </c>
      <c r="B303"/>
      <c r="C303"/>
      <c r="D303"/>
      <c r="E303" t="s">
        <v>8</v>
      </c>
      <c r="P303" s="27" t="s">
        <v>7</v>
      </c>
      <c r="Q303" s="27" t="s">
        <v>8</v>
      </c>
      <c r="S303" s="27" t="s">
        <v>8</v>
      </c>
      <c r="T303" s="27" t="s">
        <v>7</v>
      </c>
      <c r="Z303" s="27" t="s">
        <v>7</v>
      </c>
      <c r="AA303" s="27" t="s">
        <v>8</v>
      </c>
      <c r="AB303" s="27" t="s">
        <v>7</v>
      </c>
      <c r="AC303" s="27" t="s">
        <v>8</v>
      </c>
      <c r="AD303" s="27" t="s">
        <v>7</v>
      </c>
      <c r="AE303" s="27" t="s">
        <v>8</v>
      </c>
      <c r="AH303" s="27" t="s">
        <v>7</v>
      </c>
    </row>
    <row r="304" spans="1:34" x14ac:dyDescent="0.25">
      <c r="A304" s="30">
        <v>1.2155062500000002</v>
      </c>
      <c r="B304"/>
      <c r="C304"/>
      <c r="D304"/>
      <c r="E304" t="s">
        <v>8</v>
      </c>
      <c r="P304" s="27" t="s">
        <v>7</v>
      </c>
      <c r="Q304" s="27" t="s">
        <v>8</v>
      </c>
      <c r="R304" s="27" t="s">
        <v>7</v>
      </c>
      <c r="S304" s="27" t="s">
        <v>8</v>
      </c>
      <c r="Z304" s="27" t="s">
        <v>7</v>
      </c>
      <c r="AA304" s="27" t="s">
        <v>8</v>
      </c>
      <c r="AB304" s="27" t="s">
        <v>7</v>
      </c>
      <c r="AC304" s="27" t="s">
        <v>8</v>
      </c>
      <c r="AD304" s="27" t="s">
        <v>7</v>
      </c>
      <c r="AE304" s="27" t="s">
        <v>8</v>
      </c>
      <c r="AH304" s="27" t="s">
        <v>7</v>
      </c>
    </row>
    <row r="305" spans="1:39" x14ac:dyDescent="0.25">
      <c r="A305" s="30">
        <v>1.1576249999999999</v>
      </c>
      <c r="B305"/>
      <c r="C305"/>
      <c r="D305"/>
      <c r="E305" t="s">
        <v>8</v>
      </c>
      <c r="P305" s="27" t="s">
        <v>7</v>
      </c>
      <c r="Q305" s="27" t="s">
        <v>8</v>
      </c>
      <c r="R305" s="27" t="s">
        <v>7</v>
      </c>
      <c r="S305" s="27" t="s">
        <v>8</v>
      </c>
      <c r="Z305" s="27" t="s">
        <v>7</v>
      </c>
      <c r="AA305" s="27" t="s">
        <v>8</v>
      </c>
      <c r="AB305" s="27" t="s">
        <v>7</v>
      </c>
      <c r="AC305" s="27" t="s">
        <v>8</v>
      </c>
      <c r="AD305" s="27" t="s">
        <v>7</v>
      </c>
      <c r="AH305" s="27" t="s">
        <v>7</v>
      </c>
    </row>
    <row r="306" spans="1:39" x14ac:dyDescent="0.25">
      <c r="A306" s="30">
        <v>1.1025</v>
      </c>
      <c r="B306"/>
      <c r="C306"/>
      <c r="D306"/>
      <c r="E306" t="s">
        <v>8</v>
      </c>
      <c r="P306" s="27" t="s">
        <v>7</v>
      </c>
      <c r="R306" s="27" t="s">
        <v>7</v>
      </c>
      <c r="Z306" s="27" t="s">
        <v>7</v>
      </c>
      <c r="AA306" s="27" t="s">
        <v>8</v>
      </c>
      <c r="AB306" s="27" t="s">
        <v>7</v>
      </c>
      <c r="AH306" s="27" t="s">
        <v>7</v>
      </c>
    </row>
    <row r="307" spans="1:39" x14ac:dyDescent="0.25">
      <c r="A307" s="30">
        <v>1.05</v>
      </c>
      <c r="B307"/>
      <c r="C307"/>
      <c r="D307"/>
      <c r="E307" t="s">
        <v>8</v>
      </c>
      <c r="Z307" s="27" t="s">
        <v>7</v>
      </c>
      <c r="AA307" s="27" t="s">
        <v>8</v>
      </c>
      <c r="AH307" s="27" t="s">
        <v>7</v>
      </c>
    </row>
    <row r="308" spans="1:39" x14ac:dyDescent="0.25">
      <c r="A308" s="30">
        <v>1</v>
      </c>
      <c r="B308"/>
      <c r="C308"/>
      <c r="D308"/>
      <c r="E308" t="s">
        <v>8</v>
      </c>
      <c r="Z308" s="27" t="s">
        <v>7</v>
      </c>
      <c r="AA308" s="27" t="s">
        <v>8</v>
      </c>
      <c r="AH308" s="27" t="s">
        <v>7</v>
      </c>
    </row>
    <row r="309" spans="1:39" x14ac:dyDescent="0.25">
      <c r="A309" s="30">
        <v>0.952380952380952</v>
      </c>
      <c r="B309"/>
      <c r="C309"/>
      <c r="D309"/>
      <c r="E309"/>
      <c r="Z309" s="27" t="s">
        <v>7</v>
      </c>
      <c r="AA309" s="27" t="s">
        <v>8</v>
      </c>
      <c r="AH309" s="27" t="s">
        <v>7</v>
      </c>
      <c r="AI309" s="27" t="s">
        <v>8</v>
      </c>
    </row>
    <row r="310" spans="1:39" x14ac:dyDescent="0.25">
      <c r="A310" s="30">
        <v>0.90702947845804915</v>
      </c>
      <c r="B310"/>
      <c r="C310"/>
      <c r="D310"/>
      <c r="E310"/>
      <c r="Z310" s="27" t="s">
        <v>7</v>
      </c>
      <c r="AA310" s="27" t="s">
        <v>8</v>
      </c>
      <c r="AH310" s="27" t="s">
        <v>7</v>
      </c>
      <c r="AI310" s="27" t="s">
        <v>8</v>
      </c>
      <c r="AJ310" s="27" t="s">
        <v>7</v>
      </c>
    </row>
    <row r="311" spans="1:39" x14ac:dyDescent="0.25">
      <c r="A311" s="30">
        <v>0.86383759853147501</v>
      </c>
      <c r="B311"/>
      <c r="C311"/>
      <c r="D311"/>
      <c r="E311"/>
      <c r="Z311" s="27" t="s">
        <v>7</v>
      </c>
      <c r="AH311" s="27" t="s">
        <v>7</v>
      </c>
      <c r="AI311" s="27" t="s">
        <v>8</v>
      </c>
      <c r="AJ311" s="27" t="s">
        <v>7</v>
      </c>
    </row>
    <row r="312" spans="1:39" x14ac:dyDescent="0.25">
      <c r="A312" s="30">
        <v>0.82270247479188063</v>
      </c>
      <c r="B312"/>
      <c r="C312"/>
      <c r="D312"/>
      <c r="E312"/>
      <c r="AH312" s="27" t="s">
        <v>7</v>
      </c>
      <c r="AI312" s="27" t="s">
        <v>8</v>
      </c>
      <c r="AJ312" s="27" t="s">
        <v>7</v>
      </c>
    </row>
    <row r="313" spans="1:39" x14ac:dyDescent="0.25">
      <c r="A313" s="30">
        <v>0.78352616646845741</v>
      </c>
      <c r="B313"/>
      <c r="C313"/>
      <c r="D313"/>
      <c r="E313"/>
      <c r="AH313" s="27" t="s">
        <v>7</v>
      </c>
      <c r="AI313" s="27" t="s">
        <v>8</v>
      </c>
      <c r="AJ313" s="27" t="s">
        <v>7</v>
      </c>
    </row>
    <row r="314" spans="1:39" x14ac:dyDescent="0.25">
      <c r="A314" s="30">
        <v>0.74621539663662584</v>
      </c>
      <c r="B314"/>
      <c r="C314"/>
      <c r="D314"/>
      <c r="E314"/>
      <c r="AH314" s="27" t="s">
        <v>7</v>
      </c>
      <c r="AI314" s="27" t="s">
        <v>8</v>
      </c>
      <c r="AJ314" s="27" t="s">
        <v>7</v>
      </c>
    </row>
    <row r="315" spans="1:39" x14ac:dyDescent="0.25">
      <c r="A315" s="30">
        <v>0.71068133013011958</v>
      </c>
      <c r="B315"/>
      <c r="C315"/>
      <c r="D315"/>
      <c r="E315"/>
      <c r="AH315" s="27" t="s">
        <v>7</v>
      </c>
      <c r="AJ315" s="27" t="s">
        <v>7</v>
      </c>
      <c r="AK315" s="27" t="s">
        <v>8</v>
      </c>
    </row>
    <row r="316" spans="1:39" x14ac:dyDescent="0.25">
      <c r="A316" s="30">
        <v>0.676839362028685</v>
      </c>
      <c r="B316"/>
      <c r="C316"/>
      <c r="D316"/>
      <c r="E316"/>
      <c r="AJ316" s="27" t="s">
        <v>7</v>
      </c>
      <c r="AK316" s="27" t="s">
        <v>8</v>
      </c>
      <c r="AL316" s="27" t="s">
        <v>7</v>
      </c>
    </row>
    <row r="317" spans="1:39" x14ac:dyDescent="0.25">
      <c r="A317" s="30">
        <v>0.64460891621779492</v>
      </c>
      <c r="B317"/>
      <c r="C317"/>
      <c r="D317"/>
      <c r="E317"/>
      <c r="AJ317" s="27" t="s">
        <v>7</v>
      </c>
      <c r="AK317" s="27" t="s">
        <v>8</v>
      </c>
      <c r="AL317" s="27" t="s">
        <v>7</v>
      </c>
    </row>
    <row r="318" spans="1:39" x14ac:dyDescent="0.25">
      <c r="A318" s="30">
        <v>0.61391325354075688</v>
      </c>
      <c r="B318"/>
      <c r="C318"/>
      <c r="D318"/>
      <c r="E318"/>
      <c r="AJ318" s="27" t="s">
        <v>7</v>
      </c>
      <c r="AL318" s="27" t="s">
        <v>7</v>
      </c>
    </row>
    <row r="319" spans="1:39" x14ac:dyDescent="0.25">
      <c r="A319" s="30">
        <v>0.58467928908643485</v>
      </c>
      <c r="B319"/>
      <c r="C319"/>
      <c r="D319"/>
      <c r="E319"/>
      <c r="AL319" s="27" t="s">
        <v>7</v>
      </c>
    </row>
    <row r="320" spans="1:39" x14ac:dyDescent="0.25">
      <c r="A320" s="30">
        <v>0.55683741817755672</v>
      </c>
      <c r="B320"/>
      <c r="C320"/>
      <c r="D320"/>
      <c r="E320"/>
      <c r="AL320" s="27" t="s">
        <v>7</v>
      </c>
      <c r="AM320" s="27" t="s">
        <v>8</v>
      </c>
    </row>
    <row r="321" spans="1:48" x14ac:dyDescent="0.25">
      <c r="A321" s="30">
        <v>0.53032135064529184</v>
      </c>
      <c r="B321"/>
      <c r="C321"/>
      <c r="D321"/>
      <c r="E321"/>
      <c r="AL321" s="27" t="s">
        <v>7</v>
      </c>
      <c r="AM321" s="27" t="s">
        <v>8</v>
      </c>
      <c r="AN321" s="27" t="s">
        <v>7</v>
      </c>
    </row>
    <row r="322" spans="1:48" x14ac:dyDescent="0.25">
      <c r="A322" s="30">
        <v>0.50506795299551588</v>
      </c>
      <c r="B322"/>
      <c r="C322"/>
      <c r="D322"/>
      <c r="E322"/>
      <c r="AL322" s="27" t="s">
        <v>7</v>
      </c>
      <c r="AM322" s="27" t="s">
        <v>8</v>
      </c>
      <c r="AN322" s="27" t="s">
        <v>7</v>
      </c>
    </row>
    <row r="323" spans="1:48" x14ac:dyDescent="0.25">
      <c r="A323" s="30">
        <v>0.48101709809096732</v>
      </c>
      <c r="B323"/>
      <c r="C323"/>
      <c r="D323"/>
      <c r="E323"/>
      <c r="AL323" s="27" t="s">
        <v>7</v>
      </c>
      <c r="AM323" s="27" t="s">
        <v>8</v>
      </c>
      <c r="AN323" s="27" t="s">
        <v>7</v>
      </c>
      <c r="AQ323" s="27" t="s">
        <v>8</v>
      </c>
    </row>
    <row r="324" spans="1:48" x14ac:dyDescent="0.25">
      <c r="A324" s="30">
        <v>0.45811152199139726</v>
      </c>
      <c r="B324"/>
      <c r="C324"/>
      <c r="D324"/>
      <c r="E324"/>
      <c r="AL324" s="27" t="s">
        <v>7</v>
      </c>
      <c r="AM324" s="27" t="s">
        <v>8</v>
      </c>
      <c r="AN324" s="27" t="s">
        <v>7</v>
      </c>
      <c r="AQ324" s="27" t="s">
        <v>8</v>
      </c>
      <c r="AR324" s="27" t="s">
        <v>7</v>
      </c>
    </row>
    <row r="325" spans="1:48" x14ac:dyDescent="0.25">
      <c r="A325" s="30">
        <v>0.43629668761085438</v>
      </c>
      <c r="B325"/>
      <c r="C325"/>
      <c r="D325"/>
      <c r="E325"/>
      <c r="AL325" s="27" t="s">
        <v>7</v>
      </c>
      <c r="AM325" s="27" t="s">
        <v>8</v>
      </c>
      <c r="AN325" s="27" t="s">
        <v>7</v>
      </c>
      <c r="AO325" s="27" t="s">
        <v>8</v>
      </c>
      <c r="AQ325" s="27" t="s">
        <v>8</v>
      </c>
      <c r="AR325" s="27" t="s">
        <v>7</v>
      </c>
      <c r="AS325" s="27" t="s">
        <v>8</v>
      </c>
    </row>
    <row r="326" spans="1:48" x14ac:dyDescent="0.25">
      <c r="A326" s="30">
        <v>0.41552065486748019</v>
      </c>
      <c r="B326"/>
      <c r="C326"/>
      <c r="D326"/>
      <c r="E326"/>
      <c r="AL326" s="27" t="s">
        <v>7</v>
      </c>
      <c r="AN326" s="27" t="s">
        <v>7</v>
      </c>
      <c r="AO326" s="27" t="s">
        <v>8</v>
      </c>
      <c r="AP326" s="27" t="s">
        <v>7</v>
      </c>
      <c r="AQ326" s="27" t="s">
        <v>8</v>
      </c>
      <c r="AR326" s="27" t="s">
        <v>7</v>
      </c>
      <c r="AS326" s="27" t="s">
        <v>8</v>
      </c>
      <c r="AT326" s="27" t="s">
        <v>7</v>
      </c>
    </row>
    <row r="327" spans="1:48" x14ac:dyDescent="0.25">
      <c r="A327" s="30">
        <v>0.39573395701664765</v>
      </c>
      <c r="B327"/>
      <c r="C327"/>
      <c r="D327"/>
      <c r="E327"/>
      <c r="AN327" s="27" t="s">
        <v>7</v>
      </c>
      <c r="AO327" s="27" t="s">
        <v>8</v>
      </c>
      <c r="AP327" s="27" t="s">
        <v>7</v>
      </c>
      <c r="AQ327" s="27" t="s">
        <v>8</v>
      </c>
      <c r="AR327" s="27" t="s">
        <v>7</v>
      </c>
      <c r="AS327" s="27" t="s">
        <v>8</v>
      </c>
      <c r="AT327" s="27" t="s">
        <v>7</v>
      </c>
    </row>
    <row r="328" spans="1:48" x14ac:dyDescent="0.25">
      <c r="A328" s="30">
        <v>0.37688948287299762</v>
      </c>
      <c r="B328"/>
      <c r="C328"/>
      <c r="D328"/>
      <c r="E328"/>
      <c r="AN328" s="27" t="s">
        <v>7</v>
      </c>
      <c r="AO328" s="27" t="s">
        <v>8</v>
      </c>
      <c r="AP328" s="27" t="s">
        <v>7</v>
      </c>
      <c r="AQ328" s="27" t="s">
        <v>8</v>
      </c>
      <c r="AR328" s="27" t="s">
        <v>7</v>
      </c>
      <c r="AT328" s="27" t="s">
        <v>7</v>
      </c>
    </row>
    <row r="329" spans="1:48" x14ac:dyDescent="0.25">
      <c r="A329" s="30">
        <v>0.35894236464094997</v>
      </c>
      <c r="B329"/>
      <c r="C329"/>
      <c r="D329"/>
      <c r="E329"/>
      <c r="AN329" s="27" t="s">
        <v>7</v>
      </c>
      <c r="AP329" s="27" t="s">
        <v>7</v>
      </c>
      <c r="AT329" s="27" t="s">
        <v>7</v>
      </c>
    </row>
    <row r="330" spans="1:48" x14ac:dyDescent="0.25">
      <c r="A330" s="30">
        <v>0.34184987108661891</v>
      </c>
      <c r="B330"/>
      <c r="C330"/>
      <c r="D330"/>
      <c r="E330"/>
      <c r="AT330" s="27" t="s">
        <v>7</v>
      </c>
    </row>
    <row r="331" spans="1:48" x14ac:dyDescent="0.25">
      <c r="A331" s="30">
        <v>0.32557130579677979</v>
      </c>
      <c r="B331"/>
      <c r="C331"/>
      <c r="D331"/>
      <c r="E331"/>
      <c r="AT331" s="27" t="s">
        <v>7</v>
      </c>
    </row>
    <row r="332" spans="1:48" x14ac:dyDescent="0.25">
      <c r="A332" s="30">
        <v>0.3100679102826473</v>
      </c>
      <c r="B332"/>
      <c r="C332"/>
      <c r="D332"/>
      <c r="E332"/>
      <c r="AT332" s="27" t="s">
        <v>7</v>
      </c>
    </row>
    <row r="333" spans="1:48" x14ac:dyDescent="0.25">
      <c r="A333" s="30">
        <v>0.2953027716977592</v>
      </c>
      <c r="B333"/>
      <c r="C333"/>
      <c r="D333"/>
      <c r="E333"/>
      <c r="AT333" s="27" t="s">
        <v>7</v>
      </c>
    </row>
    <row r="334" spans="1:48" x14ac:dyDescent="0.25">
      <c r="A334" s="30">
        <v>0.28124073495024676</v>
      </c>
      <c r="B334"/>
      <c r="C334"/>
      <c r="D334"/>
      <c r="E334"/>
      <c r="AT334" s="27" t="s">
        <v>7</v>
      </c>
    </row>
    <row r="335" spans="1:48" x14ac:dyDescent="0.25">
      <c r="A335" s="30">
        <v>0.26784831900023492</v>
      </c>
      <c r="B335"/>
      <c r="C335"/>
      <c r="D335"/>
      <c r="E335"/>
      <c r="AT335" s="27" t="s">
        <v>7</v>
      </c>
      <c r="AU335" s="27" t="s">
        <v>8</v>
      </c>
    </row>
    <row r="336" spans="1:48" x14ac:dyDescent="0.25">
      <c r="A336" s="30">
        <v>0.25509363714308075</v>
      </c>
      <c r="B336"/>
      <c r="C336"/>
      <c r="D336"/>
      <c r="E336"/>
      <c r="AT336" s="27" t="s">
        <v>7</v>
      </c>
      <c r="AU336" s="27" t="s">
        <v>8</v>
      </c>
      <c r="AV336" s="27" t="s">
        <v>7</v>
      </c>
    </row>
    <row r="337" spans="1:48" x14ac:dyDescent="0.25">
      <c r="A337" s="30">
        <v>0.24294632108864825</v>
      </c>
      <c r="B337"/>
      <c r="C337"/>
      <c r="D337"/>
      <c r="E337"/>
      <c r="AT337" s="27" t="s">
        <v>7</v>
      </c>
      <c r="AU337" s="27" t="s">
        <v>8</v>
      </c>
      <c r="AV337" s="27" t="s">
        <v>7</v>
      </c>
    </row>
    <row r="338" spans="1:48" x14ac:dyDescent="0.25">
      <c r="A338" s="30">
        <v>0.23137744865585538</v>
      </c>
      <c r="B338"/>
      <c r="C338"/>
      <c r="D338"/>
      <c r="E338"/>
      <c r="AT338" s="27" t="s">
        <v>7</v>
      </c>
      <c r="AV338" s="27" t="s">
        <v>7</v>
      </c>
    </row>
    <row r="339" spans="1:48" x14ac:dyDescent="0.25">
      <c r="A339" s="30">
        <v>0.22035947491033836</v>
      </c>
      <c r="B339"/>
      <c r="C339"/>
      <c r="D339"/>
      <c r="E339"/>
    </row>
    <row r="340" spans="1:48" x14ac:dyDescent="0.25">
      <c r="A340" s="30">
        <v>0.20986616658127455</v>
      </c>
      <c r="B340"/>
      <c r="C340"/>
      <c r="D340"/>
      <c r="E340"/>
    </row>
    <row r="341" spans="1:48" x14ac:dyDescent="0.25">
      <c r="A341" s="30">
        <v>0.19987253960121379</v>
      </c>
      <c r="B341"/>
      <c r="C341"/>
      <c r="D341"/>
      <c r="E341"/>
    </row>
    <row r="342" spans="1:48" x14ac:dyDescent="0.25">
      <c r="A342" s="30">
        <v>0.19035479962020352</v>
      </c>
      <c r="B342"/>
      <c r="C342"/>
      <c r="D342"/>
      <c r="E342"/>
    </row>
    <row r="343" spans="1:48" x14ac:dyDescent="0.25">
      <c r="A343" s="30">
        <v>0.18129028535257471</v>
      </c>
      <c r="B343"/>
      <c r="C343"/>
      <c r="D343"/>
      <c r="E343"/>
    </row>
    <row r="344" spans="1:48" x14ac:dyDescent="0.25">
      <c r="A344" s="30">
        <v>0.17265741462149967</v>
      </c>
      <c r="B344"/>
      <c r="C344"/>
      <c r="D344"/>
      <c r="E344"/>
    </row>
    <row r="345" spans="1:48" x14ac:dyDescent="0.25">
      <c r="A345" s="30">
        <v>0.16443563297285677</v>
      </c>
      <c r="B345"/>
      <c r="C345"/>
      <c r="D345"/>
      <c r="E345"/>
    </row>
    <row r="346" spans="1:48" x14ac:dyDescent="0.25">
      <c r="A346" s="30">
        <v>0.15660536473605399</v>
      </c>
      <c r="B346"/>
      <c r="C346"/>
      <c r="D346"/>
      <c r="E346"/>
    </row>
    <row r="347" spans="1:48" x14ac:dyDescent="0.25">
      <c r="A347" s="30">
        <v>0.14914796641528946</v>
      </c>
      <c r="B347"/>
      <c r="C347"/>
      <c r="D347"/>
      <c r="E347"/>
    </row>
    <row r="348" spans="1:48" x14ac:dyDescent="0.25">
      <c r="A348" s="30">
        <v>0.14204568230027562</v>
      </c>
      <c r="B348"/>
      <c r="C348"/>
      <c r="D348"/>
      <c r="E348"/>
    </row>
    <row r="349" spans="1:48" x14ac:dyDescent="0.25">
      <c r="A349" s="30">
        <v>0.13528160219073862</v>
      </c>
      <c r="B349"/>
      <c r="C349"/>
      <c r="D349"/>
      <c r="E349"/>
    </row>
    <row r="350" spans="1:48" x14ac:dyDescent="0.25">
      <c r="A350" s="30">
        <v>0.12883962113403674</v>
      </c>
      <c r="B350"/>
      <c r="C350"/>
      <c r="D350"/>
      <c r="E350"/>
    </row>
    <row r="351" spans="1:48" x14ac:dyDescent="0.25">
      <c r="A351" s="30">
        <v>0.12270440108003494</v>
      </c>
      <c r="B351"/>
      <c r="C351"/>
      <c r="D351"/>
      <c r="E351"/>
    </row>
    <row r="352" spans="1:48" x14ac:dyDescent="0.25">
      <c r="A352" s="30">
        <v>0.11686133436193799</v>
      </c>
      <c r="B352"/>
      <c r="C352"/>
      <c r="D352"/>
      <c r="E352"/>
    </row>
    <row r="353" spans="1:5" x14ac:dyDescent="0.25">
      <c r="A353" s="30">
        <v>0.11129650891613138</v>
      </c>
      <c r="B353"/>
      <c r="C353"/>
      <c r="D353"/>
      <c r="E353"/>
    </row>
    <row r="354" spans="1:5" x14ac:dyDescent="0.25">
      <c r="A354" s="30">
        <v>0.10599667515822032</v>
      </c>
      <c r="B354"/>
      <c r="C354"/>
      <c r="D354"/>
      <c r="E354"/>
    </row>
    <row r="355" spans="1:5" x14ac:dyDescent="0.25">
      <c r="A355" s="30">
        <v>0.10094921443640027</v>
      </c>
      <c r="B355"/>
      <c r="C355"/>
      <c r="D355"/>
      <c r="E355"/>
    </row>
    <row r="356" spans="1:5" x14ac:dyDescent="0.25">
      <c r="A356" s="30">
        <v>9.6142108987047836E-2</v>
      </c>
      <c r="B356"/>
      <c r="C356"/>
      <c r="D356"/>
      <c r="E356"/>
    </row>
    <row r="357" spans="1:5" x14ac:dyDescent="0.25">
      <c r="A357" s="30">
        <v>9.1563913320997906E-2</v>
      </c>
      <c r="B357"/>
      <c r="C357"/>
      <c r="D357"/>
      <c r="E357"/>
    </row>
    <row r="358" spans="1:5" x14ac:dyDescent="0.25">
      <c r="A358" s="30">
        <v>8.7203726972378923E-2</v>
      </c>
      <c r="B358"/>
      <c r="C358"/>
      <c r="D358"/>
      <c r="E358"/>
    </row>
    <row r="359" spans="1:5" x14ac:dyDescent="0.25">
      <c r="A359" s="30">
        <v>8.3051168545122747E-2</v>
      </c>
      <c r="B359"/>
      <c r="C359"/>
      <c r="D359"/>
      <c r="E359"/>
    </row>
    <row r="360" spans="1:5" x14ac:dyDescent="0.25">
      <c r="A360" s="30">
        <v>7.9096350995354961E-2</v>
      </c>
      <c r="B360"/>
      <c r="C360"/>
      <c r="D360"/>
      <c r="E360"/>
    </row>
    <row r="361" spans="1:5" x14ac:dyDescent="0.25">
      <c r="A361" s="30">
        <v>7.5329858090814217E-2</v>
      </c>
      <c r="B361"/>
      <c r="C361"/>
      <c r="D361"/>
      <c r="E361"/>
    </row>
    <row r="362" spans="1:5" x14ac:dyDescent="0.25">
      <c r="A362" s="30">
        <v>7.1742721991251604E-2</v>
      </c>
      <c r="B362"/>
      <c r="C362"/>
      <c r="D362"/>
      <c r="E362"/>
    </row>
    <row r="363" spans="1:5" x14ac:dyDescent="0.25">
      <c r="A363" s="30">
        <v>6.8326401896430078E-2</v>
      </c>
      <c r="B363"/>
      <c r="C363"/>
      <c r="D363"/>
      <c r="E363"/>
    </row>
    <row r="364" spans="1:5" x14ac:dyDescent="0.25">
      <c r="A364" s="30">
        <v>6.5072763710885759E-2</v>
      </c>
      <c r="B364"/>
      <c r="C364"/>
      <c r="D364"/>
      <c r="E364"/>
    </row>
    <row r="365" spans="1:5" x14ac:dyDescent="0.25">
      <c r="A365" s="30">
        <v>6.197406067703403E-2</v>
      </c>
      <c r="B365"/>
      <c r="C365"/>
      <c r="D365"/>
      <c r="E365"/>
    </row>
    <row r="366" spans="1:5" x14ac:dyDescent="0.25">
      <c r="A366" s="30">
        <v>5.9022914930508576E-2</v>
      </c>
      <c r="B366"/>
      <c r="C366"/>
      <c r="D366"/>
      <c r="E366"/>
    </row>
    <row r="367" spans="1:5" x14ac:dyDescent="0.25">
      <c r="A367" s="30">
        <v>5.6212299933817669E-2</v>
      </c>
      <c r="B367"/>
      <c r="C367"/>
      <c r="D367"/>
      <c r="E367"/>
    </row>
    <row r="368" spans="1:5" x14ac:dyDescent="0.25">
      <c r="A368" s="30">
        <v>5.3535523746492994E-2</v>
      </c>
      <c r="B368"/>
      <c r="C368"/>
      <c r="D368"/>
      <c r="E368"/>
    </row>
    <row r="369" spans="1:5" x14ac:dyDescent="0.25">
      <c r="A369" s="30">
        <v>5.0986213091898068E-2</v>
      </c>
      <c r="B369"/>
      <c r="C369"/>
      <c r="D369"/>
      <c r="E369"/>
    </row>
    <row r="370" spans="1:5" x14ac:dyDescent="0.25">
      <c r="A370" s="30">
        <v>4.8558298182760043E-2</v>
      </c>
      <c r="B370"/>
      <c r="C370"/>
      <c r="D370"/>
      <c r="E370"/>
    </row>
    <row r="371" spans="1:5" x14ac:dyDescent="0.25">
      <c r="A371" s="30">
        <v>4.6245998269295263E-2</v>
      </c>
      <c r="B371"/>
      <c r="C371"/>
      <c r="D371"/>
      <c r="E371"/>
    </row>
    <row r="372" spans="1:5" x14ac:dyDescent="0.25">
      <c r="A372" s="30">
        <v>4.4043807875519279E-2</v>
      </c>
      <c r="B372"/>
      <c r="C372"/>
      <c r="D372"/>
      <c r="E372"/>
    </row>
    <row r="373" spans="1:5" x14ac:dyDescent="0.25">
      <c r="A373" s="30">
        <v>4.1946483690970725E-2</v>
      </c>
      <c r="B373"/>
      <c r="C373"/>
      <c r="D373"/>
      <c r="E373"/>
    </row>
    <row r="374" spans="1:5" x14ac:dyDescent="0.25">
      <c r="A374" s="30">
        <v>3.9949032086638768E-2</v>
      </c>
      <c r="B374"/>
      <c r="C374"/>
      <c r="D374"/>
      <c r="E374"/>
    </row>
    <row r="375" spans="1:5" x14ac:dyDescent="0.25">
      <c r="A375" s="30">
        <v>3.8046697225370241E-2</v>
      </c>
      <c r="B375"/>
      <c r="C375"/>
      <c r="D375"/>
      <c r="E375"/>
    </row>
    <row r="376" spans="1:5" x14ac:dyDescent="0.25">
      <c r="A376" s="30">
        <v>3.6234949738447833E-2</v>
      </c>
      <c r="B376"/>
      <c r="C376"/>
      <c r="D376"/>
      <c r="E376"/>
    </row>
    <row r="377" spans="1:5" x14ac:dyDescent="0.25">
      <c r="A377" s="30">
        <v>3.4509475941378875E-2</v>
      </c>
      <c r="B377"/>
      <c r="C377"/>
      <c r="D377"/>
      <c r="E377"/>
    </row>
    <row r="378" spans="1:5" x14ac:dyDescent="0.25">
      <c r="A378" s="30">
        <v>3.286616756321796E-2</v>
      </c>
      <c r="B378"/>
      <c r="C378"/>
      <c r="D378"/>
      <c r="E378"/>
    </row>
    <row r="379" spans="1:5" x14ac:dyDescent="0.25">
      <c r="A379" s="30">
        <v>3.1301111964969472E-2</v>
      </c>
      <c r="B379"/>
      <c r="C379"/>
      <c r="D379"/>
      <c r="E379"/>
    </row>
    <row r="380" spans="1:5" x14ac:dyDescent="0.25">
      <c r="A380" s="30">
        <v>2.9810582823780438E-2</v>
      </c>
      <c r="B380"/>
      <c r="C380"/>
      <c r="D380"/>
      <c r="E380"/>
    </row>
    <row r="381" spans="1:5" x14ac:dyDescent="0.25">
      <c r="A381" s="30">
        <v>2.8391031260743264E-2</v>
      </c>
      <c r="B381"/>
      <c r="C381"/>
      <c r="D381"/>
      <c r="E381"/>
    </row>
    <row r="382" spans="1:5" x14ac:dyDescent="0.25">
      <c r="A382" s="30">
        <v>2.7039077391184052E-2</v>
      </c>
    </row>
    <row r="383" spans="1:5" x14ac:dyDescent="0.25">
      <c r="A383" s="30">
        <v>2.5751502277318133E-2</v>
      </c>
    </row>
    <row r="384" spans="1:5" x14ac:dyDescent="0.25">
      <c r="A384" s="30">
        <v>2.4525240264112496E-2</v>
      </c>
    </row>
    <row r="385" spans="1:1" x14ac:dyDescent="0.25">
      <c r="A385" s="30">
        <v>2.3357371680107129E-2</v>
      </c>
    </row>
    <row r="386" spans="1:1" x14ac:dyDescent="0.25">
      <c r="A386" s="30">
        <v>2.2245115885816305E-2</v>
      </c>
    </row>
    <row r="387" spans="1:1" x14ac:dyDescent="0.25">
      <c r="A387" s="30">
        <v>2.1185824653158377E-2</v>
      </c>
    </row>
    <row r="388" spans="1:1" x14ac:dyDescent="0.25">
      <c r="A388" s="30">
        <v>2.0176975860150829E-2</v>
      </c>
    </row>
    <row r="389" spans="1:1" x14ac:dyDescent="0.25">
      <c r="A389" s="30">
        <v>1.9216167485857926E-2</v>
      </c>
    </row>
    <row r="390" spans="1:1" x14ac:dyDescent="0.25">
      <c r="A390" s="30">
        <v>1.8301111891293256E-2</v>
      </c>
    </row>
    <row r="391" spans="1:1" x14ac:dyDescent="0.25">
      <c r="A391" s="30">
        <v>1.7429630372660238E-2</v>
      </c>
    </row>
    <row r="392" spans="1:1" x14ac:dyDescent="0.25">
      <c r="A392" s="30">
        <v>1.6599647973962125E-2</v>
      </c>
    </row>
    <row r="393" spans="1:1" x14ac:dyDescent="0.25">
      <c r="A393" s="30">
        <v>1.580918854663059E-2</v>
      </c>
    </row>
    <row r="394" spans="1:1" x14ac:dyDescent="0.25">
      <c r="A394" s="30">
        <v>1.5056370044410079E-2</v>
      </c>
    </row>
    <row r="395" spans="1:1" x14ac:dyDescent="0.25">
      <c r="A395" s="30">
        <v>1.4339400042295308E-2</v>
      </c>
    </row>
    <row r="396" spans="1:1" x14ac:dyDescent="0.25">
      <c r="A396" s="30">
        <v>1.365657146885267E-2</v>
      </c>
    </row>
    <row r="397" spans="1:1" x14ac:dyDescent="0.25">
      <c r="A397" s="30">
        <v>1.3006258541764442E-2</v>
      </c>
    </row>
    <row r="398" spans="1:1" x14ac:dyDescent="0.25">
      <c r="A398" s="30">
        <v>1.2386912896918512E-2</v>
      </c>
    </row>
    <row r="399" spans="1:1" x14ac:dyDescent="0.25">
      <c r="A399" s="30">
        <v>1.179705990182715E-2</v>
      </c>
    </row>
    <row r="400" spans="1:1" x14ac:dyDescent="0.25">
      <c r="A400" s="30">
        <v>1.1235295144597281E-2</v>
      </c>
    </row>
    <row r="401" spans="1:1" x14ac:dyDescent="0.25">
      <c r="A401" s="30">
        <v>1.0700281090092644E-2</v>
      </c>
    </row>
    <row r="402" spans="1:1" x14ac:dyDescent="0.25">
      <c r="A402" s="30">
        <v>1.0190743895326324E-2</v>
      </c>
    </row>
    <row r="403" spans="1:1" x14ac:dyDescent="0.25">
      <c r="A403" s="30">
        <v>9.7054703765012563E-3</v>
      </c>
    </row>
    <row r="404" spans="1:1" x14ac:dyDescent="0.25">
      <c r="A404" s="30">
        <v>9.2433051204773835E-3</v>
      </c>
    </row>
    <row r="405" spans="1:1" x14ac:dyDescent="0.25">
      <c r="A405" s="30">
        <v>8.8031477337879808E-3</v>
      </c>
    </row>
    <row r="406" spans="1:1" x14ac:dyDescent="0.25">
      <c r="A406" s="30">
        <v>8.3839502226552166E-3</v>
      </c>
    </row>
    <row r="407" spans="1:1" x14ac:dyDescent="0.25">
      <c r="A407" s="30">
        <v>7.9847144977668698E-3</v>
      </c>
    </row>
    <row r="408" spans="1:1" x14ac:dyDescent="0.25">
      <c r="A408" s="30">
        <v>7.6044899978732058E-3</v>
      </c>
    </row>
    <row r="409" spans="1:1" x14ac:dyDescent="0.25">
      <c r="A409" s="30">
        <v>7.2423714265459072E-3</v>
      </c>
    </row>
    <row r="410" spans="1:1" x14ac:dyDescent="0.25">
      <c r="A410" s="30">
        <v>6.8974965967103846E-3</v>
      </c>
    </row>
    <row r="411" spans="1:1" x14ac:dyDescent="0.25">
      <c r="A411" s="30">
        <v>6.5690443778194116E-3</v>
      </c>
    </row>
    <row r="412" spans="1:1" x14ac:dyDescent="0.25">
      <c r="A412" s="30">
        <v>6.2562327407803897E-3</v>
      </c>
    </row>
    <row r="413" spans="1:1" x14ac:dyDescent="0.25">
      <c r="A413" s="30">
        <v>5.9583168959813212E-3</v>
      </c>
    </row>
    <row r="414" spans="1:1" x14ac:dyDescent="0.25">
      <c r="A414" s="30">
        <v>5.6745875199822084E-3</v>
      </c>
    </row>
    <row r="415" spans="1:1" x14ac:dyDescent="0.25">
      <c r="A415" s="30">
        <v>5.4043690666497205E-3</v>
      </c>
    </row>
    <row r="416" spans="1:1" x14ac:dyDescent="0.25">
      <c r="A416" s="30">
        <v>5.1470181587140174E-3</v>
      </c>
    </row>
    <row r="417" spans="1:1" x14ac:dyDescent="0.25">
      <c r="A417" s="30">
        <v>4.9019220559181099E-3</v>
      </c>
    </row>
    <row r="418" spans="1:1" x14ac:dyDescent="0.25">
      <c r="A418" s="30">
        <v>4.6684971961124836E-3</v>
      </c>
    </row>
    <row r="419" spans="1:1" x14ac:dyDescent="0.25">
      <c r="A419" s="30">
        <v>4.4461878058214112E-3</v>
      </c>
    </row>
    <row r="420" spans="1:1" x14ac:dyDescent="0.25">
      <c r="A420" s="30">
        <v>4.2344645769727711E-3</v>
      </c>
    </row>
    <row r="421" spans="1:1" x14ac:dyDescent="0.25">
      <c r="A421" s="30">
        <v>4.0328234066407329E-3</v>
      </c>
    </row>
    <row r="422" spans="1:1" x14ac:dyDescent="0.25">
      <c r="A422" s="30">
        <v>3.8407841968006963E-3</v>
      </c>
    </row>
    <row r="423" spans="1:1" x14ac:dyDescent="0.25">
      <c r="A423" s="30">
        <v>3.6578897112387568E-3</v>
      </c>
    </row>
    <row r="424" spans="1:1" x14ac:dyDescent="0.25">
      <c r="A424" s="30">
        <v>3.4837044868940526E-3</v>
      </c>
    </row>
    <row r="425" spans="1:1" x14ac:dyDescent="0.25">
      <c r="A425" s="30">
        <v>3.3178137970419535E-3</v>
      </c>
    </row>
    <row r="426" spans="1:1" x14ac:dyDescent="0.25">
      <c r="A426" s="30">
        <v>3.1598226638494781E-3</v>
      </c>
    </row>
    <row r="427" spans="1:1" x14ac:dyDescent="0.25">
      <c r="A427" s="30">
        <v>3.0093549179518826E-3</v>
      </c>
    </row>
    <row r="428" spans="1:1" x14ac:dyDescent="0.25">
      <c r="A428" s="30">
        <v>2.8660523028113155E-3</v>
      </c>
    </row>
    <row r="429" spans="1:1" x14ac:dyDescent="0.25">
      <c r="A429" s="30">
        <v>2.7295736217250611E-3</v>
      </c>
    </row>
    <row r="430" spans="1:1" x14ac:dyDescent="0.25">
      <c r="A430" s="30">
        <v>2.5995939254524381E-3</v>
      </c>
    </row>
    <row r="431" spans="1:1" x14ac:dyDescent="0.25">
      <c r="A431" s="30">
        <v>2.4758037385261304E-3</v>
      </c>
    </row>
    <row r="432" spans="1:1" x14ac:dyDescent="0.25">
      <c r="A432" s="30">
        <v>2.3579083224058374E-3</v>
      </c>
    </row>
    <row r="433" spans="1:1" x14ac:dyDescent="0.25">
      <c r="A433" s="30">
        <v>2.245626973719844E-3</v>
      </c>
    </row>
    <row r="434" spans="1:1" x14ac:dyDescent="0.25">
      <c r="A434" s="30">
        <v>2.1386923559236601E-3</v>
      </c>
    </row>
    <row r="435" spans="1:1" x14ac:dyDescent="0.25">
      <c r="A435" s="30">
        <v>2.0368498627844375E-3</v>
      </c>
    </row>
    <row r="436" spans="1:1" x14ac:dyDescent="0.25">
      <c r="A436" s="30">
        <v>1.9398570121756541E-3</v>
      </c>
    </row>
    <row r="437" spans="1:1" x14ac:dyDescent="0.25">
      <c r="A437" s="30">
        <v>1.8474828687387174E-3</v>
      </c>
    </row>
    <row r="438" spans="1:1" x14ac:dyDescent="0.25">
      <c r="A438" s="30">
        <v>1.759507494036873E-3</v>
      </c>
    </row>
    <row r="439" spans="1:1" x14ac:dyDescent="0.25">
      <c r="A439" s="30">
        <v>1.6757214228922594E-3</v>
      </c>
    </row>
    <row r="440" spans="1:1" x14ac:dyDescent="0.25">
      <c r="A440" s="30">
        <v>1.595925164659294E-3</v>
      </c>
    </row>
    <row r="441" spans="1:1" x14ac:dyDescent="0.25">
      <c r="A441" s="30">
        <v>1.5199287282469461E-3</v>
      </c>
    </row>
    <row r="442" spans="1:1" x14ac:dyDescent="0.25">
      <c r="A442" s="30">
        <v>1.4475511697589958E-3</v>
      </c>
    </row>
    <row r="443" spans="1:1" x14ac:dyDescent="0.25">
      <c r="A443" s="30">
        <v>1.3786201616752334E-3</v>
      </c>
    </row>
    <row r="444" spans="1:1" x14ac:dyDescent="0.25">
      <c r="A444" s="30">
        <v>1.3129715825478407E-3</v>
      </c>
    </row>
    <row r="445" spans="1:1" x14ac:dyDescent="0.25">
      <c r="A445" s="30">
        <v>1.2504491262360382E-3</v>
      </c>
    </row>
    <row r="446" spans="1:1" x14ac:dyDescent="0.25">
      <c r="A446" s="30">
        <v>1.1909039297486072E-3</v>
      </c>
    </row>
    <row r="447" spans="1:1" x14ac:dyDescent="0.25">
      <c r="A447" s="30">
        <v>1.1341942188081969E-3</v>
      </c>
    </row>
    <row r="448" spans="1:1" x14ac:dyDescent="0.25">
      <c r="A448" s="30">
        <v>1.0801849702935203E-3</v>
      </c>
    </row>
    <row r="449" spans="1:1" x14ac:dyDescent="0.25">
      <c r="A449" s="30">
        <v>1.0287475907557332E-3</v>
      </c>
    </row>
    <row r="450" spans="1:1" x14ac:dyDescent="0.25">
      <c r="A450" s="30">
        <v>9.7731021121794646E-4</v>
      </c>
    </row>
    <row r="451" spans="1:1" x14ac:dyDescent="0.25">
      <c r="A451" s="30">
        <v>9.2844470065704904E-4</v>
      </c>
    </row>
    <row r="452" spans="1:1" x14ac:dyDescent="0.25">
      <c r="A452" s="30">
        <v>8.8202246562419653E-4</v>
      </c>
    </row>
    <row r="453" spans="1:1" x14ac:dyDescent="0.25">
      <c r="A453" s="30">
        <v>8.3792134234298668E-4</v>
      </c>
    </row>
    <row r="454" spans="1:1" x14ac:dyDescent="0.25">
      <c r="A454" s="30">
        <v>7.9602527522583736E-4</v>
      </c>
    </row>
    <row r="455" spans="1:1" x14ac:dyDescent="0.25">
      <c r="A455" s="30">
        <v>7.5622401146454546E-4</v>
      </c>
    </row>
    <row r="456" spans="1:1" x14ac:dyDescent="0.25">
      <c r="A456" s="30">
        <v>7.1841281089131816E-4</v>
      </c>
    </row>
    <row r="457" spans="1:1" x14ac:dyDescent="0.25">
      <c r="A457" s="30">
        <v>6.8249217034675226E-4</v>
      </c>
    </row>
    <row r="458" spans="1:1" x14ac:dyDescent="0.25">
      <c r="A458" s="30">
        <v>6.4836756182941465E-4</v>
      </c>
    </row>
    <row r="459" spans="1:1" x14ac:dyDescent="0.25">
      <c r="A459" s="30">
        <v>6.1594918373794388E-4</v>
      </c>
    </row>
    <row r="460" spans="1:1" x14ac:dyDescent="0.25">
      <c r="A460" s="30">
        <v>5.8515172455104666E-4</v>
      </c>
    </row>
    <row r="461" spans="1:1" x14ac:dyDescent="0.25">
      <c r="A461" s="30">
        <v>5.5589413832349429E-4</v>
      </c>
    </row>
    <row r="462" spans="1:1" x14ac:dyDescent="0.25">
      <c r="A462" s="30">
        <v>5.2809943140731956E-4</v>
      </c>
    </row>
    <row r="463" spans="1:1" x14ac:dyDescent="0.25">
      <c r="A463" s="30">
        <v>5.0169445983695357E-4</v>
      </c>
    </row>
    <row r="464" spans="1:1" x14ac:dyDescent="0.25">
      <c r="A464" s="30">
        <v>4.7660973684510589E-4</v>
      </c>
    </row>
    <row r="465" spans="1:1" x14ac:dyDescent="0.25">
      <c r="A465" s="30">
        <v>4.5277925000285056E-4</v>
      </c>
    </row>
    <row r="466" spans="1:1" x14ac:dyDescent="0.25">
      <c r="A466" s="30">
        <v>4.3014028750270803E-4</v>
      </c>
    </row>
    <row r="467" spans="1:1" x14ac:dyDescent="0.25">
      <c r="A467" s="30">
        <v>4.0863327312757263E-4</v>
      </c>
    </row>
    <row r="468" spans="1:1" x14ac:dyDescent="0.25">
      <c r="A468" s="30">
        <v>3.8820160947119396E-4</v>
      </c>
    </row>
    <row r="469" spans="1:1" x14ac:dyDescent="0.25">
      <c r="A469" s="30">
        <v>3.6879152899763426E-4</v>
      </c>
    </row>
    <row r="470" spans="1:1" x14ac:dyDescent="0.25">
      <c r="A470" s="30">
        <v>3.5035195254775253E-4</v>
      </c>
    </row>
    <row r="471" spans="1:1" x14ac:dyDescent="0.25">
      <c r="A471" s="30">
        <v>3.3283435492036491E-4</v>
      </c>
    </row>
    <row r="472" spans="1:1" x14ac:dyDescent="0.25">
      <c r="A472" s="30">
        <v>3.1619263717434668E-4</v>
      </c>
    </row>
    <row r="473" spans="1:1" x14ac:dyDescent="0.25">
      <c r="A473" s="30">
        <v>3.0038300531562933E-4</v>
      </c>
    </row>
    <row r="474" spans="1:1" x14ac:dyDescent="0.25">
      <c r="A474" s="30">
        <v>2.8536385504984783E-4</v>
      </c>
    </row>
    <row r="475" spans="1:1" x14ac:dyDescent="0.25">
      <c r="A475" s="30">
        <v>2.7109566229735542E-4</v>
      </c>
    </row>
    <row r="476" spans="1:1" x14ac:dyDescent="0.25">
      <c r="A476" s="30">
        <v>2.5754087918248761E-4</v>
      </c>
    </row>
    <row r="477" spans="1:1" x14ac:dyDescent="0.25">
      <c r="A477" s="30">
        <v>2.4466383522336323E-4</v>
      </c>
    </row>
    <row r="478" spans="1:1" x14ac:dyDescent="0.25">
      <c r="A478" s="30">
        <v>2.3243064346219506E-4</v>
      </c>
    </row>
    <row r="479" spans="1:1" x14ac:dyDescent="0.25">
      <c r="A479" s="30">
        <v>2.2080911128908529E-4</v>
      </c>
    </row>
    <row r="480" spans="1:1" x14ac:dyDescent="0.25">
      <c r="A480" s="30">
        <v>2.0976865572463102E-4</v>
      </c>
    </row>
    <row r="481" spans="1:1" x14ac:dyDescent="0.25">
      <c r="A481" s="30">
        <v>1.9928022293839946E-4</v>
      </c>
    </row>
    <row r="482" spans="1:1" x14ac:dyDescent="0.25">
      <c r="A482" s="30">
        <v>1.8931621179147948E-4</v>
      </c>
    </row>
    <row r="483" spans="1:1" x14ac:dyDescent="0.25">
      <c r="A483" s="30">
        <v>1.798504012019055E-4</v>
      </c>
    </row>
    <row r="484" spans="1:1" x14ac:dyDescent="0.25">
      <c r="A484" s="30">
        <v>1.7085788114181021E-4</v>
      </c>
    </row>
    <row r="485" spans="1:1" x14ac:dyDescent="0.25">
      <c r="A485" s="30">
        <v>1.623149870847197E-4</v>
      </c>
    </row>
    <row r="486" spans="1:1" x14ac:dyDescent="0.25">
      <c r="A486" s="30">
        <v>1.541992377304837E-4</v>
      </c>
    </row>
    <row r="487" spans="1:1" x14ac:dyDescent="0.25">
      <c r="A487" s="30">
        <v>1.4648927584395952E-4</v>
      </c>
    </row>
    <row r="488" spans="1:1" x14ac:dyDescent="0.25">
      <c r="A488" s="30">
        <v>1.3916481205176153E-4</v>
      </c>
    </row>
    <row r="489" spans="1:1" x14ac:dyDescent="0.25">
      <c r="A489" s="30">
        <v>1.3220657144917344E-4</v>
      </c>
    </row>
    <row r="490" spans="1:1" x14ac:dyDescent="0.25">
      <c r="A490" s="30">
        <v>1.2559624287671476E-4</v>
      </c>
    </row>
    <row r="491" spans="1:1" x14ac:dyDescent="0.25">
      <c r="A491" s="30">
        <v>1.1931643073287902E-4</v>
      </c>
    </row>
    <row r="492" spans="1:1" x14ac:dyDescent="0.25">
      <c r="A492" s="30">
        <v>1.1335060919623506E-4</v>
      </c>
    </row>
    <row r="493" spans="1:1" x14ac:dyDescent="0.25">
      <c r="A493" s="30">
        <v>1.076830787364233E-4</v>
      </c>
    </row>
    <row r="494" spans="1:1" x14ac:dyDescent="0.25">
      <c r="A494" s="30">
        <v>1.0229892479960213E-4</v>
      </c>
    </row>
    <row r="495" spans="1:1" x14ac:dyDescent="0.25">
      <c r="A495" s="30">
        <v>9.7183978559622027E-5</v>
      </c>
    </row>
    <row r="496" spans="1:1" x14ac:dyDescent="0.25">
      <c r="A496" s="30">
        <v>9.2324779631640922E-5</v>
      </c>
    </row>
    <row r="497" spans="1:1" x14ac:dyDescent="0.25">
      <c r="A497" s="30">
        <v>8.7708540650058869E-5</v>
      </c>
    </row>
    <row r="498" spans="1:1" x14ac:dyDescent="0.25">
      <c r="A498" s="30">
        <v>8.3323113617555917E-5</v>
      </c>
    </row>
    <row r="499" spans="1:1" x14ac:dyDescent="0.25">
      <c r="A499" s="30">
        <v>7.9156957936678114E-5</v>
      </c>
    </row>
    <row r="500" spans="1:1" x14ac:dyDescent="0.25">
      <c r="A500" s="30">
        <v>7.5199110039844203E-5</v>
      </c>
    </row>
    <row r="501" spans="1:1" x14ac:dyDescent="0.25">
      <c r="A501" s="30">
        <v>7.1439154537851989E-5</v>
      </c>
    </row>
    <row r="502" spans="1:1" x14ac:dyDescent="0.25">
      <c r="A502" s="30">
        <v>6.7867196810959381E-5</v>
      </c>
    </row>
    <row r="503" spans="1:1" x14ac:dyDescent="0.25">
      <c r="A503" s="30">
        <v>6.4473836970411412E-5</v>
      </c>
    </row>
    <row r="504" spans="1:1" x14ac:dyDescent="0.25">
      <c r="A504" s="30">
        <v>6.1250145121890834E-5</v>
      </c>
    </row>
    <row r="505" spans="1:1" x14ac:dyDescent="0.25">
      <c r="A505" s="30">
        <v>5.8187637865796292E-5</v>
      </c>
    </row>
    <row r="506" spans="1:1" x14ac:dyDescent="0.25">
      <c r="A506" s="30">
        <v>5.5278255972506478E-5</v>
      </c>
    </row>
    <row r="507" spans="1:1" x14ac:dyDescent="0.25">
      <c r="A507" s="30">
        <v>5.251434317388115E-5</v>
      </c>
    </row>
    <row r="508" spans="1:1" x14ac:dyDescent="0.25">
      <c r="A508" s="30">
        <v>4.9888626015187091E-5</v>
      </c>
    </row>
    <row r="509" spans="1:1" x14ac:dyDescent="0.25">
      <c r="A509" s="30">
        <v>4.7394194714427735E-5</v>
      </c>
    </row>
    <row r="510" spans="1:1" x14ac:dyDescent="0.25">
      <c r="A510" s="30">
        <v>4.5024484978706345E-5</v>
      </c>
    </row>
    <row r="511" spans="1:1" x14ac:dyDescent="0.25">
      <c r="A511" s="30">
        <v>4.2773260729771024E-5</v>
      </c>
    </row>
    <row r="512" spans="1:1" x14ac:dyDescent="0.25">
      <c r="A512" s="30">
        <v>4.0634597693282472E-5</v>
      </c>
    </row>
    <row r="513" spans="1:1" x14ac:dyDescent="0.25">
      <c r="A513" s="30">
        <v>3.8602867808618349E-5</v>
      </c>
    </row>
    <row r="514" spans="1:1" x14ac:dyDescent="0.25">
      <c r="A514" s="30">
        <v>3.6672724418187428E-5</v>
      </c>
    </row>
    <row r="515" spans="1:1" x14ac:dyDescent="0.25">
      <c r="A515" s="30">
        <v>3.4839088197278057E-5</v>
      </c>
    </row>
    <row r="516" spans="1:1" x14ac:dyDescent="0.25">
      <c r="A516" s="30">
        <v>3.3097133787414149E-5</v>
      </c>
    </row>
    <row r="517" spans="1:1" x14ac:dyDescent="0.25">
      <c r="A517" s="30">
        <v>3.1442277098043439E-5</v>
      </c>
    </row>
    <row r="518" spans="1:1" x14ac:dyDescent="0.25">
      <c r="A518" s="30">
        <v>2.9870163243141264E-5</v>
      </c>
    </row>
    <row r="519" spans="1:1" x14ac:dyDescent="0.25">
      <c r="A519" s="30">
        <v>2.8376655080984199E-5</v>
      </c>
    </row>
    <row r="520" spans="1:1" x14ac:dyDescent="0.25">
      <c r="A520" s="30">
        <v>2.6957822326934987E-5</v>
      </c>
    </row>
    <row r="521" spans="1:1" x14ac:dyDescent="0.25">
      <c r="A521" s="30">
        <v>2.5609931210588235E-5</v>
      </c>
    </row>
    <row r="522" spans="1:1" x14ac:dyDescent="0.25">
      <c r="A522" s="30">
        <v>2.4329434650058821E-5</v>
      </c>
    </row>
    <row r="523" spans="1:1" x14ac:dyDescent="0.25">
      <c r="A523" s="30">
        <v>2.311296291755588E-5</v>
      </c>
    </row>
    <row r="524" spans="1:1" x14ac:dyDescent="0.25">
      <c r="A524" s="30">
        <v>2.1957314771678086E-5</v>
      </c>
    </row>
    <row r="525" spans="1:1" x14ac:dyDescent="0.25">
      <c r="A525" s="30">
        <v>2.085944903309418E-5</v>
      </c>
    </row>
    <row r="526" spans="1:1" x14ac:dyDescent="0.25">
      <c r="A526" s="30">
        <v>1.9816476581439472E-5</v>
      </c>
    </row>
    <row r="527" spans="1:1" x14ac:dyDescent="0.25">
      <c r="A527" s="30">
        <v>1.8825652752367499E-5</v>
      </c>
    </row>
    <row r="528" spans="1:1" x14ac:dyDescent="0.25">
      <c r="A528" s="30">
        <v>1.7884370114749124E-5</v>
      </c>
    </row>
    <row r="529" spans="1:1" x14ac:dyDescent="0.25">
      <c r="A529" s="30">
        <v>1.6990151609011666E-5</v>
      </c>
    </row>
    <row r="530" spans="1:1" x14ac:dyDescent="0.25">
      <c r="A530" s="30">
        <v>1.6140644028561083E-5</v>
      </c>
    </row>
    <row r="531" spans="1:1" x14ac:dyDescent="0.25">
      <c r="A531" s="30">
        <v>1.5333611827133028E-5</v>
      </c>
    </row>
    <row r="532" spans="1:1" x14ac:dyDescent="0.25">
      <c r="A532" s="30">
        <v>1.4566931235776375E-5</v>
      </c>
    </row>
    <row r="533" spans="1:1" x14ac:dyDescent="0.25">
      <c r="A533" s="30">
        <v>1.3838584673987556E-5</v>
      </c>
    </row>
    <row r="534" spans="1:1" x14ac:dyDescent="0.25">
      <c r="A534" s="30">
        <v>1.3146655440288178E-5</v>
      </c>
    </row>
    <row r="535" spans="1:1" x14ac:dyDescent="0.25">
      <c r="A535" s="30">
        <v>1.2489322668273768E-5</v>
      </c>
    </row>
    <row r="536" spans="1:1" x14ac:dyDescent="0.25">
      <c r="A536" s="30">
        <v>1.186485653486008E-5</v>
      </c>
    </row>
    <row r="537" spans="1:1" x14ac:dyDescent="0.25">
      <c r="A537" s="30">
        <v>1.1271613708117075E-5</v>
      </c>
    </row>
    <row r="538" spans="1:1" x14ac:dyDescent="0.25">
      <c r="A538" s="30">
        <v>1.0708033022711222E-5</v>
      </c>
    </row>
    <row r="539" spans="1:1" x14ac:dyDescent="0.25">
      <c r="A539" s="30">
        <v>1.0172631371575661E-5</v>
      </c>
    </row>
    <row r="540" spans="1:1" x14ac:dyDescent="0.25">
      <c r="A540" s="30">
        <v>9.6639998029968765E-6</v>
      </c>
    </row>
    <row r="541" spans="1:1" x14ac:dyDescent="0.25">
      <c r="A541" s="30">
        <v>9.1807998128470321E-6</v>
      </c>
    </row>
    <row r="542" spans="1:1" x14ac:dyDescent="0.25">
      <c r="A542" s="30">
        <v>8.7217598222046798E-6</v>
      </c>
    </row>
    <row r="543" spans="1:1" x14ac:dyDescent="0.25">
      <c r="A543" s="30">
        <v>8.2856718310944451E-6</v>
      </c>
    </row>
    <row r="544" spans="1:1" x14ac:dyDescent="0.25">
      <c r="A544" s="30">
        <v>7.8713882395397226E-6</v>
      </c>
    </row>
    <row r="545" spans="1:1" x14ac:dyDescent="0.25">
      <c r="A545" s="30">
        <v>7.4778188275627361E-6</v>
      </c>
    </row>
    <row r="546" spans="1:1" x14ac:dyDescent="0.25">
      <c r="A546" s="30">
        <v>7.1039278861845986E-6</v>
      </c>
    </row>
    <row r="547" spans="1:1" x14ac:dyDescent="0.25">
      <c r="A547" s="30">
        <v>6.7487314918753682E-6</v>
      </c>
    </row>
    <row r="548" spans="1:1" x14ac:dyDescent="0.25">
      <c r="A548" s="30">
        <v>6.4112949172815995E-6</v>
      </c>
    </row>
    <row r="549" spans="1:1" x14ac:dyDescent="0.25">
      <c r="A549" s="30">
        <v>6.0907301714175189E-6</v>
      </c>
    </row>
    <row r="550" spans="1:1" x14ac:dyDescent="0.25">
      <c r="A550" s="30">
        <v>5.7861936628466423E-6</v>
      </c>
    </row>
    <row r="551" spans="1:1" x14ac:dyDescent="0.25">
      <c r="A551" s="30">
        <v>5.4968839797043099E-6</v>
      </c>
    </row>
    <row r="552" spans="1:1" x14ac:dyDescent="0.25">
      <c r="A552" s="30">
        <v>5.2220397807190937E-6</v>
      </c>
    </row>
    <row r="553" spans="1:1" x14ac:dyDescent="0.25">
      <c r="A553" s="30">
        <v>4.9609377916831386E-6</v>
      </c>
    </row>
    <row r="554" spans="1:1" x14ac:dyDescent="0.25">
      <c r="A554" s="30">
        <v>4.7128909020989814E-6</v>
      </c>
    </row>
    <row r="555" spans="1:1" x14ac:dyDescent="0.25">
      <c r="A555" s="30">
        <v>4.4772463569940322E-6</v>
      </c>
    </row>
    <row r="556" spans="1:1" x14ac:dyDescent="0.25">
      <c r="A556" s="30">
        <v>4.2533840391443302E-6</v>
      </c>
    </row>
    <row r="557" spans="1:1" x14ac:dyDescent="0.25">
      <c r="A557" s="30">
        <v>4.0407148371871134E-6</v>
      </c>
    </row>
    <row r="558" spans="1:1" x14ac:dyDescent="0.25">
      <c r="A558" s="30">
        <v>3.838679095327758E-6</v>
      </c>
    </row>
    <row r="559" spans="1:1" x14ac:dyDescent="0.25">
      <c r="A559" s="30">
        <v>3.6467451405613698E-6</v>
      </c>
    </row>
    <row r="560" spans="1:1" x14ac:dyDescent="0.25">
      <c r="A560" s="30">
        <v>3.464407883533301E-6</v>
      </c>
    </row>
    <row r="561" spans="1:1" x14ac:dyDescent="0.25">
      <c r="A561" s="30">
        <v>3.2911874893566358E-6</v>
      </c>
    </row>
    <row r="562" spans="1:1" x14ac:dyDescent="0.25">
      <c r="A562" s="30">
        <v>3.1266281148888039E-6</v>
      </c>
    </row>
    <row r="563" spans="1:1" x14ac:dyDescent="0.25">
      <c r="A563" s="30">
        <v>2.9702967091443636E-6</v>
      </c>
    </row>
    <row r="564" spans="1:1" x14ac:dyDescent="0.25">
      <c r="A564" s="30">
        <v>2.8217818736871453E-6</v>
      </c>
    </row>
    <row r="565" spans="1:1" x14ac:dyDescent="0.25">
      <c r="A565" s="30">
        <v>2.6806927800027881E-6</v>
      </c>
    </row>
    <row r="566" spans="1:1" x14ac:dyDescent="0.25">
      <c r="A566" s="30">
        <v>2.5466581410026485E-6</v>
      </c>
    </row>
    <row r="567" spans="1:1" x14ac:dyDescent="0.25">
      <c r="A567" s="30">
        <v>2.4193252339525159E-6</v>
      </c>
    </row>
    <row r="568" spans="1:1" x14ac:dyDescent="0.25">
      <c r="A568" s="30">
        <v>2.2983589722548901E-6</v>
      </c>
    </row>
    <row r="569" spans="1:1" x14ac:dyDescent="0.25">
      <c r="A569" s="30">
        <v>2.1834410236421454E-6</v>
      </c>
    </row>
    <row r="570" spans="1:1" x14ac:dyDescent="0.25">
      <c r="A570" s="30">
        <v>2.0742689724600379E-6</v>
      </c>
    </row>
    <row r="571" spans="1:1" x14ac:dyDescent="0.25">
      <c r="A571" s="30">
        <v>1.9705555238370358E-6</v>
      </c>
    </row>
    <row r="572" spans="1:1" x14ac:dyDescent="0.25">
      <c r="A572" s="30">
        <v>1.8720277476451839E-6</v>
      </c>
    </row>
    <row r="573" spans="1:1" x14ac:dyDescent="0.25">
      <c r="A573" s="30">
        <v>1.7784263602629246E-6</v>
      </c>
    </row>
    <row r="574" spans="1:1" x14ac:dyDescent="0.25">
      <c r="A574" s="30">
        <v>1.6895050422497783E-6</v>
      </c>
    </row>
    <row r="575" spans="1:1" x14ac:dyDescent="0.25">
      <c r="A575" s="30">
        <v>1.6050297901372894E-6</v>
      </c>
    </row>
    <row r="576" spans="1:1" x14ac:dyDescent="0.25">
      <c r="A576" s="30">
        <v>1.5247783006304249E-6</v>
      </c>
    </row>
    <row r="577" spans="1:1" x14ac:dyDescent="0.25">
      <c r="A577" s="30">
        <v>1.4485393855989036E-6</v>
      </c>
    </row>
    <row r="578" spans="1:1" x14ac:dyDescent="0.25">
      <c r="A578" s="30">
        <v>1.3761124163189583E-6</v>
      </c>
    </row>
    <row r="579" spans="1:1" x14ac:dyDescent="0.25">
      <c r="A579" s="30">
        <v>1.3073067955030102E-6</v>
      </c>
    </row>
    <row r="580" spans="1:1" x14ac:dyDescent="0.25">
      <c r="A580" s="30">
        <v>1.2419414557278597E-6</v>
      </c>
    </row>
    <row r="581" spans="1:1" x14ac:dyDescent="0.25">
      <c r="A581" s="30">
        <v>1.1798443829414667E-6</v>
      </c>
    </row>
    <row r="582" spans="1:1" x14ac:dyDescent="0.25">
      <c r="A582" s="30">
        <v>1.1208521637943934E-6</v>
      </c>
    </row>
    <row r="583" spans="1:1" x14ac:dyDescent="0.25">
      <c r="A583" s="30">
        <v>1.0648095556046737E-6</v>
      </c>
    </row>
    <row r="584" spans="1:1" x14ac:dyDescent="0.25">
      <c r="A584" s="30">
        <v>1.01156907782444E-6</v>
      </c>
    </row>
    <row r="585" spans="1:1" x14ac:dyDescent="0.25">
      <c r="A585" s="30">
        <v>9.6099062393321788E-7</v>
      </c>
    </row>
    <row r="586" spans="1:1" x14ac:dyDescent="0.25">
      <c r="A586" s="30">
        <v>9.1294109273655694E-7</v>
      </c>
    </row>
    <row r="587" spans="1:1" x14ac:dyDescent="0.25">
      <c r="A587" s="30">
        <v>8.6729403809972904E-7</v>
      </c>
    </row>
    <row r="588" spans="1:1" x14ac:dyDescent="0.25">
      <c r="A588" s="30">
        <v>8.2392933619474258E-7</v>
      </c>
    </row>
    <row r="589" spans="1:1" x14ac:dyDescent="0.25">
      <c r="A589" s="30">
        <v>7.8273286938500543E-7</v>
      </c>
    </row>
    <row r="590" spans="1:1" x14ac:dyDescent="0.25">
      <c r="A590" s="30">
        <v>7.4359622591575509E-7</v>
      </c>
    </row>
    <row r="591" spans="1:1" x14ac:dyDescent="0.25">
      <c r="A591" s="30">
        <v>7.064164146199673E-7</v>
      </c>
    </row>
    <row r="592" spans="1:1" x14ac:dyDescent="0.25">
      <c r="A592" s="30">
        <v>6.7109559388896894E-7</v>
      </c>
    </row>
    <row r="593" spans="1:1" x14ac:dyDescent="0.25">
      <c r="A593" s="30">
        <v>6.3754081419452045E-7</v>
      </c>
    </row>
    <row r="594" spans="1:1" x14ac:dyDescent="0.25">
      <c r="A594" s="30">
        <v>6.056637734847944E-7</v>
      </c>
    </row>
    <row r="595" spans="1:1" x14ac:dyDescent="0.25">
      <c r="A595" s="30">
        <v>5.7538058481055464E-7</v>
      </c>
    </row>
    <row r="596" spans="1:1" x14ac:dyDescent="0.25">
      <c r="A596" s="30">
        <v>5.4661155557002689E-7</v>
      </c>
    </row>
    <row r="597" spans="1:1" x14ac:dyDescent="0.25">
      <c r="A597" s="30">
        <v>5.1928097779152547E-7</v>
      </c>
    </row>
    <row r="598" spans="1:1" x14ac:dyDescent="0.25">
      <c r="A598" s="30">
        <v>4.9331692890194916E-7</v>
      </c>
    </row>
    <row r="599" spans="1:1" x14ac:dyDescent="0.25">
      <c r="A599" s="30">
        <v>4.6865108245685168E-7</v>
      </c>
    </row>
    <row r="600" spans="1:1" x14ac:dyDescent="0.25">
      <c r="A600" s="30">
        <v>4.4521852833400909E-7</v>
      </c>
    </row>
    <row r="601" spans="1:1" x14ac:dyDescent="0.25">
      <c r="A601" s="30">
        <v>4.2295760191730863E-7</v>
      </c>
    </row>
    <row r="602" spans="1:1" x14ac:dyDescent="0.25">
      <c r="A602" s="30">
        <v>4.018097218214432E-7</v>
      </c>
    </row>
    <row r="603" spans="1:1" x14ac:dyDescent="0.25">
      <c r="A603" s="30">
        <v>3.8171923573037103E-7</v>
      </c>
    </row>
    <row r="604" spans="1:1" x14ac:dyDescent="0.25">
      <c r="A604" s="30">
        <v>3.6263327394385244E-7</v>
      </c>
    </row>
    <row r="605" spans="1:1" x14ac:dyDescent="0.25">
      <c r="A605" s="30">
        <v>3.4450161024665982E-7</v>
      </c>
    </row>
    <row r="606" spans="1:1" x14ac:dyDescent="0.25">
      <c r="A606" s="30">
        <v>3.2727652973432681E-7</v>
      </c>
    </row>
    <row r="607" spans="1:1" x14ac:dyDescent="0.25">
      <c r="A607" s="30">
        <v>3.1091270324761048E-7</v>
      </c>
    </row>
    <row r="608" spans="1:1" x14ac:dyDescent="0.25">
      <c r="A608" s="30">
        <v>2.9536706808522992E-7</v>
      </c>
    </row>
    <row r="609" spans="1:1" x14ac:dyDescent="0.25">
      <c r="A609" s="30">
        <v>2.8059871468096844E-7</v>
      </c>
    </row>
    <row r="610" spans="1:1" x14ac:dyDescent="0.25">
      <c r="A610" s="30">
        <v>2.6656877894691999E-7</v>
      </c>
    </row>
    <row r="611" spans="1:1" x14ac:dyDescent="0.25">
      <c r="A611" s="30">
        <v>2.5324033999957397E-7</v>
      </c>
    </row>
    <row r="612" spans="1:1" x14ac:dyDescent="0.25">
      <c r="A612" s="30">
        <v>2.4057832299959528E-7</v>
      </c>
    </row>
    <row r="613" spans="1:1" x14ac:dyDescent="0.25">
      <c r="A613" s="30">
        <v>2.2854940684961551E-7</v>
      </c>
    </row>
    <row r="614" spans="1:1" x14ac:dyDescent="0.25">
      <c r="A614" s="30">
        <v>2.1712193650713473E-7</v>
      </c>
    </row>
    <row r="615" spans="1:1" x14ac:dyDescent="0.25">
      <c r="A615" s="30">
        <v>2.0626583968177798E-7</v>
      </c>
    </row>
    <row r="616" spans="1:1" x14ac:dyDescent="0.25">
      <c r="A616" s="30">
        <v>1.9595254769768908E-7</v>
      </c>
    </row>
    <row r="617" spans="1:1" x14ac:dyDescent="0.25">
      <c r="A617" s="30">
        <v>1.8615492031280462E-7</v>
      </c>
    </row>
    <row r="618" spans="1:1" x14ac:dyDescent="0.25">
      <c r="A618" s="30">
        <v>1.7684717429716437E-7</v>
      </c>
    </row>
    <row r="619" spans="1:1" x14ac:dyDescent="0.25">
      <c r="A619" s="30">
        <v>1.6800481558230616E-7</v>
      </c>
    </row>
    <row r="620" spans="1:1" x14ac:dyDescent="0.25">
      <c r="A620" s="30">
        <v>1.5960457480319083E-7</v>
      </c>
    </row>
    <row r="621" spans="1:1" x14ac:dyDescent="0.25">
      <c r="A621" s="30">
        <v>1.5162434606303129E-7</v>
      </c>
    </row>
    <row r="622" spans="1:1" x14ac:dyDescent="0.25">
      <c r="A622" s="30">
        <v>1.4404312875987972E-7</v>
      </c>
    </row>
    <row r="623" spans="1:1" x14ac:dyDescent="0.25">
      <c r="A623" s="30">
        <v>1.3684097232188573E-7</v>
      </c>
    </row>
    <row r="624" spans="1:1" x14ac:dyDescent="0.25">
      <c r="A624" s="30">
        <v>1.2999892370579143E-7</v>
      </c>
    </row>
    <row r="625" spans="1:1" x14ac:dyDescent="0.25">
      <c r="A625" s="30">
        <v>1.2349897752050186E-7</v>
      </c>
    </row>
    <row r="626" spans="1:1" x14ac:dyDescent="0.25">
      <c r="A626" s="30">
        <v>1.1732402864447677E-7</v>
      </c>
    </row>
    <row r="627" spans="1:1" x14ac:dyDescent="0.25">
      <c r="A627" s="30">
        <v>1.1145782721225292E-7</v>
      </c>
    </row>
    <row r="628" spans="1:1" x14ac:dyDescent="0.25">
      <c r="A628" s="30">
        <v>1.0588493585164026E-7</v>
      </c>
    </row>
    <row r="629" spans="1:1" x14ac:dyDescent="0.25">
      <c r="A629" s="30">
        <v>1.0059068905905825E-7</v>
      </c>
    </row>
    <row r="630" spans="1:1" x14ac:dyDescent="0.25">
      <c r="A630" s="30">
        <v>9.5561154606105325E-8</v>
      </c>
    </row>
    <row r="631" spans="1:1" x14ac:dyDescent="0.25">
      <c r="A631" s="30">
        <v>9.0783096875800056E-8</v>
      </c>
    </row>
    <row r="632" spans="1:1" x14ac:dyDescent="0.25">
      <c r="A632" s="30">
        <v>8.6243942032010053E-8</v>
      </c>
    </row>
    <row r="633" spans="1:1" x14ac:dyDescent="0.25">
      <c r="A633" s="30">
        <v>8.1931744930409543E-8</v>
      </c>
    </row>
    <row r="634" spans="1:1" x14ac:dyDescent="0.25">
      <c r="A634" s="30">
        <v>7.7835157683889064E-8</v>
      </c>
    </row>
    <row r="635" spans="1:1" x14ac:dyDescent="0.25">
      <c r="A635" s="30">
        <v>7.3943399799694612E-8</v>
      </c>
    </row>
    <row r="636" spans="1:1" x14ac:dyDescent="0.25">
      <c r="A636" s="30">
        <v>7.0246229809709872E-8</v>
      </c>
    </row>
    <row r="637" spans="1:1" x14ac:dyDescent="0.25">
      <c r="A637" s="30">
        <v>6.6733918319224378E-8</v>
      </c>
    </row>
    <row r="638" spans="1:1" x14ac:dyDescent="0.25">
      <c r="A638" s="30">
        <v>6.3397222403263155E-8</v>
      </c>
    </row>
    <row r="639" spans="1:1" x14ac:dyDescent="0.25">
      <c r="A639" s="30">
        <v>6.0227361283099997E-8</v>
      </c>
    </row>
    <row r="640" spans="1:1" x14ac:dyDescent="0.25">
      <c r="A640" s="30">
        <v>5.7215993218944996E-8</v>
      </c>
    </row>
    <row r="641" spans="1:1" x14ac:dyDescent="0.25">
      <c r="A641" s="30">
        <v>5.4355193557997742E-8</v>
      </c>
    </row>
    <row r="642" spans="1:1" x14ac:dyDescent="0.25">
      <c r="A642" s="30">
        <v>5.1637433880097855E-8</v>
      </c>
    </row>
    <row r="643" spans="1:1" x14ac:dyDescent="0.25">
      <c r="A643" s="30">
        <v>4.9055562186092959E-8</v>
      </c>
    </row>
    <row r="644" spans="1:1" x14ac:dyDescent="0.25">
      <c r="A644" s="30">
        <v>4.6602784076788309E-8</v>
      </c>
    </row>
    <row r="645" spans="1:1" x14ac:dyDescent="0.25">
      <c r="A645" s="30">
        <v>4.4272644872948894E-8</v>
      </c>
    </row>
    <row r="646" spans="1:1" x14ac:dyDescent="0.25">
      <c r="A646" s="30">
        <v>4.2059012629301451E-8</v>
      </c>
    </row>
    <row r="647" spans="1:1" x14ac:dyDescent="0.25">
      <c r="A647" s="30">
        <v>3.9956061997836377E-8</v>
      </c>
    </row>
    <row r="648" spans="1:1" x14ac:dyDescent="0.25">
      <c r="A648" s="30">
        <v>3.7958258897944555E-8</v>
      </c>
    </row>
    <row r="649" spans="1:1" x14ac:dyDescent="0.25">
      <c r="A649" s="30">
        <v>3.6060345953047327E-8</v>
      </c>
    </row>
    <row r="650" spans="1:1" x14ac:dyDescent="0.25">
      <c r="A650" s="30">
        <v>3.4257328655394958E-8</v>
      </c>
    </row>
    <row r="651" spans="1:1" x14ac:dyDescent="0.25">
      <c r="A651" s="30">
        <v>3.2544462222625211E-8</v>
      </c>
    </row>
    <row r="652" spans="1:1" x14ac:dyDescent="0.25">
      <c r="A652" s="30">
        <v>3.0917239111493953E-8</v>
      </c>
    </row>
    <row r="653" spans="1:1" x14ac:dyDescent="0.25">
      <c r="A653" s="30">
        <v>2.9371377155919254E-8</v>
      </c>
    </row>
    <row r="654" spans="1:1" x14ac:dyDescent="0.25">
      <c r="A654" s="30">
        <v>2.7902808298123291E-8</v>
      </c>
    </row>
    <row r="655" spans="1:1" x14ac:dyDescent="0.25">
      <c r="A655" s="30">
        <v>2.6507667883217124E-8</v>
      </c>
    </row>
    <row r="656" spans="1:1" x14ac:dyDescent="0.25">
      <c r="A656" s="30">
        <v>2.5182284489056268E-8</v>
      </c>
    </row>
    <row r="657" spans="1:1" x14ac:dyDescent="0.25">
      <c r="A657" s="30">
        <v>2.3923170264603454E-8</v>
      </c>
    </row>
    <row r="658" spans="1:1" x14ac:dyDescent="0.25">
      <c r="A658" s="30">
        <v>2.2727011751373281E-8</v>
      </c>
    </row>
    <row r="659" spans="1:1" x14ac:dyDescent="0.25">
      <c r="A659" s="30">
        <v>2.1590661163804617E-8</v>
      </c>
    </row>
    <row r="660" spans="1:1" x14ac:dyDescent="0.25">
      <c r="A660" s="30">
        <v>2.0511128105614386E-8</v>
      </c>
    </row>
    <row r="661" spans="1:1" x14ac:dyDescent="0.25">
      <c r="A661" s="30">
        <v>1.9485571700333666E-8</v>
      </c>
    </row>
    <row r="662" spans="1:1" x14ac:dyDescent="0.25">
      <c r="A662" s="30">
        <v>1.8511293115316981E-8</v>
      </c>
    </row>
    <row r="663" spans="1:1" x14ac:dyDescent="0.25">
      <c r="A663" s="30">
        <v>1.758572845955113E-8</v>
      </c>
    </row>
    <row r="664" spans="1:1" x14ac:dyDescent="0.25">
      <c r="A664" s="30">
        <v>1.6706442036573572E-8</v>
      </c>
    </row>
    <row r="665" spans="1:1" x14ac:dyDescent="0.25">
      <c r="A665" s="30">
        <v>1.5871119934744892E-8</v>
      </c>
    </row>
    <row r="666" spans="1:1" x14ac:dyDescent="0.25">
      <c r="A666" s="30">
        <v>1.5077563938007645E-8</v>
      </c>
    </row>
    <row r="667" spans="1:1" x14ac:dyDescent="0.25">
      <c r="A667" s="30">
        <v>1.4323685741107262E-8</v>
      </c>
    </row>
    <row r="668" spans="1:1" x14ac:dyDescent="0.25">
      <c r="A668" s="30">
        <v>1.3607501454051899E-8</v>
      </c>
    </row>
    <row r="669" spans="1:1" x14ac:dyDescent="0.25">
      <c r="A669" s="30">
        <v>1.2927126381349303E-8</v>
      </c>
    </row>
    <row r="670" spans="1:1" x14ac:dyDescent="0.25">
      <c r="A670" s="30">
        <v>1.2280770062281838E-8</v>
      </c>
    </row>
    <row r="671" spans="1:1" x14ac:dyDescent="0.25">
      <c r="A671" s="30">
        <v>1.1666731559167746E-8</v>
      </c>
    </row>
    <row r="672" spans="1:1" x14ac:dyDescent="0.25">
      <c r="A672" s="30">
        <v>1.1083394981209357E-8</v>
      </c>
    </row>
    <row r="673" spans="1:1" x14ac:dyDescent="0.25">
      <c r="A673" s="30">
        <v>1.0529225232148889E-8</v>
      </c>
    </row>
    <row r="674" spans="1:1" x14ac:dyDescent="0.25">
      <c r="A674" s="30">
        <v>1.0002763970541444E-8</v>
      </c>
    </row>
    <row r="675" spans="1:1" x14ac:dyDescent="0.25">
      <c r="A675" s="30">
        <v>9.5026257720143712E-9</v>
      </c>
    </row>
    <row r="676" spans="1:1" x14ac:dyDescent="0.25">
      <c r="A676" s="30">
        <v>9.0274944834136515E-9</v>
      </c>
    </row>
    <row r="677" spans="1:1" x14ac:dyDescent="0.25">
      <c r="A677" s="30">
        <v>8.5761197592429686E-9</v>
      </c>
    </row>
    <row r="678" spans="1:1" x14ac:dyDescent="0.25">
      <c r="A678" s="30">
        <v>8.1473137712808194E-9</v>
      </c>
    </row>
    <row r="679" spans="1:1" x14ac:dyDescent="0.25">
      <c r="A679" s="30">
        <v>7.7399480827167776E-9</v>
      </c>
    </row>
    <row r="680" spans="1:1" x14ac:dyDescent="0.25">
      <c r="A680" s="30">
        <v>7.3529506785809386E-9</v>
      </c>
    </row>
    <row r="681" spans="1:1" x14ac:dyDescent="0.25">
      <c r="A681" s="30">
        <v>6.9853031446518911E-9</v>
      </c>
    </row>
    <row r="682" spans="1:1" x14ac:dyDescent="0.25">
      <c r="A682" s="30">
        <v>6.6360379874192963E-9</v>
      </c>
    </row>
    <row r="683" spans="1:1" x14ac:dyDescent="0.25">
      <c r="A683" s="30">
        <v>6.3042360880483309E-9</v>
      </c>
    </row>
    <row r="684" spans="1:1" x14ac:dyDescent="0.25">
      <c r="A684" s="30">
        <v>5.989024283645914E-9</v>
      </c>
    </row>
    <row r="685" spans="1:1" x14ac:dyDescent="0.25">
      <c r="A685" s="30">
        <v>5.6895730694636181E-9</v>
      </c>
    </row>
    <row r="686" spans="1:1" x14ac:dyDescent="0.25">
      <c r="A686" s="30">
        <v>5.4050944159904366E-9</v>
      </c>
    </row>
    <row r="687" spans="1:1" x14ac:dyDescent="0.25">
      <c r="A687" s="30">
        <v>5.1348396951909145E-9</v>
      </c>
    </row>
    <row r="688" spans="1:1" x14ac:dyDescent="0.25">
      <c r="A688" s="30">
        <v>4.8780977104313684E-9</v>
      </c>
    </row>
    <row r="689" spans="1:1" x14ac:dyDescent="0.25">
      <c r="A689" s="30">
        <v>4.6341928249097994E-9</v>
      </c>
    </row>
    <row r="690" spans="1:1" x14ac:dyDescent="0.25">
      <c r="A690" s="30">
        <v>4.4024831836643092E-9</v>
      </c>
    </row>
    <row r="691" spans="1:1" x14ac:dyDescent="0.25">
      <c r="A691" s="30">
        <v>4.1823590244810936E-9</v>
      </c>
    </row>
    <row r="692" spans="1:1" x14ac:dyDescent="0.25">
      <c r="A692" s="30">
        <v>3.9732410732570384E-9</v>
      </c>
    </row>
    <row r="693" spans="1:1" x14ac:dyDescent="0.25">
      <c r="A693" s="30">
        <v>3.7745790195941862E-9</v>
      </c>
    </row>
    <row r="694" spans="1:1" x14ac:dyDescent="0.25">
      <c r="A694" s="30">
        <v>3.5858500686144767E-9</v>
      </c>
    </row>
    <row r="695" spans="1:1" x14ac:dyDescent="0.25">
      <c r="A695" s="30">
        <v>3.4065575651837529E-9</v>
      </c>
    </row>
    <row r="696" spans="1:1" x14ac:dyDescent="0.25">
      <c r="A696" s="30">
        <v>3.236229686924565E-9</v>
      </c>
    </row>
    <row r="697" spans="1:1" x14ac:dyDescent="0.25">
      <c r="A697" s="30">
        <v>3.0744182025783365E-9</v>
      </c>
    </row>
    <row r="698" spans="1:1" x14ac:dyDescent="0.25">
      <c r="A698" s="30">
        <v>2.9206972924494197E-9</v>
      </c>
    </row>
    <row r="699" spans="1:1" x14ac:dyDescent="0.25">
      <c r="A699" s="30">
        <v>2.7746624278269484E-9</v>
      </c>
    </row>
    <row r="700" spans="1:1" x14ac:dyDescent="0.25">
      <c r="A700" s="30">
        <v>2.635929306435601E-9</v>
      </c>
    </row>
    <row r="701" spans="1:1" x14ac:dyDescent="0.25">
      <c r="A701" s="30">
        <v>2.504132841113821E-9</v>
      </c>
    </row>
    <row r="702" spans="1:1" x14ac:dyDescent="0.25">
      <c r="A702" s="30">
        <v>2.3789261990581298E-9</v>
      </c>
    </row>
    <row r="703" spans="1:1" x14ac:dyDescent="0.25">
      <c r="A703" s="30">
        <v>2.259979889105223E-9</v>
      </c>
    </row>
    <row r="704" spans="1:1" x14ac:dyDescent="0.25">
      <c r="A704" s="30">
        <v>2.1469808946499619E-9</v>
      </c>
    </row>
    <row r="705" spans="1:1" x14ac:dyDescent="0.25">
      <c r="A705" s="30">
        <v>2.0396318499174636E-9</v>
      </c>
    </row>
    <row r="706" spans="1:1" x14ac:dyDescent="0.25">
      <c r="A706" s="30">
        <v>1.9376502574215905E-9</v>
      </c>
    </row>
    <row r="707" spans="1:1" x14ac:dyDescent="0.25">
      <c r="A707" s="30">
        <v>1.8407677445505109E-9</v>
      </c>
    </row>
    <row r="708" spans="1:1" x14ac:dyDescent="0.25">
      <c r="A708" s="30">
        <v>1.7487293573229853E-9</v>
      </c>
    </row>
    <row r="709" spans="1:1" x14ac:dyDescent="0.25">
      <c r="A709" s="30">
        <v>1.661292889456836E-9</v>
      </c>
    </row>
    <row r="710" spans="1:1" x14ac:dyDescent="0.25">
      <c r="A710" s="30">
        <v>1.578228244983994E-9</v>
      </c>
    </row>
    <row r="711" spans="1:1" x14ac:dyDescent="0.25">
      <c r="A711" s="30">
        <v>1.4993168327347942E-9</v>
      </c>
    </row>
    <row r="712" spans="1:1" x14ac:dyDescent="0.25">
      <c r="A712" s="30">
        <v>1.4243509910980544E-9</v>
      </c>
    </row>
    <row r="713" spans="1:1" x14ac:dyDescent="0.25">
      <c r="A713" s="30">
        <v>1.3531334415431516E-9</v>
      </c>
    </row>
    <row r="714" spans="1:1" x14ac:dyDescent="0.25">
      <c r="A714" s="30">
        <v>1.285476769465994E-9</v>
      </c>
    </row>
    <row r="715" spans="1:1" x14ac:dyDescent="0.25">
      <c r="A715" s="30">
        <v>1.2212029309926942E-9</v>
      </c>
    </row>
    <row r="716" spans="1:1" x14ac:dyDescent="0.25">
      <c r="A716" s="30">
        <v>1.1601427844430595E-9</v>
      </c>
    </row>
    <row r="717" spans="1:1" x14ac:dyDescent="0.25">
      <c r="A717" s="30">
        <v>1.1021356452209065E-9</v>
      </c>
    </row>
    <row r="718" spans="1:1" x14ac:dyDescent="0.25">
      <c r="A718" s="30">
        <v>1.047028862959861E-9</v>
      </c>
    </row>
    <row r="719" spans="1:1" x14ac:dyDescent="0.25">
      <c r="A719" s="30">
        <v>9.9467741981186791E-10</v>
      </c>
    </row>
    <row r="720" spans="1:1" x14ac:dyDescent="0.25">
      <c r="A720" s="30">
        <v>9.4494354882127439E-10</v>
      </c>
    </row>
    <row r="721" spans="1:1" x14ac:dyDescent="0.25">
      <c r="A721" s="30">
        <v>8.9769637138021059E-10</v>
      </c>
    </row>
    <row r="722" spans="1:1" x14ac:dyDescent="0.25">
      <c r="A722" s="30">
        <v>8.5281155281120004E-10</v>
      </c>
    </row>
    <row r="723" spans="1:1" x14ac:dyDescent="0.25">
      <c r="A723" s="30">
        <v>8.1017097517064003E-10</v>
      </c>
    </row>
    <row r="724" spans="1:1" x14ac:dyDescent="0.25">
      <c r="A724" s="30">
        <v>7.69662426412108E-10</v>
      </c>
    </row>
    <row r="725" spans="1:1" x14ac:dyDescent="0.25">
      <c r="A725" s="30">
        <v>7.3117930509150257E-10</v>
      </c>
    </row>
    <row r="726" spans="1:1" x14ac:dyDescent="0.25">
      <c r="A726" s="30">
        <v>6.9462033983692743E-10</v>
      </c>
    </row>
    <row r="727" spans="1:1" x14ac:dyDescent="0.25">
      <c r="A727" s="30">
        <v>6.5988932284508105E-10</v>
      </c>
    </row>
    <row r="728" spans="1:1" x14ac:dyDescent="0.25">
      <c r="A728" s="30">
        <v>6.2689485670282699E-10</v>
      </c>
    </row>
    <row r="729" spans="1:1" x14ac:dyDescent="0.25">
      <c r="A729" s="30">
        <v>5.9555011386768556E-10</v>
      </c>
    </row>
    <row r="730" spans="1:1" x14ac:dyDescent="0.25">
      <c r="A730" s="30">
        <v>5.6577260817430128E-10</v>
      </c>
    </row>
    <row r="731" spans="1:1" x14ac:dyDescent="0.25">
      <c r="A731" s="30">
        <v>5.3748397776558616E-10</v>
      </c>
    </row>
    <row r="732" spans="1:1" x14ac:dyDescent="0.25">
      <c r="A732" s="30">
        <v>5.1060977887730685E-10</v>
      </c>
    </row>
    <row r="733" spans="1:1" x14ac:dyDescent="0.25">
      <c r="A733" s="30">
        <v>4.8507928993344152E-10</v>
      </c>
    </row>
    <row r="734" spans="1:1" x14ac:dyDescent="0.25">
      <c r="A734" s="30">
        <v>4.6082532543676942E-10</v>
      </c>
    </row>
    <row r="735" spans="1:1" x14ac:dyDescent="0.25">
      <c r="A735" s="30">
        <v>4.3778405916493093E-10</v>
      </c>
    </row>
    <row r="736" spans="1:1" x14ac:dyDescent="0.25">
      <c r="A736" s="30">
        <v>4.1589485620668437E-10</v>
      </c>
    </row>
    <row r="737" spans="1:1" x14ac:dyDescent="0.25">
      <c r="A737" s="30">
        <v>3.9510011339635012E-10</v>
      </c>
    </row>
    <row r="738" spans="1:1" x14ac:dyDescent="0.25">
      <c r="A738" s="30">
        <v>3.7534510772653259E-10</v>
      </c>
    </row>
    <row r="739" spans="1:1" x14ac:dyDescent="0.25">
      <c r="A739" s="30">
        <v>3.5657785234020594E-10</v>
      </c>
    </row>
    <row r="740" spans="1:1" x14ac:dyDescent="0.25">
      <c r="A740" s="30">
        <v>3.3874895972319565E-10</v>
      </c>
    </row>
    <row r="741" spans="1:1" x14ac:dyDescent="0.25">
      <c r="A741" s="30">
        <v>3.2181151173703586E-10</v>
      </c>
    </row>
    <row r="742" spans="1:1" x14ac:dyDescent="0.25">
      <c r="A742" s="30">
        <v>3.0572093615018408E-10</v>
      </c>
    </row>
    <row r="743" spans="1:1" x14ac:dyDescent="0.25">
      <c r="A743" s="30">
        <v>2.9043488934267484E-10</v>
      </c>
    </row>
    <row r="744" spans="1:1" x14ac:dyDescent="0.25">
      <c r="A744" s="30">
        <v>2.7591314487554109E-10</v>
      </c>
    </row>
    <row r="745" spans="1:1" x14ac:dyDescent="0.25">
      <c r="A745" s="30">
        <v>2.6211748763176403E-10</v>
      </c>
    </row>
    <row r="746" spans="1:1" x14ac:dyDescent="0.25">
      <c r="A746" s="30">
        <v>2.4901161325017583E-10</v>
      </c>
    </row>
    <row r="747" spans="1:1" x14ac:dyDescent="0.25">
      <c r="A747" s="30">
        <v>2.3656103258766704E-10</v>
      </c>
    </row>
    <row r="748" spans="1:1" x14ac:dyDescent="0.25">
      <c r="A748" s="30">
        <v>2.2473298095828367E-10</v>
      </c>
    </row>
    <row r="749" spans="1:1" x14ac:dyDescent="0.25">
      <c r="A749" s="30">
        <v>2.1349633191036949E-10</v>
      </c>
    </row>
    <row r="750" spans="1:1" x14ac:dyDescent="0.25">
      <c r="A750" s="30">
        <v>2.02821515314851E-10</v>
      </c>
    </row>
    <row r="751" spans="1:1" x14ac:dyDescent="0.25">
      <c r="A751" s="30">
        <v>1.9268043954910845E-10</v>
      </c>
    </row>
    <row r="752" spans="1:1" x14ac:dyDescent="0.25">
      <c r="A752" s="30">
        <v>1.8304641757165302E-10</v>
      </c>
    </row>
    <row r="753" spans="1:1" x14ac:dyDescent="0.25">
      <c r="A753" s="30">
        <v>1.7389409669307036E-10</v>
      </c>
    </row>
    <row r="754" spans="1:1" x14ac:dyDescent="0.25">
      <c r="A754" s="30">
        <v>1.6519939185841684E-10</v>
      </c>
    </row>
    <row r="755" spans="1:1" x14ac:dyDescent="0.25">
      <c r="A755" s="30">
        <v>1.5693942226549599E-10</v>
      </c>
    </row>
    <row r="756" spans="1:1" x14ac:dyDescent="0.25">
      <c r="A756" s="30">
        <v>1.4909245115222119E-10</v>
      </c>
    </row>
    <row r="757" spans="1:1" x14ac:dyDescent="0.25">
      <c r="A757" s="30">
        <v>1.4163782859461013E-10</v>
      </c>
    </row>
    <row r="758" spans="1:1" x14ac:dyDescent="0.25">
      <c r="A758" s="30">
        <v>1.3455593716487961E-10</v>
      </c>
    </row>
    <row r="759" spans="1:1" x14ac:dyDescent="0.25">
      <c r="A759" s="30">
        <v>1.2782814030663562E-10</v>
      </c>
    </row>
    <row r="760" spans="1:1" x14ac:dyDescent="0.25">
      <c r="A760" s="30">
        <v>1.2143673329130384E-10</v>
      </c>
    </row>
    <row r="761" spans="1:1" x14ac:dyDescent="0.25">
      <c r="A761" s="30">
        <v>1.1536489662673864E-10</v>
      </c>
    </row>
    <row r="762" spans="1:1" x14ac:dyDescent="0.25">
      <c r="A762" s="30">
        <v>1.095966517954017E-10</v>
      </c>
    </row>
    <row r="763" spans="1:1" x14ac:dyDescent="0.25">
      <c r="A763" s="30">
        <v>1.0411681920563161E-10</v>
      </c>
    </row>
    <row r="764" spans="1:1" x14ac:dyDescent="0.25">
      <c r="A764" s="30">
        <v>9.8910978245350022E-11</v>
      </c>
    </row>
    <row r="765" spans="1:1" x14ac:dyDescent="0.25">
      <c r="A765" s="30">
        <v>9.3965429333082514E-11</v>
      </c>
    </row>
    <row r="766" spans="1:1" x14ac:dyDescent="0.25">
      <c r="A766" s="30">
        <v>8.926715786642838E-11</v>
      </c>
    </row>
    <row r="767" spans="1:1" x14ac:dyDescent="0.25">
      <c r="A767" s="30">
        <v>8.4803799973106953E-11</v>
      </c>
    </row>
    <row r="768" spans="1:1" x14ac:dyDescent="0.25">
      <c r="A768" s="30">
        <v>8.0563609974451603E-11</v>
      </c>
    </row>
    <row r="769" spans="1:1" x14ac:dyDescent="0.25">
      <c r="A769" s="30">
        <v>7.6535429475729024E-11</v>
      </c>
    </row>
    <row r="770" spans="1:1" x14ac:dyDescent="0.25">
      <c r="A770" s="30">
        <v>7.270865800194257E-11</v>
      </c>
    </row>
    <row r="771" spans="1:1" x14ac:dyDescent="0.25">
      <c r="A771" s="30">
        <v>6.9073225101845444E-11</v>
      </c>
    </row>
    <row r="772" spans="1:1" x14ac:dyDescent="0.25">
      <c r="A772" s="30">
        <v>6.5619563846753168E-11</v>
      </c>
    </row>
    <row r="773" spans="1:1" x14ac:dyDescent="0.25">
      <c r="A773" s="30">
        <v>6.2338585654415507E-11</v>
      </c>
    </row>
    <row r="774" spans="1:1" x14ac:dyDescent="0.25">
      <c r="A774" s="30">
        <v>5.9221656371694723E-11</v>
      </c>
    </row>
    <row r="775" spans="1:1" x14ac:dyDescent="0.25">
      <c r="A775" s="30">
        <v>5.6260573553109984E-11</v>
      </c>
    </row>
    <row r="776" spans="1:1" x14ac:dyDescent="0.25">
      <c r="A776" s="30">
        <v>5.3447544875454483E-11</v>
      </c>
    </row>
    <row r="777" spans="1:1" x14ac:dyDescent="0.25">
      <c r="A777" s="30">
        <v>5.0775167631681754E-11</v>
      </c>
    </row>
    <row r="778" spans="1:1" x14ac:dyDescent="0.25">
      <c r="A778" s="30">
        <v>4.8236409250097665E-11</v>
      </c>
    </row>
    <row r="779" spans="1:1" x14ac:dyDescent="0.25">
      <c r="A779" s="30">
        <v>4.5824588787592778E-11</v>
      </c>
    </row>
    <row r="780" spans="1:1" x14ac:dyDescent="0.25">
      <c r="A780" s="30">
        <v>4.3533359348213134E-11</v>
      </c>
    </row>
    <row r="781" spans="1:1" x14ac:dyDescent="0.25">
      <c r="A781" s="30">
        <v>4.1356691380802478E-11</v>
      </c>
    </row>
    <row r="782" spans="1:1" x14ac:dyDescent="0.25">
      <c r="A782" s="30">
        <v>3.9288856811762353E-11</v>
      </c>
    </row>
    <row r="783" spans="1:1" x14ac:dyDescent="0.25">
      <c r="A783" s="30">
        <v>3.7324413971174231E-11</v>
      </c>
    </row>
    <row r="784" spans="1:1" x14ac:dyDescent="0.25">
      <c r="A784" s="30">
        <v>3.545819327261552E-11</v>
      </c>
    </row>
    <row r="785" spans="1:1" x14ac:dyDescent="0.25">
      <c r="A785" s="30">
        <v>3.3685283608984745E-11</v>
      </c>
    </row>
    <row r="786" spans="1:1" x14ac:dyDescent="0.25">
      <c r="A786" s="30">
        <v>3.2001019428535508E-11</v>
      </c>
    </row>
    <row r="787" spans="1:1" x14ac:dyDescent="0.25">
      <c r="A787" s="30">
        <v>3.0400968457108733E-11</v>
      </c>
    </row>
    <row r="788" spans="1:1" x14ac:dyDescent="0.25">
      <c r="A788" s="30">
        <v>2.8880920034253296E-11</v>
      </c>
    </row>
    <row r="789" spans="1:1" x14ac:dyDescent="0.25">
      <c r="A789" s="30">
        <v>2.7436874032540629E-11</v>
      </c>
    </row>
    <row r="790" spans="1:1" x14ac:dyDescent="0.25">
      <c r="A790" s="30">
        <v>2.6065030330913595E-11</v>
      </c>
    </row>
    <row r="791" spans="1:1" x14ac:dyDescent="0.25">
      <c r="A791" s="30">
        <v>2.4761778814367914E-11</v>
      </c>
    </row>
    <row r="792" spans="1:1" x14ac:dyDescent="0.25">
      <c r="A792" s="30">
        <v>2.3523689873649516E-11</v>
      </c>
    </row>
    <row r="793" spans="1:1" x14ac:dyDescent="0.25">
      <c r="A793" s="30">
        <v>2.234750537996704E-11</v>
      </c>
    </row>
    <row r="794" spans="1:1" x14ac:dyDescent="0.25">
      <c r="A794" s="30">
        <v>2.1230130110968688E-11</v>
      </c>
    </row>
    <row r="795" spans="1:1" x14ac:dyDescent="0.25">
      <c r="A795" s="30">
        <v>2.0168623605420253E-11</v>
      </c>
    </row>
    <row r="796" spans="1:1" x14ac:dyDescent="0.25">
      <c r="A796" s="30">
        <v>1.916019242514924E-11</v>
      </c>
    </row>
    <row r="797" spans="1:1" x14ac:dyDescent="0.25">
      <c r="A797" s="30">
        <v>1.8202182803891777E-11</v>
      </c>
    </row>
    <row r="798" spans="1:1" x14ac:dyDescent="0.25">
      <c r="A798" s="30">
        <v>1.7292073663697186E-11</v>
      </c>
    </row>
    <row r="799" spans="1:1" x14ac:dyDescent="0.25">
      <c r="A799" s="30">
        <v>1.6427469980512324E-11</v>
      </c>
    </row>
    <row r="800" spans="1:1" x14ac:dyDescent="0.25">
      <c r="A800" s="30">
        <v>1.5606096481486706E-11</v>
      </c>
    </row>
    <row r="801" spans="1:1" x14ac:dyDescent="0.25">
      <c r="A801" s="30">
        <v>1.482579165741237E-11</v>
      </c>
    </row>
    <row r="802" spans="1:1" x14ac:dyDescent="0.25">
      <c r="A802" s="30">
        <v>1.408450207454175E-11</v>
      </c>
    </row>
    <row r="803" spans="1:1" x14ac:dyDescent="0.25">
      <c r="A803" s="30">
        <v>1.3380276970814662E-11</v>
      </c>
    </row>
    <row r="804" spans="1:1" x14ac:dyDescent="0.25">
      <c r="A804" s="30">
        <v>1.2711263122273928E-11</v>
      </c>
    </row>
    <row r="805" spans="1:1" x14ac:dyDescent="0.25">
      <c r="A805" s="30">
        <v>1.2075699966160231E-11</v>
      </c>
    </row>
    <row r="806" spans="1:1" x14ac:dyDescent="0.25">
      <c r="A806" s="30">
        <v>1.1471914967852219E-11</v>
      </c>
    </row>
    <row r="807" spans="1:1" x14ac:dyDescent="0.25">
      <c r="A807" s="30">
        <v>1.0898319219459608E-11</v>
      </c>
    </row>
    <row r="808" spans="1:1" x14ac:dyDescent="0.25">
      <c r="A808" s="30">
        <v>1.0353403258486628E-11</v>
      </c>
    </row>
    <row r="809" spans="1:1" x14ac:dyDescent="0.25">
      <c r="A809" s="30">
        <v>9.8357330955622963E-12</v>
      </c>
    </row>
    <row r="810" spans="1:1" x14ac:dyDescent="0.25">
      <c r="A810" s="30">
        <v>9.3439464407841808E-12</v>
      </c>
    </row>
    <row r="811" spans="1:1" x14ac:dyDescent="0.25">
      <c r="A811" s="30">
        <v>8.8767491187449709E-12</v>
      </c>
    </row>
    <row r="812" spans="1:1" x14ac:dyDescent="0.25">
      <c r="A812" s="30">
        <v>8.4329116628077213E-12</v>
      </c>
    </row>
    <row r="813" spans="1:1" x14ac:dyDescent="0.25">
      <c r="A813" s="30">
        <v>8.0112660796673341E-12</v>
      </c>
    </row>
    <row r="814" spans="1:1" x14ac:dyDescent="0.25">
      <c r="A814" s="30">
        <v>7.6107027756839663E-12</v>
      </c>
    </row>
    <row r="815" spans="1:1" x14ac:dyDescent="0.25">
      <c r="A815" s="30">
        <v>7.2301676368997673E-12</v>
      </c>
    </row>
    <row r="816" spans="1:1" x14ac:dyDescent="0.25">
      <c r="A816" s="30">
        <v>6.8686592550547782E-12</v>
      </c>
    </row>
    <row r="817" spans="1:1" x14ac:dyDescent="0.25">
      <c r="A817" s="30">
        <v>6.5252262923020387E-12</v>
      </c>
    </row>
    <row r="818" spans="1:1" x14ac:dyDescent="0.25">
      <c r="A818" s="30">
        <v>6.1989649776869368E-12</v>
      </c>
    </row>
    <row r="819" spans="1:1" x14ac:dyDescent="0.25">
      <c r="A819" s="30">
        <v>5.8890167288025901E-12</v>
      </c>
    </row>
    <row r="820" spans="1:1" x14ac:dyDescent="0.25">
      <c r="A820" s="30">
        <v>5.5945658923624606E-12</v>
      </c>
    </row>
    <row r="821" spans="1:1" x14ac:dyDescent="0.25">
      <c r="A821" s="30">
        <v>5.3148375977443373E-12</v>
      </c>
    </row>
    <row r="822" spans="1:1" x14ac:dyDescent="0.25">
      <c r="A822" s="30">
        <v>5.0490957178571204E-12</v>
      </c>
    </row>
    <row r="823" spans="1:1" x14ac:dyDescent="0.25">
      <c r="A823" s="30">
        <v>4.796640931964264E-12</v>
      </c>
    </row>
    <row r="824" spans="1:1" x14ac:dyDescent="0.25">
      <c r="A824" s="30">
        <v>4.5568088853660509E-12</v>
      </c>
    </row>
    <row r="825" spans="1:1" x14ac:dyDescent="0.25">
      <c r="A825" s="30">
        <v>4.3289684410977484E-12</v>
      </c>
    </row>
    <row r="826" spans="1:1" x14ac:dyDescent="0.25">
      <c r="A826" s="30">
        <v>4.1125200190428609E-12</v>
      </c>
    </row>
    <row r="827" spans="1:1" x14ac:dyDescent="0.25">
      <c r="A827" s="30">
        <v>3.9068940180907175E-12</v>
      </c>
    </row>
    <row r="828" spans="1:1" x14ac:dyDescent="0.25">
      <c r="A828" s="30">
        <v>3.7115493171861816E-12</v>
      </c>
    </row>
    <row r="829" spans="1:1" x14ac:dyDescent="0.25">
      <c r="A829" s="30">
        <v>3.5259718513268725E-12</v>
      </c>
    </row>
    <row r="830" spans="1:1" x14ac:dyDescent="0.25">
      <c r="A830" s="30">
        <v>3.3496732587605286E-12</v>
      </c>
    </row>
    <row r="831" spans="1:1" x14ac:dyDescent="0.25">
      <c r="A831" s="30">
        <v>3.182189595822502E-12</v>
      </c>
    </row>
    <row r="832" spans="1:1" x14ac:dyDescent="0.25">
      <c r="A832" s="30">
        <v>3.0230801160313768E-12</v>
      </c>
    </row>
    <row r="833" spans="1:1" x14ac:dyDescent="0.25">
      <c r="A833" s="30">
        <v>2.8719261102298077E-12</v>
      </c>
    </row>
    <row r="834" spans="1:1" x14ac:dyDescent="0.25">
      <c r="A834" s="30">
        <v>2.7283298047183172E-12</v>
      </c>
    </row>
    <row r="835" spans="1:1" x14ac:dyDescent="0.25">
      <c r="A835" s="30">
        <v>2.5919133144824012E-12</v>
      </c>
    </row>
    <row r="836" spans="1:1" x14ac:dyDescent="0.25">
      <c r="A836" s="30">
        <v>2.4623176487582809E-12</v>
      </c>
    </row>
    <row r="837" spans="1:1" x14ac:dyDescent="0.25">
      <c r="A837" s="30">
        <v>2.339201766320367E-12</v>
      </c>
    </row>
    <row r="838" spans="1:1" x14ac:dyDescent="0.25">
      <c r="A838" s="30">
        <v>2.2222416780043484E-12</v>
      </c>
    </row>
    <row r="839" spans="1:1" x14ac:dyDescent="0.25">
      <c r="A839" s="30">
        <v>2.1111295941041311E-12</v>
      </c>
    </row>
    <row r="840" spans="1:1" x14ac:dyDescent="0.25">
      <c r="A840" s="30">
        <v>2.0055731143989244E-12</v>
      </c>
    </row>
    <row r="841" spans="1:1" x14ac:dyDescent="0.25">
      <c r="A841" s="30">
        <v>1.9052944586789781E-12</v>
      </c>
    </row>
    <row r="842" spans="1:1" x14ac:dyDescent="0.25">
      <c r="A842" s="30">
        <v>1.8100297357450291E-12</v>
      </c>
    </row>
    <row r="843" spans="1:1" x14ac:dyDescent="0.25">
      <c r="A843" s="30">
        <v>1.7195282489577775E-12</v>
      </c>
    </row>
    <row r="844" spans="1:1" x14ac:dyDescent="0.25">
      <c r="A844" s="30">
        <v>1.6335518365098885E-12</v>
      </c>
    </row>
    <row r="845" spans="1:1" x14ac:dyDescent="0.25">
      <c r="A845" s="30">
        <v>1.551874244684394E-12</v>
      </c>
    </row>
    <row r="846" spans="1:1" x14ac:dyDescent="0.25">
      <c r="A846" s="30">
        <v>1.4742805324501742E-12</v>
      </c>
    </row>
    <row r="847" spans="1:1" x14ac:dyDescent="0.25">
      <c r="A847" s="30">
        <v>1.4005665058276655E-12</v>
      </c>
    </row>
    <row r="848" spans="1:1" x14ac:dyDescent="0.25">
      <c r="A848" s="30">
        <v>1.3305381805362821E-12</v>
      </c>
    </row>
    <row r="849" spans="1:1" x14ac:dyDescent="0.25">
      <c r="A849" s="30">
        <v>1.264011271509468E-12</v>
      </c>
    </row>
    <row r="850" spans="1:1" x14ac:dyDescent="0.25">
      <c r="A850" s="30">
        <v>1.2008107079339945E-12</v>
      </c>
    </row>
    <row r="851" spans="1:1" x14ac:dyDescent="0.25">
      <c r="A851" s="30">
        <v>1.1407701725372948E-12</v>
      </c>
    </row>
    <row r="852" spans="1:1" x14ac:dyDescent="0.25">
      <c r="A852" s="30">
        <v>1.08373166391043E-12</v>
      </c>
    </row>
    <row r="853" spans="1:1" x14ac:dyDescent="0.25">
      <c r="A853" s="30">
        <v>1.0295450807149084E-12</v>
      </c>
    </row>
    <row r="854" spans="1:1" x14ac:dyDescent="0.25">
      <c r="A854" s="30">
        <v>9.7806782667916296E-13</v>
      </c>
    </row>
    <row r="855" spans="1:1" x14ac:dyDescent="0.25">
      <c r="A855" s="30">
        <v>9.2916443534520479E-13</v>
      </c>
    </row>
    <row r="856" spans="1:1" x14ac:dyDescent="0.25">
      <c r="A856" s="30">
        <v>8.8270621357794449E-13</v>
      </c>
    </row>
    <row r="857" spans="1:1" x14ac:dyDescent="0.25">
      <c r="A857" s="30">
        <v>8.3857090289904726E-13</v>
      </c>
    </row>
    <row r="858" spans="1:1" x14ac:dyDescent="0.25">
      <c r="A858" s="30">
        <v>7.9664235775409483E-13</v>
      </c>
    </row>
    <row r="859" spans="1:1" x14ac:dyDescent="0.25">
      <c r="A859" s="30">
        <v>7.5681023986639008E-13</v>
      </c>
    </row>
    <row r="860" spans="1:1" x14ac:dyDescent="0.25">
      <c r="A860" s="30">
        <v>7.1896972787307055E-13</v>
      </c>
    </row>
    <row r="861" spans="1:1" x14ac:dyDescent="0.25">
      <c r="A861" s="30">
        <v>6.8302124147941695E-13</v>
      </c>
    </row>
    <row r="862" spans="1:1" x14ac:dyDescent="0.25">
      <c r="A862" s="30">
        <v>6.4887017940544605E-13</v>
      </c>
    </row>
    <row r="863" spans="1:1" x14ac:dyDescent="0.25">
      <c r="A863" s="30">
        <v>6.1642667043517373E-13</v>
      </c>
    </row>
    <row r="864" spans="1:1" x14ac:dyDescent="0.25">
      <c r="A864" s="30">
        <v>5.8560533691341505E-13</v>
      </c>
    </row>
    <row r="865" spans="1:1" x14ac:dyDescent="0.25">
      <c r="A865" s="30">
        <v>5.5632507006774425E-13</v>
      </c>
    </row>
    <row r="866" spans="1:1" x14ac:dyDescent="0.25">
      <c r="A866" s="30">
        <v>5.2850881656435705E-13</v>
      </c>
    </row>
    <row r="867" spans="1:1" x14ac:dyDescent="0.25">
      <c r="A867" s="30">
        <v>5.0208337573613919E-13</v>
      </c>
    </row>
    <row r="868" spans="1:1" x14ac:dyDescent="0.25">
      <c r="A868" s="30">
        <v>4.7697920694933223E-13</v>
      </c>
    </row>
    <row r="869" spans="1:1" x14ac:dyDescent="0.25">
      <c r="A869" s="30">
        <v>4.5313024660186561E-13</v>
      </c>
    </row>
    <row r="870" spans="1:1" x14ac:dyDescent="0.25">
      <c r="A870" s="30">
        <v>4.3047373427177233E-13</v>
      </c>
    </row>
    <row r="871" spans="1:1" x14ac:dyDescent="0.25">
      <c r="A871" s="30">
        <v>4.089500475581837E-13</v>
      </c>
    </row>
    <row r="872" spans="1:1" x14ac:dyDescent="0.25">
      <c r="A872" s="30">
        <v>3.8850254518027451E-13</v>
      </c>
    </row>
    <row r="873" spans="1:1" x14ac:dyDescent="0.25">
      <c r="A873" s="30">
        <v>3.6907741792126075E-13</v>
      </c>
    </row>
    <row r="874" spans="1:1" x14ac:dyDescent="0.25">
      <c r="A874" s="30">
        <v>3.506235470251977E-13</v>
      </c>
    </row>
    <row r="875" spans="1:1" x14ac:dyDescent="0.25">
      <c r="A875" s="30">
        <v>3.3309236967393782E-13</v>
      </c>
    </row>
  </sheetData>
  <conditionalFormatting sqref="C136">
    <cfRule type="cellIs" dxfId="68" priority="669" operator="equal">
      <formula>$U$1</formula>
    </cfRule>
    <cfRule type="cellIs" dxfId="67" priority="670" operator="equal">
      <formula>$S$1</formula>
    </cfRule>
  </conditionalFormatting>
  <conditionalFormatting sqref="D136">
    <cfRule type="cellIs" dxfId="66" priority="667" operator="equal">
      <formula>$S$1</formula>
    </cfRule>
    <cfRule type="cellIs" dxfId="65" priority="668" operator="equal">
      <formula>$U$1</formula>
    </cfRule>
  </conditionalFormatting>
  <conditionalFormatting sqref="C162">
    <cfRule type="cellIs" dxfId="64" priority="665" operator="equal">
      <formula>$U$1</formula>
    </cfRule>
    <cfRule type="cellIs" dxfId="63" priority="666" operator="equal">
      <formula>$S$1</formula>
    </cfRule>
  </conditionalFormatting>
  <conditionalFormatting sqref="D162">
    <cfRule type="cellIs" dxfId="62" priority="663" operator="equal">
      <formula>$S$1</formula>
    </cfRule>
    <cfRule type="cellIs" dxfId="61" priority="664" operator="equal">
      <formula>$U$1</formula>
    </cfRule>
  </conditionalFormatting>
  <conditionalFormatting sqref="C187">
    <cfRule type="cellIs" dxfId="60" priority="661" operator="equal">
      <formula>$U$1</formula>
    </cfRule>
    <cfRule type="cellIs" dxfId="59" priority="662" operator="equal">
      <formula>$S$1</formula>
    </cfRule>
  </conditionalFormatting>
  <conditionalFormatting sqref="D187">
    <cfRule type="cellIs" dxfId="58" priority="659" operator="equal">
      <formula>$S$1</formula>
    </cfRule>
    <cfRule type="cellIs" dxfId="57" priority="660" operator="equal">
      <formula>$U$1</formula>
    </cfRule>
  </conditionalFormatting>
  <conditionalFormatting sqref="C212">
    <cfRule type="cellIs" dxfId="56" priority="657" operator="equal">
      <formula>$U$1</formula>
    </cfRule>
    <cfRule type="cellIs" dxfId="55" priority="658" operator="equal">
      <formula>$S$1</formula>
    </cfRule>
  </conditionalFormatting>
  <conditionalFormatting sqref="D212">
    <cfRule type="cellIs" dxfId="54" priority="655" operator="equal">
      <formula>$S$1</formula>
    </cfRule>
    <cfRule type="cellIs" dxfId="53" priority="656" operator="equal">
      <formula>$U$1</formula>
    </cfRule>
  </conditionalFormatting>
  <conditionalFormatting sqref="C237">
    <cfRule type="cellIs" dxfId="52" priority="653" operator="equal">
      <formula>$U$1</formula>
    </cfRule>
    <cfRule type="cellIs" dxfId="51" priority="654" operator="equal">
      <formula>$S$1</formula>
    </cfRule>
  </conditionalFormatting>
  <conditionalFormatting sqref="D237">
    <cfRule type="cellIs" dxfId="50" priority="651" operator="equal">
      <formula>$S$1</formula>
    </cfRule>
    <cfRule type="cellIs" dxfId="49" priority="652" operator="equal">
      <formula>$U$1</formula>
    </cfRule>
  </conditionalFormatting>
  <conditionalFormatting sqref="C106">
    <cfRule type="cellIs" dxfId="48" priority="649" operator="equal">
      <formula>$U$1</formula>
    </cfRule>
    <cfRule type="cellIs" dxfId="47" priority="650" operator="equal">
      <formula>$S$1</formula>
    </cfRule>
  </conditionalFormatting>
  <conditionalFormatting sqref="D106">
    <cfRule type="cellIs" dxfId="46" priority="647" operator="equal">
      <formula>$S$1</formula>
    </cfRule>
    <cfRule type="cellIs" dxfId="45" priority="648" operator="equal">
      <formula>$U$1</formula>
    </cfRule>
  </conditionalFormatting>
  <conditionalFormatting sqref="C81">
    <cfRule type="cellIs" dxfId="44" priority="645" operator="equal">
      <formula>$U$1</formula>
    </cfRule>
    <cfRule type="cellIs" dxfId="43" priority="646" operator="equal">
      <formula>$S$1</formula>
    </cfRule>
  </conditionalFormatting>
  <conditionalFormatting sqref="D81">
    <cfRule type="cellIs" dxfId="42" priority="643" operator="equal">
      <formula>$S$1</formula>
    </cfRule>
    <cfRule type="cellIs" dxfId="41" priority="644" operator="equal">
      <formula>$U$1</formula>
    </cfRule>
  </conditionalFormatting>
  <conditionalFormatting sqref="C56">
    <cfRule type="cellIs" dxfId="40" priority="641" operator="equal">
      <formula>$U$1</formula>
    </cfRule>
    <cfRule type="cellIs" dxfId="39" priority="642" operator="equal">
      <formula>$S$1</formula>
    </cfRule>
  </conditionalFormatting>
  <conditionalFormatting sqref="D56">
    <cfRule type="cellIs" dxfId="38" priority="639" operator="equal">
      <formula>$S$1</formula>
    </cfRule>
    <cfRule type="cellIs" dxfId="37" priority="640" operator="equal">
      <formula>$U$1</formula>
    </cfRule>
  </conditionalFormatting>
  <conditionalFormatting sqref="C31">
    <cfRule type="cellIs" dxfId="36" priority="637" operator="equal">
      <formula>$U$1</formula>
    </cfRule>
    <cfRule type="cellIs" dxfId="35" priority="638" operator="equal">
      <formula>$S$1</formula>
    </cfRule>
  </conditionalFormatting>
  <conditionalFormatting sqref="D31">
    <cfRule type="cellIs" dxfId="34" priority="635" operator="equal">
      <formula>$S$1</formula>
    </cfRule>
    <cfRule type="cellIs" dxfId="33" priority="636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526"/>
  <sheetViews>
    <sheetView topLeftCell="A149" zoomScale="90" zoomScaleNormal="90" workbookViewId="0">
      <pane xSplit="4" topLeftCell="E1" activePane="topRight" state="frozen"/>
      <selection activeCell="A109" sqref="A109"/>
      <selection pane="topRight" activeCell="P173" sqref="P173"/>
    </sheetView>
  </sheetViews>
  <sheetFormatPr defaultRowHeight="15" x14ac:dyDescent="0.25"/>
  <cols>
    <col min="1" max="1" width="11.5703125" style="30" customWidth="1"/>
    <col min="2" max="5" width="11.5703125" style="1" hidden="1" customWidth="1"/>
    <col min="6" max="7" width="11.570312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16">
        <v>2605350.751695944</v>
      </c>
    </row>
    <row r="4" spans="1:21" x14ac:dyDescent="0.25">
      <c r="A4" s="16">
        <v>2368500.6833599489</v>
      </c>
    </row>
    <row r="5" spans="1:21" x14ac:dyDescent="0.25">
      <c r="A5" s="16">
        <v>2153182.4394181352</v>
      </c>
    </row>
    <row r="6" spans="1:21" x14ac:dyDescent="0.25">
      <c r="A6" s="16">
        <v>1957438.5812892136</v>
      </c>
    </row>
    <row r="7" spans="1:21" x14ac:dyDescent="0.25">
      <c r="A7" s="16">
        <v>1779489.6193538303</v>
      </c>
    </row>
    <row r="8" spans="1:21" x14ac:dyDescent="0.25">
      <c r="A8" s="16">
        <v>1617717.8357762094</v>
      </c>
    </row>
    <row r="9" spans="1:21" x14ac:dyDescent="0.25">
      <c r="A9" s="16">
        <v>1470652.5779783721</v>
      </c>
    </row>
    <row r="10" spans="1:21" x14ac:dyDescent="0.25">
      <c r="A10" s="16">
        <v>1336956.8890712473</v>
      </c>
    </row>
    <row r="11" spans="1:21" x14ac:dyDescent="0.25">
      <c r="A11" s="16">
        <v>1215415.3537011337</v>
      </c>
    </row>
    <row r="12" spans="1:21" x14ac:dyDescent="0.25">
      <c r="A12" s="16">
        <v>1104923.0488192125</v>
      </c>
    </row>
    <row r="13" spans="1:21" x14ac:dyDescent="0.25">
      <c r="A13" s="16">
        <v>1004475.4989265567</v>
      </c>
    </row>
    <row r="14" spans="1:21" x14ac:dyDescent="0.25">
      <c r="A14" s="16">
        <v>913159.54447868781</v>
      </c>
    </row>
    <row r="15" spans="1:21" x14ac:dyDescent="0.25">
      <c r="A15" s="16">
        <v>830145.04043517064</v>
      </c>
    </row>
    <row r="16" spans="1:21" x14ac:dyDescent="0.25">
      <c r="A16" s="16">
        <v>754677.30948651873</v>
      </c>
      <c r="C16" s="1" t="s">
        <v>15</v>
      </c>
    </row>
    <row r="17" spans="1:5" x14ac:dyDescent="0.25">
      <c r="A17" s="16">
        <v>686070.28135138063</v>
      </c>
      <c r="C17" s="7">
        <v>0.11167815779424731</v>
      </c>
      <c r="D17"/>
      <c r="E17"/>
    </row>
    <row r="18" spans="1:5" x14ac:dyDescent="0.25">
      <c r="A18" s="16">
        <v>623700.25577398238</v>
      </c>
      <c r="E18"/>
    </row>
    <row r="19" spans="1:5" x14ac:dyDescent="0.25">
      <c r="A19" s="16">
        <v>567000.23252180207</v>
      </c>
      <c r="C19" s="1" t="s">
        <v>11</v>
      </c>
      <c r="D19" s="1" t="s">
        <v>12</v>
      </c>
      <c r="E19"/>
    </row>
    <row r="20" spans="1:5" x14ac:dyDescent="0.25">
      <c r="A20" s="16">
        <v>515454.75683800189</v>
      </c>
      <c r="C20"/>
      <c r="D20"/>
      <c r="E20"/>
    </row>
    <row r="21" spans="1:5" x14ac:dyDescent="0.25">
      <c r="A21" s="16">
        <v>468595.23348909261</v>
      </c>
      <c r="E21"/>
    </row>
    <row r="22" spans="1:5" x14ac:dyDescent="0.25">
      <c r="A22" s="16">
        <v>425995.66680826596</v>
      </c>
      <c r="C22" s="1" t="s">
        <v>13</v>
      </c>
      <c r="E22"/>
    </row>
    <row r="23" spans="1:5" x14ac:dyDescent="0.25">
      <c r="A23" s="16">
        <v>387268.78800751449</v>
      </c>
      <c r="C23" s="1">
        <f>C12</f>
        <v>0</v>
      </c>
      <c r="E23"/>
    </row>
    <row r="24" spans="1:5" x14ac:dyDescent="0.25">
      <c r="A24" s="16">
        <v>352062.53455228586</v>
      </c>
      <c r="C24"/>
      <c r="D24"/>
      <c r="E24"/>
    </row>
    <row r="25" spans="1:5" x14ac:dyDescent="0.25">
      <c r="A25" s="16">
        <v>320056.8495929871</v>
      </c>
      <c r="C25" s="1" t="s">
        <v>14</v>
      </c>
      <c r="E25"/>
    </row>
    <row r="26" spans="1:5" x14ac:dyDescent="0.25">
      <c r="A26" s="16">
        <v>290960.77235726098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16">
        <v>264509.79305205541</v>
      </c>
      <c r="E27"/>
    </row>
    <row r="28" spans="1:5" x14ac:dyDescent="0.25">
      <c r="A28" s="16">
        <v>240463.44822914127</v>
      </c>
      <c r="E28"/>
    </row>
    <row r="29" spans="1:5" x14ac:dyDescent="0.25">
      <c r="A29" s="16">
        <v>218603.13475376478</v>
      </c>
      <c r="E29"/>
    </row>
    <row r="30" spans="1:5" x14ac:dyDescent="0.25">
      <c r="A30" s="16">
        <v>198730.12250342252</v>
      </c>
      <c r="E30"/>
    </row>
    <row r="31" spans="1:5" x14ac:dyDescent="0.25">
      <c r="A31" s="16">
        <v>180663.74773038409</v>
      </c>
      <c r="E31"/>
    </row>
    <row r="32" spans="1:5" x14ac:dyDescent="0.25">
      <c r="A32" s="16">
        <v>164239.77066398552</v>
      </c>
      <c r="E32"/>
    </row>
    <row r="33" spans="1:5" x14ac:dyDescent="0.25">
      <c r="A33" s="16">
        <v>149308.882421805</v>
      </c>
      <c r="E33"/>
    </row>
    <row r="34" spans="1:5" x14ac:dyDescent="0.25">
      <c r="A34" s="16">
        <v>135735.34765618635</v>
      </c>
      <c r="E34"/>
    </row>
    <row r="35" spans="1:5" x14ac:dyDescent="0.25">
      <c r="A35" s="16">
        <v>123395.77059653302</v>
      </c>
      <c r="E35"/>
    </row>
    <row r="36" spans="1:5" x14ac:dyDescent="0.25">
      <c r="A36" s="16">
        <v>112177.97326957546</v>
      </c>
      <c r="E36"/>
    </row>
    <row r="37" spans="1:5" x14ac:dyDescent="0.25">
      <c r="A37" s="16">
        <v>101979.97569961405</v>
      </c>
      <c r="E37"/>
    </row>
    <row r="38" spans="1:5" x14ac:dyDescent="0.25">
      <c r="A38" s="16">
        <v>92709.06881783095</v>
      </c>
      <c r="E38"/>
    </row>
    <row r="39" spans="1:5" x14ac:dyDescent="0.25">
      <c r="A39" s="16">
        <v>84280.971652573586</v>
      </c>
      <c r="E39"/>
    </row>
    <row r="40" spans="1:5" x14ac:dyDescent="0.25">
      <c r="A40" s="30">
        <v>76619.065138703256</v>
      </c>
      <c r="E40"/>
    </row>
    <row r="41" spans="1:5" x14ac:dyDescent="0.25">
      <c r="A41" s="30">
        <v>69653.695580639323</v>
      </c>
      <c r="E41"/>
    </row>
    <row r="42" spans="1:5" x14ac:dyDescent="0.25">
      <c r="A42" s="30">
        <v>63321.541436944834</v>
      </c>
      <c r="C42" s="1" t="s">
        <v>15</v>
      </c>
      <c r="E42"/>
    </row>
    <row r="43" spans="1:5" x14ac:dyDescent="0.25">
      <c r="A43" s="30">
        <v>57565.037669949845</v>
      </c>
      <c r="C43" s="7">
        <v>0.11167815779424731</v>
      </c>
      <c r="D43"/>
      <c r="E43"/>
    </row>
    <row r="44" spans="1:5" x14ac:dyDescent="0.25">
      <c r="A44" s="30">
        <v>52331.852427227124</v>
      </c>
      <c r="E44"/>
    </row>
    <row r="45" spans="1:5" x14ac:dyDescent="0.25">
      <c r="A45" s="30">
        <v>47574.411297479201</v>
      </c>
      <c r="C45" s="1" t="s">
        <v>11</v>
      </c>
      <c r="D45" s="1" t="s">
        <v>12</v>
      </c>
      <c r="E45"/>
    </row>
    <row r="46" spans="1:5" x14ac:dyDescent="0.25">
      <c r="A46" s="30">
        <v>43249.464815890176</v>
      </c>
      <c r="C46"/>
      <c r="D46"/>
      <c r="E46"/>
    </row>
    <row r="47" spans="1:5" x14ac:dyDescent="0.25">
      <c r="A47" s="30">
        <v>39317.695287172886</v>
      </c>
      <c r="E47"/>
    </row>
    <row r="48" spans="1:5" x14ac:dyDescent="0.25">
      <c r="A48" s="30">
        <v>35743.359351975349</v>
      </c>
      <c r="C48" s="1" t="s">
        <v>13</v>
      </c>
      <c r="E48"/>
    </row>
    <row r="49" spans="1:5" x14ac:dyDescent="0.25">
      <c r="A49" s="30">
        <v>32493.963047250312</v>
      </c>
      <c r="C49" s="1">
        <f>C38</f>
        <v>0</v>
      </c>
      <c r="E49"/>
    </row>
    <row r="50" spans="1:5" x14ac:dyDescent="0.25">
      <c r="A50" s="30">
        <v>29539.966406591189</v>
      </c>
      <c r="C50"/>
      <c r="D50"/>
      <c r="E50"/>
    </row>
    <row r="51" spans="1:5" x14ac:dyDescent="0.25">
      <c r="A51" s="30">
        <v>26854.514915082898</v>
      </c>
      <c r="C51" s="1" t="s">
        <v>14</v>
      </c>
      <c r="E51"/>
    </row>
    <row r="52" spans="1:5" x14ac:dyDescent="0.25">
      <c r="A52" s="30">
        <v>24413.195377348089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22193.81397940735</v>
      </c>
      <c r="E53"/>
    </row>
    <row r="54" spans="1:5" x14ac:dyDescent="0.25">
      <c r="A54" s="30">
        <v>20176.194526733954</v>
      </c>
      <c r="E54"/>
    </row>
    <row r="55" spans="1:5" x14ac:dyDescent="0.25">
      <c r="A55" s="30">
        <v>18341.995024303593</v>
      </c>
      <c r="E55"/>
    </row>
    <row r="56" spans="1:5" x14ac:dyDescent="0.25">
      <c r="A56" s="30">
        <v>16674.540931185082</v>
      </c>
      <c r="E56"/>
    </row>
    <row r="57" spans="1:5" x14ac:dyDescent="0.25">
      <c r="A57" s="30">
        <v>15158.673573804617</v>
      </c>
      <c r="E57"/>
    </row>
    <row r="58" spans="1:5" x14ac:dyDescent="0.25">
      <c r="A58" s="30">
        <v>13780.612339822379</v>
      </c>
      <c r="E58"/>
    </row>
    <row r="59" spans="1:5" x14ac:dyDescent="0.25">
      <c r="A59" s="30">
        <v>12527.829399838525</v>
      </c>
      <c r="E59"/>
    </row>
    <row r="60" spans="1:5" x14ac:dyDescent="0.25">
      <c r="A60" s="30">
        <v>11388.935818035023</v>
      </c>
      <c r="E60"/>
    </row>
    <row r="61" spans="1:5" x14ac:dyDescent="0.25">
      <c r="A61" s="30">
        <v>10353.578016395475</v>
      </c>
      <c r="E61"/>
    </row>
    <row r="62" spans="1:5" x14ac:dyDescent="0.25">
      <c r="A62" s="30">
        <v>9412.343651268613</v>
      </c>
      <c r="E62"/>
    </row>
    <row r="63" spans="1:5" x14ac:dyDescent="0.25">
      <c r="A63" s="30">
        <v>8556.6760466078285</v>
      </c>
      <c r="E63"/>
    </row>
    <row r="64" spans="1:5" x14ac:dyDescent="0.25">
      <c r="A64" s="30">
        <v>7778.7964060071163</v>
      </c>
      <c r="E64"/>
    </row>
    <row r="65" spans="1:5" x14ac:dyDescent="0.25">
      <c r="A65" s="30">
        <v>7071.6330963701048</v>
      </c>
      <c r="E65"/>
    </row>
    <row r="66" spans="1:5" x14ac:dyDescent="0.25">
      <c r="A66" s="30">
        <v>6428.7573603364581</v>
      </c>
      <c r="E66"/>
    </row>
    <row r="67" spans="1:5" x14ac:dyDescent="0.25">
      <c r="A67" s="30">
        <v>5844.3248730331434</v>
      </c>
      <c r="C67" s="1" t="s">
        <v>15</v>
      </c>
      <c r="E67"/>
    </row>
    <row r="68" spans="1:5" x14ac:dyDescent="0.25">
      <c r="A68" s="30">
        <v>5313.0226118483115</v>
      </c>
      <c r="C68" s="7">
        <v>0.11167815779424731</v>
      </c>
      <c r="D68"/>
      <c r="E68"/>
    </row>
    <row r="69" spans="1:5" x14ac:dyDescent="0.25">
      <c r="A69" s="30">
        <v>4830.020556225737</v>
      </c>
      <c r="E69"/>
    </row>
    <row r="70" spans="1:5" x14ac:dyDescent="0.25">
      <c r="A70" s="30">
        <v>4390.927778387033</v>
      </c>
      <c r="C70" s="1" t="s">
        <v>11</v>
      </c>
      <c r="D70" s="1" t="s">
        <v>12</v>
      </c>
      <c r="E70"/>
    </row>
    <row r="71" spans="1:5" x14ac:dyDescent="0.25">
      <c r="A71" s="30">
        <v>3991.7525258063934</v>
      </c>
      <c r="C71"/>
      <c r="D71"/>
      <c r="E71"/>
    </row>
    <row r="72" spans="1:5" x14ac:dyDescent="0.25">
      <c r="A72" s="30">
        <v>3628.8659325512663</v>
      </c>
      <c r="E72"/>
    </row>
    <row r="73" spans="1:5" x14ac:dyDescent="0.25">
      <c r="A73" s="30">
        <v>3298.96902959206</v>
      </c>
      <c r="C73" s="1" t="s">
        <v>13</v>
      </c>
      <c r="E73"/>
    </row>
    <row r="74" spans="1:5" x14ac:dyDescent="0.25">
      <c r="A74" s="30">
        <v>2999.0627541745998</v>
      </c>
      <c r="C74" s="1">
        <f>C63</f>
        <v>0</v>
      </c>
      <c r="E74"/>
    </row>
    <row r="75" spans="1:5" x14ac:dyDescent="0.25">
      <c r="A75" s="30">
        <v>2726.4206856132723</v>
      </c>
      <c r="C75"/>
      <c r="D75"/>
      <c r="E75"/>
    </row>
    <row r="76" spans="1:5" x14ac:dyDescent="0.25">
      <c r="A76" s="30">
        <v>2478.564259648429</v>
      </c>
      <c r="C76" s="1" t="s">
        <v>14</v>
      </c>
      <c r="E76"/>
    </row>
    <row r="77" spans="1:5" x14ac:dyDescent="0.25">
      <c r="A77" s="30">
        <v>2253.240236044026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2048.4002145854779</v>
      </c>
      <c r="E78"/>
    </row>
    <row r="79" spans="1:5" x14ac:dyDescent="0.25">
      <c r="A79" s="30">
        <v>1862.1820132595253</v>
      </c>
      <c r="E79"/>
    </row>
    <row r="80" spans="1:5" x14ac:dyDescent="0.25">
      <c r="A80" s="30">
        <v>1692.8927393268411</v>
      </c>
      <c r="E80"/>
    </row>
    <row r="81" spans="1:5" x14ac:dyDescent="0.25">
      <c r="A81" s="30">
        <v>1538.9933993880372</v>
      </c>
      <c r="E81"/>
    </row>
    <row r="82" spans="1:5" x14ac:dyDescent="0.25">
      <c r="A82" s="30">
        <v>1399.0849085345792</v>
      </c>
      <c r="E82"/>
    </row>
    <row r="83" spans="1:5" x14ac:dyDescent="0.25">
      <c r="A83" s="30">
        <v>1271.8953713950718</v>
      </c>
      <c r="E83"/>
    </row>
    <row r="84" spans="1:5" x14ac:dyDescent="0.25">
      <c r="A84" s="30">
        <v>1156.2685194500652</v>
      </c>
      <c r="E84"/>
    </row>
    <row r="85" spans="1:5" x14ac:dyDescent="0.25">
      <c r="A85" s="30">
        <v>1051.1531995000591</v>
      </c>
      <c r="E85"/>
    </row>
    <row r="86" spans="1:5" x14ac:dyDescent="0.25">
      <c r="A86" s="30">
        <v>955.59381772732638</v>
      </c>
      <c r="E86"/>
    </row>
    <row r="87" spans="1:5" x14ac:dyDescent="0.25">
      <c r="A87" s="30">
        <v>868.72165247938756</v>
      </c>
      <c r="E87"/>
    </row>
    <row r="88" spans="1:5" x14ac:dyDescent="0.25">
      <c r="A88" s="30">
        <v>789.74695679944318</v>
      </c>
      <c r="E88"/>
    </row>
    <row r="89" spans="1:5" x14ac:dyDescent="0.25">
      <c r="A89" s="30">
        <v>717.95177890858463</v>
      </c>
      <c r="E89"/>
    </row>
    <row r="90" spans="1:5" x14ac:dyDescent="0.25">
      <c r="A90" s="30">
        <v>652.68343537144051</v>
      </c>
      <c r="E90"/>
    </row>
    <row r="91" spans="1:5" x14ac:dyDescent="0.25">
      <c r="A91" s="30">
        <v>593.34857761040041</v>
      </c>
      <c r="E91"/>
    </row>
    <row r="92" spans="1:5" x14ac:dyDescent="0.25">
      <c r="A92" s="30">
        <v>539.40779782763673</v>
      </c>
      <c r="C92" s="1" t="s">
        <v>15</v>
      </c>
      <c r="E92"/>
    </row>
    <row r="93" spans="1:5" x14ac:dyDescent="0.25">
      <c r="A93" s="30">
        <v>490.37072529785149</v>
      </c>
      <c r="C93" s="7">
        <v>0.11167815779424731</v>
      </c>
      <c r="D93"/>
      <c r="E93"/>
    </row>
    <row r="94" spans="1:5" x14ac:dyDescent="0.25">
      <c r="A94" s="30">
        <v>445.79156845259223</v>
      </c>
      <c r="E94"/>
    </row>
    <row r="95" spans="1:5" x14ac:dyDescent="0.25">
      <c r="A95" s="30">
        <v>405.26506222962928</v>
      </c>
      <c r="C95" s="1" t="s">
        <v>11</v>
      </c>
      <c r="D95" s="1" t="s">
        <v>12</v>
      </c>
      <c r="E95"/>
    </row>
    <row r="96" spans="1:5" x14ac:dyDescent="0.25">
      <c r="A96" s="30">
        <v>368.42278384511752</v>
      </c>
      <c r="C96"/>
      <c r="D96"/>
      <c r="E96"/>
    </row>
    <row r="97" spans="1:5" x14ac:dyDescent="0.25">
      <c r="A97" s="30">
        <v>334.92980349556137</v>
      </c>
      <c r="E97"/>
    </row>
    <row r="98" spans="1:5" x14ac:dyDescent="0.25">
      <c r="A98" s="30">
        <v>304.48163954141938</v>
      </c>
      <c r="C98" s="1" t="s">
        <v>13</v>
      </c>
      <c r="E98"/>
    </row>
    <row r="99" spans="1:5" x14ac:dyDescent="0.25">
      <c r="A99" s="30">
        <v>276.80149049219943</v>
      </c>
      <c r="C99" s="1">
        <f>C88</f>
        <v>0</v>
      </c>
      <c r="E99"/>
    </row>
    <row r="100" spans="1:5" x14ac:dyDescent="0.25">
      <c r="A100" s="30">
        <v>251.63771862927217</v>
      </c>
      <c r="C100"/>
      <c r="D100"/>
      <c r="E100"/>
    </row>
    <row r="101" spans="1:5" x14ac:dyDescent="0.25">
      <c r="A101" s="30">
        <v>228.76156239024741</v>
      </c>
      <c r="C101" s="1" t="s">
        <v>14</v>
      </c>
      <c r="E101"/>
    </row>
    <row r="102" spans="1:5" x14ac:dyDescent="0.25">
      <c r="A102" s="30">
        <v>207.96505671840671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189.05914247127882</v>
      </c>
      <c r="E103"/>
    </row>
    <row r="104" spans="1:5" x14ac:dyDescent="0.25">
      <c r="A104" s="30">
        <v>171.87194770116255</v>
      </c>
      <c r="E104"/>
    </row>
    <row r="105" spans="1:5" x14ac:dyDescent="0.25">
      <c r="A105" s="30">
        <v>156.24722518287504</v>
      </c>
      <c r="E105"/>
    </row>
    <row r="106" spans="1:5" x14ac:dyDescent="0.25">
      <c r="A106" s="30">
        <v>142.04293198443185</v>
      </c>
      <c r="E106"/>
    </row>
    <row r="107" spans="1:5" x14ac:dyDescent="0.25">
      <c r="A107" s="30">
        <v>129.1299381676653</v>
      </c>
      <c r="E107"/>
    </row>
    <row r="108" spans="1:5" x14ac:dyDescent="0.25">
      <c r="A108" s="30">
        <v>117.39085287969573</v>
      </c>
      <c r="E108"/>
    </row>
    <row r="109" spans="1:5" x14ac:dyDescent="0.25">
      <c r="A109" s="30">
        <v>106.71895716335975</v>
      </c>
      <c r="E109"/>
    </row>
    <row r="110" spans="1:5" x14ac:dyDescent="0.25">
      <c r="A110" s="30">
        <v>97.017233784872488</v>
      </c>
      <c r="E110"/>
    </row>
    <row r="111" spans="1:5" x14ac:dyDescent="0.25">
      <c r="A111" s="30">
        <v>88.197485258974979</v>
      </c>
      <c r="C111" s="1" t="str">
        <f>ADDRESS(C121-1,1,1,1)</f>
        <v>$A$172</v>
      </c>
      <c r="D111" s="1" t="str">
        <f>ADDRESS(C121-1,D121,1,1)</f>
        <v>$P$172</v>
      </c>
      <c r="E111"/>
    </row>
    <row r="112" spans="1:5" x14ac:dyDescent="0.25">
      <c r="A112" s="30">
        <v>80.179532053613613</v>
      </c>
      <c r="C112" s="1" t="str">
        <f>ADDRESS(C121,1,1,1)</f>
        <v>$A$173</v>
      </c>
      <c r="D112" s="1" t="str">
        <f>ADDRESS(C121,D121-1,1,1)</f>
        <v>$O$173</v>
      </c>
      <c r="E112"/>
    </row>
    <row r="113" spans="1:5" x14ac:dyDescent="0.25">
      <c r="A113" s="30">
        <v>72.890483685103277</v>
      </c>
      <c r="C113" s="1" t="str">
        <f>ADDRESS(C121+1,1,1,1)</f>
        <v>$A$174</v>
      </c>
      <c r="D113" s="1" t="str">
        <f>ADDRESS(C121-1,D121+1,1,1)</f>
        <v>$Q$172</v>
      </c>
    </row>
    <row r="114" spans="1:5" x14ac:dyDescent="0.25">
      <c r="A114" s="30">
        <v>66.26407607736661</v>
      </c>
      <c r="C114" s="1" t="str">
        <f>ADDRESS(C121,D121,1,1)</f>
        <v>$P$173</v>
      </c>
      <c r="D114" s="1" t="str">
        <f>ADDRESS(C121+1,D121+1,1,1)</f>
        <v>$Q$174</v>
      </c>
    </row>
    <row r="115" spans="1:5" x14ac:dyDescent="0.25">
      <c r="A115" s="30">
        <v>60.240069161242367</v>
      </c>
      <c r="C115" s="1" t="str">
        <f>ADDRESS(C121+1,D121,1,1)</f>
        <v>$P$174</v>
      </c>
    </row>
    <row r="116" spans="1:5" x14ac:dyDescent="0.25">
      <c r="A116" s="30">
        <v>54.763699237493057</v>
      </c>
      <c r="C116" s="1">
        <f>C117-1</f>
        <v>172</v>
      </c>
    </row>
    <row r="117" spans="1:5" x14ac:dyDescent="0.25">
      <c r="A117" s="30">
        <v>49.785181124993684</v>
      </c>
      <c r="C117" s="1">
        <f>C121</f>
        <v>173</v>
      </c>
      <c r="D117" s="1">
        <f>D121</f>
        <v>16</v>
      </c>
    </row>
    <row r="118" spans="1:5" x14ac:dyDescent="0.25">
      <c r="A118" s="30">
        <v>45.259255568176073</v>
      </c>
      <c r="C118" s="1">
        <f>C117+1</f>
        <v>174</v>
      </c>
      <c r="D118" s="1">
        <f>D117+1</f>
        <v>17</v>
      </c>
    </row>
    <row r="119" spans="1:5" x14ac:dyDescent="0.25">
      <c r="A119" s="30">
        <v>41.144777789250973</v>
      </c>
    </row>
    <row r="120" spans="1:5" x14ac:dyDescent="0.25">
      <c r="A120" s="30">
        <v>37.404343444773609</v>
      </c>
      <c r="C120" s="1" t="s">
        <v>9</v>
      </c>
    </row>
    <row r="121" spans="1:5" x14ac:dyDescent="0.25">
      <c r="A121" s="30">
        <v>34.003948586157826</v>
      </c>
      <c r="C121" s="18">
        <v>173</v>
      </c>
      <c r="D121" s="19">
        <v>16</v>
      </c>
      <c r="E121" s="18"/>
    </row>
    <row r="122" spans="1:5" x14ac:dyDescent="0.25">
      <c r="A122" s="30">
        <v>30.912680532870748</v>
      </c>
      <c r="C122" s="1" t="str">
        <f>INDEX(1:1048576,C117,D117)</f>
        <v>O</v>
      </c>
    </row>
    <row r="123" spans="1:5" x14ac:dyDescent="0.25">
      <c r="A123" s="30">
        <v>28.102436848064315</v>
      </c>
      <c r="C123" s="1" t="str">
        <f>"R"&amp;C121</f>
        <v>R173</v>
      </c>
      <c r="D123" s="1" t="str">
        <f>"C"&amp;D121</f>
        <v>C16</v>
      </c>
    </row>
    <row r="124" spans="1:5" x14ac:dyDescent="0.25">
      <c r="A124" s="30">
        <v>25.547669861876649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23.225154419887861</v>
      </c>
    </row>
    <row r="126" spans="1:5" x14ac:dyDescent="0.25">
      <c r="A126" s="30">
        <v>21.113776745352599</v>
      </c>
      <c r="C126" s="1" t="s">
        <v>10</v>
      </c>
    </row>
    <row r="127" spans="1:5" x14ac:dyDescent="0.25">
      <c r="A127" s="30">
        <v>19.194342495775089</v>
      </c>
      <c r="C127" s="30">
        <v>0.23939204936916306</v>
      </c>
      <c r="D127"/>
    </row>
    <row r="128" spans="1:5" x14ac:dyDescent="0.25">
      <c r="A128" s="30">
        <v>17.449402268886445</v>
      </c>
    </row>
    <row r="129" spans="1:5" x14ac:dyDescent="0.25">
      <c r="A129" s="30">
        <v>15.863092971714948</v>
      </c>
      <c r="C129" s="1" t="s">
        <v>11</v>
      </c>
      <c r="D129" s="1" t="s">
        <v>12</v>
      </c>
      <c r="E129"/>
    </row>
    <row r="130" spans="1:5" x14ac:dyDescent="0.25">
      <c r="A130" s="30">
        <v>14.420993610649951</v>
      </c>
      <c r="C130" s="6"/>
      <c r="D130" s="6"/>
      <c r="E130"/>
    </row>
    <row r="131" spans="1:5" x14ac:dyDescent="0.25">
      <c r="A131" s="30">
        <v>13.109994191499954</v>
      </c>
      <c r="E131"/>
    </row>
    <row r="132" spans="1:5" x14ac:dyDescent="0.25">
      <c r="A132" s="30">
        <v>11.918176537727231</v>
      </c>
      <c r="C132" s="1" t="s">
        <v>13</v>
      </c>
      <c r="E132"/>
    </row>
    <row r="133" spans="1:5" x14ac:dyDescent="0.25">
      <c r="A133" s="30">
        <v>10.834705943388391</v>
      </c>
      <c r="C133" s="1" t="str">
        <f>C122</f>
        <v>O</v>
      </c>
      <c r="E133"/>
    </row>
    <row r="134" spans="1:5" x14ac:dyDescent="0.25">
      <c r="A134" s="30">
        <v>9.849732675807628</v>
      </c>
      <c r="C134"/>
      <c r="D134"/>
      <c r="E134"/>
    </row>
    <row r="135" spans="1:5" x14ac:dyDescent="0.25">
      <c r="A135" s="30">
        <v>8.9543024325523888</v>
      </c>
      <c r="C135" s="1" t="s">
        <v>14</v>
      </c>
      <c r="E135"/>
    </row>
    <row r="136" spans="1:5" x14ac:dyDescent="0.25">
      <c r="A136" s="30">
        <v>8.140274938683989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7.4002499442581717</v>
      </c>
      <c r="E137"/>
    </row>
    <row r="138" spans="1:5" x14ac:dyDescent="0.25">
      <c r="A138" s="30">
        <v>6.72749994932561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6.1159090448414632</v>
      </c>
      <c r="E139"/>
    </row>
    <row r="140" spans="1:5" x14ac:dyDescent="0.25">
      <c r="A140" s="30">
        <v>5.5599173134922388</v>
      </c>
      <c r="C140" s="1">
        <v>0</v>
      </c>
      <c r="E140"/>
    </row>
    <row r="141" spans="1:5" x14ac:dyDescent="0.25">
      <c r="A141" s="30">
        <v>5.0544702849929442</v>
      </c>
      <c r="C141" s="1">
        <v>1</v>
      </c>
      <c r="E141"/>
    </row>
    <row r="142" spans="1:5" x14ac:dyDescent="0.25">
      <c r="A142" s="30">
        <v>4.594972986357222</v>
      </c>
      <c r="C142" s="1">
        <v>2</v>
      </c>
      <c r="E142"/>
    </row>
    <row r="143" spans="1:5" x14ac:dyDescent="0.25">
      <c r="A143" s="30">
        <v>4.1772481694156562</v>
      </c>
      <c r="C143" s="1">
        <v>3</v>
      </c>
      <c r="E143"/>
    </row>
    <row r="144" spans="1:5" x14ac:dyDescent="0.25">
      <c r="A144" s="30">
        <v>3.7974983358324148</v>
      </c>
      <c r="C144" s="1">
        <v>4</v>
      </c>
      <c r="E144"/>
    </row>
    <row r="145" spans="1:12" x14ac:dyDescent="0.25">
      <c r="A145" s="30">
        <v>3.4522712143931042</v>
      </c>
      <c r="B145"/>
      <c r="C145"/>
      <c r="D145"/>
      <c r="E145"/>
    </row>
    <row r="146" spans="1:12" x14ac:dyDescent="0.25">
      <c r="A146" s="30">
        <v>3.1384283767210035</v>
      </c>
      <c r="B146"/>
      <c r="C146"/>
      <c r="D146"/>
      <c r="E146"/>
    </row>
    <row r="147" spans="1:12" x14ac:dyDescent="0.25">
      <c r="A147" s="30">
        <v>2.8531167061100029</v>
      </c>
      <c r="B147"/>
      <c r="C147"/>
      <c r="D147"/>
      <c r="E147"/>
    </row>
    <row r="148" spans="1:12" x14ac:dyDescent="0.25">
      <c r="A148" s="30">
        <v>2.5937424601000023</v>
      </c>
      <c r="B148"/>
      <c r="C148"/>
      <c r="D148"/>
      <c r="E148" t="s">
        <v>8</v>
      </c>
    </row>
    <row r="149" spans="1:12" x14ac:dyDescent="0.25">
      <c r="A149" s="30">
        <v>2.3579476910000019</v>
      </c>
      <c r="B149"/>
      <c r="C149"/>
      <c r="D149"/>
      <c r="E149" t="s">
        <v>8</v>
      </c>
      <c r="F149" s="27" t="s">
        <v>7</v>
      </c>
    </row>
    <row r="150" spans="1:12" x14ac:dyDescent="0.25">
      <c r="A150" s="30">
        <v>2.1435888100000016</v>
      </c>
      <c r="B150"/>
      <c r="C150"/>
      <c r="D150"/>
      <c r="E150" t="s">
        <v>8</v>
      </c>
      <c r="F150" s="27" t="s">
        <v>7</v>
      </c>
      <c r="G150" s="27" t="s">
        <v>8</v>
      </c>
    </row>
    <row r="151" spans="1:12" x14ac:dyDescent="0.25">
      <c r="A151" s="30">
        <v>1.9487171000000014</v>
      </c>
      <c r="B151"/>
      <c r="C151"/>
      <c r="D151"/>
      <c r="E151" t="s">
        <v>8</v>
      </c>
      <c r="F151" s="27" t="s">
        <v>7</v>
      </c>
      <c r="G151" s="27" t="s">
        <v>8</v>
      </c>
      <c r="H151" s="27" t="s">
        <v>7</v>
      </c>
      <c r="I151" s="27" t="s">
        <v>8</v>
      </c>
    </row>
    <row r="152" spans="1:12" x14ac:dyDescent="0.25">
      <c r="A152" s="30">
        <v>1.7715610000000011</v>
      </c>
      <c r="B152"/>
      <c r="C152"/>
      <c r="D152"/>
      <c r="E152" t="s">
        <v>8</v>
      </c>
      <c r="F152" s="27" t="s">
        <v>7</v>
      </c>
      <c r="G152" s="27" t="s">
        <v>8</v>
      </c>
      <c r="H152" s="27" t="s">
        <v>7</v>
      </c>
      <c r="I152" s="27" t="s">
        <v>8</v>
      </c>
      <c r="J152" s="27" t="s">
        <v>7</v>
      </c>
    </row>
    <row r="153" spans="1:12" x14ac:dyDescent="0.25">
      <c r="A153" s="30">
        <v>1.6105100000000008</v>
      </c>
      <c r="B153"/>
      <c r="C153"/>
      <c r="D153"/>
      <c r="E153" t="s">
        <v>8</v>
      </c>
      <c r="F153" s="27" t="s">
        <v>7</v>
      </c>
      <c r="G153" s="27" t="s">
        <v>8</v>
      </c>
      <c r="H153" s="27" t="s">
        <v>7</v>
      </c>
      <c r="I153" s="27" t="s">
        <v>8</v>
      </c>
      <c r="J153" s="27" t="s">
        <v>7</v>
      </c>
      <c r="K153" s="27" t="s">
        <v>8</v>
      </c>
    </row>
    <row r="154" spans="1:12" x14ac:dyDescent="0.25">
      <c r="A154" s="30">
        <v>1.4641000000000006</v>
      </c>
      <c r="B154"/>
      <c r="C154"/>
      <c r="D154"/>
      <c r="E154" t="s">
        <v>8</v>
      </c>
      <c r="F154" s="27" t="s">
        <v>7</v>
      </c>
      <c r="G154" s="27" t="s">
        <v>8</v>
      </c>
      <c r="H154" s="27" t="s">
        <v>7</v>
      </c>
      <c r="I154" s="27" t="s">
        <v>8</v>
      </c>
      <c r="J154" s="27" t="s">
        <v>7</v>
      </c>
      <c r="K154" s="27" t="s">
        <v>8</v>
      </c>
      <c r="L154" s="27" t="s">
        <v>7</v>
      </c>
    </row>
    <row r="155" spans="1:12" x14ac:dyDescent="0.25">
      <c r="A155" s="30">
        <v>1.3310000000000004</v>
      </c>
      <c r="B155"/>
      <c r="C155"/>
      <c r="D155"/>
      <c r="E155" t="s">
        <v>8</v>
      </c>
      <c r="F155" s="18" t="s">
        <v>7</v>
      </c>
      <c r="G155" s="27" t="s">
        <v>8</v>
      </c>
      <c r="H155" s="27" t="s">
        <v>7</v>
      </c>
      <c r="J155" s="27" t="s">
        <v>7</v>
      </c>
      <c r="K155" s="27" t="s">
        <v>8</v>
      </c>
      <c r="L155" s="27" t="s">
        <v>7</v>
      </c>
    </row>
    <row r="156" spans="1:12" x14ac:dyDescent="0.25">
      <c r="A156" s="30">
        <v>1.2100000000000002</v>
      </c>
      <c r="B156"/>
      <c r="C156"/>
      <c r="D156"/>
      <c r="E156" t="s">
        <v>8</v>
      </c>
      <c r="F156" s="27" t="s">
        <v>7</v>
      </c>
      <c r="G156" s="27" t="s">
        <v>8</v>
      </c>
      <c r="J156" s="27" t="s">
        <v>7</v>
      </c>
      <c r="K156" s="27" t="s">
        <v>8</v>
      </c>
      <c r="L156" s="27" t="s">
        <v>7</v>
      </c>
    </row>
    <row r="157" spans="1:12" x14ac:dyDescent="0.25">
      <c r="A157" s="30">
        <v>1.1000000000000001</v>
      </c>
      <c r="B157"/>
      <c r="C157"/>
      <c r="D157"/>
      <c r="E157" t="s">
        <v>8</v>
      </c>
      <c r="F157" s="27" t="s">
        <v>7</v>
      </c>
      <c r="J157" s="27" t="s">
        <v>7</v>
      </c>
      <c r="K157" s="27" t="s">
        <v>8</v>
      </c>
      <c r="L157" s="27" t="s">
        <v>7</v>
      </c>
    </row>
    <row r="158" spans="1:12" x14ac:dyDescent="0.25">
      <c r="A158" s="30">
        <v>1</v>
      </c>
      <c r="B158"/>
      <c r="C158"/>
      <c r="D158"/>
      <c r="E158" t="s">
        <v>8</v>
      </c>
      <c r="J158" s="27" t="s">
        <v>7</v>
      </c>
      <c r="K158" s="27" t="s">
        <v>8</v>
      </c>
      <c r="L158" s="27" t="s">
        <v>7</v>
      </c>
    </row>
    <row r="159" spans="1:12" x14ac:dyDescent="0.25">
      <c r="A159" s="30">
        <v>0.90909090909090895</v>
      </c>
      <c r="B159"/>
      <c r="C159"/>
      <c r="D159"/>
      <c r="E159"/>
      <c r="J159" s="27" t="s">
        <v>7</v>
      </c>
      <c r="L159" s="27" t="s">
        <v>7</v>
      </c>
    </row>
    <row r="160" spans="1:12" x14ac:dyDescent="0.25">
      <c r="A160" s="30">
        <v>0.82644628099173523</v>
      </c>
      <c r="B160"/>
      <c r="C160"/>
      <c r="D160"/>
      <c r="E160"/>
      <c r="L160" s="27" t="s">
        <v>7</v>
      </c>
    </row>
    <row r="161" spans="1:16" x14ac:dyDescent="0.25">
      <c r="A161" s="30">
        <v>0.75131480090157732</v>
      </c>
      <c r="B161"/>
      <c r="C161"/>
      <c r="D161"/>
      <c r="E161"/>
      <c r="L161" s="27" t="s">
        <v>7</v>
      </c>
    </row>
    <row r="162" spans="1:16" x14ac:dyDescent="0.25">
      <c r="A162" s="30">
        <v>0.68301345536507019</v>
      </c>
      <c r="B162"/>
      <c r="C162"/>
      <c r="D162"/>
      <c r="E162"/>
      <c r="L162" s="27" t="s">
        <v>7</v>
      </c>
    </row>
    <row r="163" spans="1:16" x14ac:dyDescent="0.25">
      <c r="A163" s="30">
        <v>0.6209213230591546</v>
      </c>
      <c r="B163"/>
      <c r="C163"/>
      <c r="D163"/>
      <c r="E163"/>
      <c r="L163" s="27" t="s">
        <v>7</v>
      </c>
    </row>
    <row r="164" spans="1:16" x14ac:dyDescent="0.25">
      <c r="A164" s="30">
        <v>0.56447393005377677</v>
      </c>
      <c r="B164"/>
      <c r="C164"/>
      <c r="D164"/>
      <c r="E164"/>
      <c r="L164" s="27" t="s">
        <v>7</v>
      </c>
      <c r="M164" s="27" t="s">
        <v>8</v>
      </c>
    </row>
    <row r="165" spans="1:16" x14ac:dyDescent="0.25">
      <c r="A165" s="30">
        <v>0.51315811823070612</v>
      </c>
      <c r="B165"/>
      <c r="C165"/>
      <c r="D165"/>
      <c r="E165"/>
      <c r="L165" s="27" t="s">
        <v>7</v>
      </c>
      <c r="M165" s="27" t="s">
        <v>8</v>
      </c>
      <c r="N165" s="27" t="s">
        <v>7</v>
      </c>
    </row>
    <row r="166" spans="1:16" x14ac:dyDescent="0.25">
      <c r="A166" s="30">
        <v>0.46650738020973276</v>
      </c>
      <c r="B166"/>
      <c r="C166"/>
      <c r="D166"/>
      <c r="E166"/>
      <c r="L166" s="27" t="s">
        <v>7</v>
      </c>
      <c r="M166" s="27" t="s">
        <v>8</v>
      </c>
      <c r="N166" s="27" t="s">
        <v>7</v>
      </c>
      <c r="O166" s="27" t="s">
        <v>8</v>
      </c>
    </row>
    <row r="167" spans="1:16" x14ac:dyDescent="0.25">
      <c r="A167" s="30">
        <v>0.42409761837248428</v>
      </c>
      <c r="B167"/>
      <c r="C167"/>
      <c r="D167"/>
      <c r="E167"/>
      <c r="L167" s="27" t="s">
        <v>7</v>
      </c>
      <c r="N167" s="27" t="s">
        <v>7</v>
      </c>
      <c r="O167" s="27" t="s">
        <v>8</v>
      </c>
      <c r="P167" s="27" t="s">
        <v>7</v>
      </c>
    </row>
    <row r="168" spans="1:16" x14ac:dyDescent="0.25">
      <c r="A168" s="30">
        <v>0.38554328942953109</v>
      </c>
      <c r="B168"/>
      <c r="C168"/>
      <c r="D168"/>
      <c r="E168"/>
      <c r="N168" s="27" t="s">
        <v>7</v>
      </c>
      <c r="O168" s="27" t="s">
        <v>8</v>
      </c>
      <c r="P168" s="27" t="s">
        <v>7</v>
      </c>
    </row>
    <row r="169" spans="1:16" x14ac:dyDescent="0.25">
      <c r="A169" s="30">
        <v>0.35049389948139187</v>
      </c>
      <c r="B169"/>
      <c r="C169"/>
      <c r="D169"/>
      <c r="E169"/>
      <c r="N169" s="27" t="s">
        <v>7</v>
      </c>
      <c r="P169" s="27" t="s">
        <v>7</v>
      </c>
    </row>
    <row r="170" spans="1:16" x14ac:dyDescent="0.25">
      <c r="A170" s="30">
        <v>0.31863081771035617</v>
      </c>
      <c r="B170"/>
      <c r="C170"/>
      <c r="D170"/>
      <c r="E170"/>
      <c r="P170" s="27" t="s">
        <v>7</v>
      </c>
    </row>
    <row r="171" spans="1:16" x14ac:dyDescent="0.25">
      <c r="A171" s="30">
        <v>0.28966437973668741</v>
      </c>
      <c r="P171" s="27" t="s">
        <v>7</v>
      </c>
    </row>
    <row r="172" spans="1:16" x14ac:dyDescent="0.25">
      <c r="A172" s="30">
        <v>0.2633312543060794</v>
      </c>
      <c r="P172" s="27" t="s">
        <v>7</v>
      </c>
    </row>
    <row r="173" spans="1:16" x14ac:dyDescent="0.25">
      <c r="A173" s="30">
        <v>0.23939204936916306</v>
      </c>
      <c r="P173" s="27" t="s">
        <v>7</v>
      </c>
    </row>
    <row r="174" spans="1:16" x14ac:dyDescent="0.25">
      <c r="A174" s="30">
        <v>0.2176291357901482</v>
      </c>
    </row>
    <row r="175" spans="1:16" x14ac:dyDescent="0.25">
      <c r="A175" s="30">
        <v>0.19784466890013469</v>
      </c>
    </row>
    <row r="176" spans="1:16" x14ac:dyDescent="0.25">
      <c r="A176" s="30">
        <v>0.17985878990921333</v>
      </c>
    </row>
    <row r="177" spans="1:1" x14ac:dyDescent="0.25">
      <c r="A177" s="30">
        <v>0.16350799082655756</v>
      </c>
    </row>
    <row r="178" spans="1:1" x14ac:dyDescent="0.25">
      <c r="A178" s="30">
        <v>0.14864362802414322</v>
      </c>
    </row>
    <row r="179" spans="1:1" x14ac:dyDescent="0.25">
      <c r="A179" s="30">
        <v>0.13513057093103928</v>
      </c>
    </row>
    <row r="180" spans="1:1" x14ac:dyDescent="0.25">
      <c r="A180" s="30">
        <v>0.12284597357367205</v>
      </c>
    </row>
    <row r="181" spans="1:1" x14ac:dyDescent="0.25">
      <c r="A181" s="30">
        <v>0.11167815779424731</v>
      </c>
    </row>
    <row r="182" spans="1:1" x14ac:dyDescent="0.25">
      <c r="A182" s="30">
        <v>0.10152559799477026</v>
      </c>
    </row>
    <row r="183" spans="1:1" x14ac:dyDescent="0.25">
      <c r="A183" s="30">
        <v>9.2295998177063854E-2</v>
      </c>
    </row>
    <row r="184" spans="1:1" x14ac:dyDescent="0.25">
      <c r="A184" s="30">
        <v>8.3905452888239848E-2</v>
      </c>
    </row>
    <row r="185" spans="1:1" x14ac:dyDescent="0.25">
      <c r="A185" s="30">
        <v>7.6277684443854396E-2</v>
      </c>
    </row>
    <row r="186" spans="1:1" x14ac:dyDescent="0.25">
      <c r="A186" s="30">
        <v>6.9343349494413078E-2</v>
      </c>
    </row>
    <row r="187" spans="1:1" x14ac:dyDescent="0.25">
      <c r="A187" s="30">
        <v>6.3039408631284613E-2</v>
      </c>
    </row>
    <row r="188" spans="1:1" x14ac:dyDescent="0.25">
      <c r="A188" s="30">
        <v>5.7308553301167818E-2</v>
      </c>
    </row>
    <row r="189" spans="1:1" x14ac:dyDescent="0.25">
      <c r="A189" s="30">
        <v>5.2098684819243464E-2</v>
      </c>
    </row>
    <row r="190" spans="1:1" x14ac:dyDescent="0.25">
      <c r="A190" s="30">
        <v>4.7362440744766775E-2</v>
      </c>
    </row>
    <row r="191" spans="1:1" x14ac:dyDescent="0.25">
      <c r="A191" s="30">
        <v>4.3056764313424332E-2</v>
      </c>
    </row>
    <row r="192" spans="1:1" x14ac:dyDescent="0.25">
      <c r="A192" s="30">
        <v>3.9142513012203929E-2</v>
      </c>
    </row>
    <row r="193" spans="1:1" x14ac:dyDescent="0.25">
      <c r="A193" s="30">
        <v>3.55841027383672E-2</v>
      </c>
    </row>
    <row r="194" spans="1:1" x14ac:dyDescent="0.25">
      <c r="A194" s="30">
        <v>3.2349184307606541E-2</v>
      </c>
    </row>
    <row r="195" spans="1:1" x14ac:dyDescent="0.25">
      <c r="A195" s="30">
        <v>2.9408349370551395E-2</v>
      </c>
    </row>
    <row r="196" spans="1:1" x14ac:dyDescent="0.25">
      <c r="A196" s="30">
        <v>2.6734863064137627E-2</v>
      </c>
    </row>
    <row r="197" spans="1:1" x14ac:dyDescent="0.25">
      <c r="A197" s="30">
        <v>2.4304420967397839E-2</v>
      </c>
    </row>
    <row r="198" spans="1:1" x14ac:dyDescent="0.25">
      <c r="A198" s="30">
        <v>2.2094928152179852E-2</v>
      </c>
    </row>
    <row r="199" spans="1:1" x14ac:dyDescent="0.25">
      <c r="A199" s="30">
        <v>2.0086298320163499E-2</v>
      </c>
    </row>
    <row r="200" spans="1:1" x14ac:dyDescent="0.25">
      <c r="A200" s="30">
        <v>1.8260271200148632E-2</v>
      </c>
    </row>
    <row r="201" spans="1:1" x14ac:dyDescent="0.25">
      <c r="A201" s="30">
        <v>1.6600246545589663E-2</v>
      </c>
    </row>
    <row r="202" spans="1:1" x14ac:dyDescent="0.25">
      <c r="A202" s="30">
        <v>1.5091133223263328E-2</v>
      </c>
    </row>
    <row r="203" spans="1:1" x14ac:dyDescent="0.25">
      <c r="A203" s="30">
        <v>1.3719212021148477E-2</v>
      </c>
    </row>
    <row r="204" spans="1:1" x14ac:dyDescent="0.25">
      <c r="A204" s="30">
        <v>1.2472010928316795E-2</v>
      </c>
    </row>
    <row r="205" spans="1:1" x14ac:dyDescent="0.25">
      <c r="A205" s="30">
        <v>1.1338191753015267E-2</v>
      </c>
    </row>
    <row r="206" spans="1:1" x14ac:dyDescent="0.25">
      <c r="A206" s="30">
        <v>1.0307447048195697E-2</v>
      </c>
    </row>
    <row r="207" spans="1:1" x14ac:dyDescent="0.25">
      <c r="A207" s="30">
        <v>9.3704064074506318E-3</v>
      </c>
    </row>
    <row r="208" spans="1:1" x14ac:dyDescent="0.25">
      <c r="A208" s="30">
        <v>8.5185512795005747E-3</v>
      </c>
    </row>
    <row r="209" spans="1:1" x14ac:dyDescent="0.25">
      <c r="A209" s="30">
        <v>7.744137526818704E-3</v>
      </c>
    </row>
    <row r="210" spans="1:1" x14ac:dyDescent="0.25">
      <c r="A210" s="30">
        <v>7.0401250243806394E-3</v>
      </c>
    </row>
    <row r="211" spans="1:1" x14ac:dyDescent="0.25">
      <c r="A211" s="30">
        <v>6.4001136585278536E-3</v>
      </c>
    </row>
    <row r="212" spans="1:1" x14ac:dyDescent="0.25">
      <c r="A212" s="30">
        <v>5.8182851441162305E-3</v>
      </c>
    </row>
    <row r="213" spans="1:1" x14ac:dyDescent="0.25">
      <c r="A213" s="30">
        <v>5.2893501310147546E-3</v>
      </c>
    </row>
    <row r="214" spans="1:1" x14ac:dyDescent="0.25">
      <c r="A214" s="30">
        <v>4.8085001191043222E-3</v>
      </c>
    </row>
    <row r="215" spans="1:1" x14ac:dyDescent="0.25">
      <c r="A215" s="30">
        <v>4.3713637446402926E-3</v>
      </c>
    </row>
    <row r="216" spans="1:1" x14ac:dyDescent="0.25">
      <c r="A216" s="30">
        <v>3.9739670405820838E-3</v>
      </c>
    </row>
    <row r="217" spans="1:1" x14ac:dyDescent="0.25">
      <c r="A217" s="30">
        <v>3.6126973096200759E-3</v>
      </c>
    </row>
    <row r="218" spans="1:1" x14ac:dyDescent="0.25">
      <c r="A218" s="30">
        <v>3.2842702814727962E-3</v>
      </c>
    </row>
    <row r="219" spans="1:1" x14ac:dyDescent="0.25">
      <c r="A219" s="30">
        <v>2.9857002558843601E-3</v>
      </c>
    </row>
    <row r="220" spans="1:1" x14ac:dyDescent="0.25">
      <c r="A220" s="30">
        <v>2.7142729598948726E-3</v>
      </c>
    </row>
    <row r="221" spans="1:1" x14ac:dyDescent="0.25">
      <c r="A221" s="30">
        <v>2.4675208726317021E-3</v>
      </c>
    </row>
    <row r="222" spans="1:1" x14ac:dyDescent="0.25">
      <c r="A222" s="30">
        <v>2.2432007933015472E-3</v>
      </c>
    </row>
    <row r="223" spans="1:1" x14ac:dyDescent="0.25">
      <c r="A223" s="30">
        <v>2.0392734484559519E-3</v>
      </c>
    </row>
    <row r="224" spans="1:1" x14ac:dyDescent="0.25">
      <c r="A224" s="30">
        <v>1.8538849531417744E-3</v>
      </c>
    </row>
    <row r="225" spans="1:1" x14ac:dyDescent="0.25">
      <c r="A225" s="30">
        <v>1.6853499574016129E-3</v>
      </c>
    </row>
    <row r="226" spans="1:1" x14ac:dyDescent="0.25">
      <c r="A226" s="30">
        <v>1.5321363249105571E-3</v>
      </c>
    </row>
    <row r="227" spans="1:1" x14ac:dyDescent="0.25">
      <c r="A227" s="30">
        <v>1.3928512044641427E-3</v>
      </c>
    </row>
    <row r="228" spans="1:1" x14ac:dyDescent="0.25">
      <c r="A228" s="30">
        <v>1.2662283676946752E-3</v>
      </c>
    </row>
    <row r="229" spans="1:1" x14ac:dyDescent="0.25">
      <c r="A229" s="30">
        <v>1.15111669790425E-3</v>
      </c>
    </row>
    <row r="230" spans="1:1" x14ac:dyDescent="0.25">
      <c r="A230" s="30">
        <v>1.0464697253675E-3</v>
      </c>
    </row>
    <row r="231" spans="1:1" x14ac:dyDescent="0.25">
      <c r="A231" s="30">
        <v>9.5133611397045449E-4</v>
      </c>
    </row>
    <row r="232" spans="1:1" x14ac:dyDescent="0.25">
      <c r="A232" s="30">
        <v>8.6485101270041313E-4</v>
      </c>
    </row>
    <row r="233" spans="1:1" x14ac:dyDescent="0.25">
      <c r="A233" s="30">
        <v>7.862281933640119E-4</v>
      </c>
    </row>
    <row r="234" spans="1:1" x14ac:dyDescent="0.25">
      <c r="A234" s="30">
        <v>7.0760537402761068E-4</v>
      </c>
    </row>
    <row r="235" spans="1:1" x14ac:dyDescent="0.25">
      <c r="A235" s="30">
        <v>6.368448366248496E-4</v>
      </c>
    </row>
    <row r="236" spans="1:1" x14ac:dyDescent="0.25">
      <c r="A236" s="30">
        <v>5.7316035296236471E-4</v>
      </c>
    </row>
    <row r="237" spans="1:1" x14ac:dyDescent="0.25">
      <c r="A237" s="30">
        <v>5.1584431766612821E-4</v>
      </c>
    </row>
    <row r="238" spans="1:1" x14ac:dyDescent="0.25">
      <c r="A238" s="30">
        <v>4.6425988589951538E-4</v>
      </c>
    </row>
    <row r="239" spans="1:1" x14ac:dyDescent="0.25">
      <c r="A239" s="30">
        <v>4.1783389730956383E-4</v>
      </c>
    </row>
    <row r="240" spans="1:1" x14ac:dyDescent="0.25">
      <c r="A240" s="30">
        <v>3.7605050757860746E-4</v>
      </c>
    </row>
    <row r="241" spans="1:1" x14ac:dyDescent="0.25">
      <c r="A241" s="30">
        <v>3.3844545682074675E-4</v>
      </c>
    </row>
    <row r="242" spans="1:1" x14ac:dyDescent="0.25">
      <c r="A242" s="30">
        <v>3.0460091113867208E-4</v>
      </c>
    </row>
    <row r="243" spans="1:1" x14ac:dyDescent="0.25">
      <c r="A243" s="30">
        <v>2.7414082002480487E-4</v>
      </c>
    </row>
    <row r="244" spans="1:1" x14ac:dyDescent="0.25">
      <c r="A244" s="30">
        <v>2.4672673802232442E-4</v>
      </c>
    </row>
    <row r="245" spans="1:1" x14ac:dyDescent="0.25">
      <c r="A245" s="30">
        <v>2.2205406422009198E-4</v>
      </c>
    </row>
    <row r="246" spans="1:1" x14ac:dyDescent="0.25">
      <c r="A246" s="30">
        <v>1.998486577980828E-4</v>
      </c>
    </row>
    <row r="247" spans="1:1" x14ac:dyDescent="0.25">
      <c r="A247" s="30">
        <v>1.7986379201827453E-4</v>
      </c>
    </row>
    <row r="248" spans="1:1" x14ac:dyDescent="0.25">
      <c r="A248" s="30">
        <v>1.6187741281644709E-4</v>
      </c>
    </row>
    <row r="249" spans="1:1" x14ac:dyDescent="0.25">
      <c r="A249" s="30">
        <v>1.4568967153480238E-4</v>
      </c>
    </row>
    <row r="250" spans="1:1" x14ac:dyDescent="0.25">
      <c r="A250" s="30">
        <v>1.3112070438132215E-4</v>
      </c>
    </row>
    <row r="251" spans="1:1" x14ac:dyDescent="0.25">
      <c r="A251" s="30">
        <v>1.1800863394318995E-4</v>
      </c>
    </row>
    <row r="252" spans="1:1" x14ac:dyDescent="0.25">
      <c r="A252" s="30">
        <v>1.0620777054887096E-4</v>
      </c>
    </row>
    <row r="253" spans="1:1" x14ac:dyDescent="0.25">
      <c r="A253" s="30">
        <v>9.5586993493983861E-5</v>
      </c>
    </row>
    <row r="254" spans="1:1" x14ac:dyDescent="0.25">
      <c r="A254" s="30">
        <v>8.6028294144585476E-5</v>
      </c>
    </row>
    <row r="255" spans="1:1" x14ac:dyDescent="0.25">
      <c r="A255" s="30">
        <v>7.7425464730126924E-5</v>
      </c>
    </row>
    <row r="256" spans="1:1" x14ac:dyDescent="0.25">
      <c r="A256" s="30">
        <v>6.9682918257114228E-5</v>
      </c>
    </row>
    <row r="257" spans="1:1" x14ac:dyDescent="0.25">
      <c r="A257" s="30">
        <v>6.2714626431402813E-5</v>
      </c>
    </row>
    <row r="258" spans="1:1" x14ac:dyDescent="0.25">
      <c r="A258" s="30">
        <v>5.6443163788262536E-5</v>
      </c>
    </row>
    <row r="259" spans="1:1" x14ac:dyDescent="0.25">
      <c r="A259" s="30">
        <v>5.0798847409436286E-5</v>
      </c>
    </row>
    <row r="260" spans="1:1" x14ac:dyDescent="0.25">
      <c r="A260" s="30">
        <v>4.5718962668492656E-5</v>
      </c>
    </row>
    <row r="261" spans="1:1" x14ac:dyDescent="0.25">
      <c r="A261" s="30">
        <v>4.1147066401643391E-5</v>
      </c>
    </row>
    <row r="262" spans="1:1" x14ac:dyDescent="0.25">
      <c r="A262" s="30">
        <v>3.7032359761479051E-5</v>
      </c>
    </row>
    <row r="263" spans="1:1" x14ac:dyDescent="0.25">
      <c r="A263" s="30">
        <v>3.3329123785331146E-5</v>
      </c>
    </row>
    <row r="264" spans="1:1" x14ac:dyDescent="0.25">
      <c r="A264" s="30">
        <v>2.9996211406798031E-5</v>
      </c>
    </row>
    <row r="265" spans="1:1" x14ac:dyDescent="0.25">
      <c r="A265" s="30">
        <v>2.6996590266118227E-5</v>
      </c>
    </row>
    <row r="266" spans="1:1" x14ac:dyDescent="0.25">
      <c r="A266" s="30">
        <v>2.4296931239506405E-5</v>
      </c>
    </row>
    <row r="267" spans="1:1" x14ac:dyDescent="0.25">
      <c r="A267" s="30">
        <v>2.1867238115555765E-5</v>
      </c>
    </row>
    <row r="268" spans="1:1" x14ac:dyDescent="0.25">
      <c r="A268" s="30">
        <v>1.968051430400019E-5</v>
      </c>
    </row>
    <row r="269" spans="1:1" x14ac:dyDescent="0.25">
      <c r="A269" s="30">
        <v>1.7712462873600173E-5</v>
      </c>
    </row>
    <row r="270" spans="1:1" x14ac:dyDescent="0.25">
      <c r="A270" s="30">
        <v>1.5941216586240156E-5</v>
      </c>
    </row>
    <row r="271" spans="1:1" x14ac:dyDescent="0.25">
      <c r="A271" s="30">
        <v>1.434709492761614E-5</v>
      </c>
    </row>
    <row r="272" spans="1:1" x14ac:dyDescent="0.25">
      <c r="A272" s="30">
        <v>1.2912385434854527E-5</v>
      </c>
    </row>
    <row r="273" spans="1:1" x14ac:dyDescent="0.25">
      <c r="A273" s="30">
        <v>1.1621146891369075E-5</v>
      </c>
    </row>
    <row r="274" spans="1:1" x14ac:dyDescent="0.25">
      <c r="A274" s="30">
        <v>1.0459032202232167E-5</v>
      </c>
    </row>
    <row r="275" spans="1:1" x14ac:dyDescent="0.25">
      <c r="A275" s="30">
        <v>9.4131289820089515E-6</v>
      </c>
    </row>
    <row r="276" spans="1:1" x14ac:dyDescent="0.25">
      <c r="A276" s="30">
        <v>8.4718160838080567E-6</v>
      </c>
    </row>
    <row r="277" spans="1:1" x14ac:dyDescent="0.25">
      <c r="A277" s="30">
        <v>7.6246344754272515E-6</v>
      </c>
    </row>
    <row r="278" spans="1:1" x14ac:dyDescent="0.25">
      <c r="A278" s="30">
        <v>6.8621710278845262E-6</v>
      </c>
    </row>
    <row r="279" spans="1:1" x14ac:dyDescent="0.25">
      <c r="A279" s="30">
        <v>6.1759539250960733E-6</v>
      </c>
    </row>
    <row r="280" spans="1:1" x14ac:dyDescent="0.25">
      <c r="A280" s="30">
        <v>5.5583585325864661E-6</v>
      </c>
    </row>
    <row r="281" spans="1:1" x14ac:dyDescent="0.25">
      <c r="A281" s="30">
        <v>5.0025226793278193E-6</v>
      </c>
    </row>
    <row r="282" spans="1:1" x14ac:dyDescent="0.25">
      <c r="A282" s="30">
        <v>4.5022704113950371E-6</v>
      </c>
    </row>
    <row r="283" spans="1:1" x14ac:dyDescent="0.25">
      <c r="A283" s="30">
        <v>4.0520433702555336E-6</v>
      </c>
    </row>
    <row r="284" spans="1:1" x14ac:dyDescent="0.25">
      <c r="A284" s="30">
        <v>3.6468390332299805E-6</v>
      </c>
    </row>
    <row r="285" spans="1:1" x14ac:dyDescent="0.25">
      <c r="A285" s="30">
        <v>3.2821551299069824E-6</v>
      </c>
    </row>
    <row r="286" spans="1:1" x14ac:dyDescent="0.25">
      <c r="A286" s="30">
        <v>2.9539396169162842E-6</v>
      </c>
    </row>
    <row r="287" spans="1:1" x14ac:dyDescent="0.25">
      <c r="A287" s="30">
        <v>2.6585456552246558E-6</v>
      </c>
    </row>
    <row r="288" spans="1:1" x14ac:dyDescent="0.25">
      <c r="A288" s="30">
        <v>2.39269108970219E-6</v>
      </c>
    </row>
    <row r="289" spans="1:1" x14ac:dyDescent="0.25">
      <c r="A289" s="30">
        <v>2.1534219807319713E-6</v>
      </c>
    </row>
    <row r="290" spans="1:1" x14ac:dyDescent="0.25">
      <c r="A290" s="30">
        <v>1.9380797826587742E-6</v>
      </c>
    </row>
    <row r="291" spans="1:1" x14ac:dyDescent="0.25">
      <c r="A291" s="30">
        <v>1.7442718043928968E-6</v>
      </c>
    </row>
    <row r="292" spans="1:1" x14ac:dyDescent="0.25">
      <c r="A292" s="30">
        <v>1.5698446239536072E-6</v>
      </c>
    </row>
    <row r="293" spans="1:1" x14ac:dyDescent="0.25">
      <c r="A293" s="30">
        <v>1.4128601615582464E-6</v>
      </c>
    </row>
    <row r="294" spans="1:1" x14ac:dyDescent="0.25">
      <c r="A294" s="30">
        <v>1.2715741454024219E-6</v>
      </c>
    </row>
    <row r="295" spans="1:1" x14ac:dyDescent="0.25">
      <c r="A295" s="30">
        <v>1.1444167308621797E-6</v>
      </c>
    </row>
    <row r="296" spans="1:1" x14ac:dyDescent="0.25">
      <c r="A296" s="30">
        <v>1.0299750577759617E-6</v>
      </c>
    </row>
    <row r="297" spans="1:1" x14ac:dyDescent="0.25">
      <c r="A297" s="30">
        <v>9.2697755199836562E-7</v>
      </c>
    </row>
    <row r="298" spans="1:1" x14ac:dyDescent="0.25">
      <c r="A298" s="30">
        <v>8.3427979679852907E-7</v>
      </c>
    </row>
    <row r="299" spans="1:1" x14ac:dyDescent="0.25">
      <c r="A299" s="30">
        <v>7.508518171186762E-7</v>
      </c>
    </row>
    <row r="300" spans="1:1" x14ac:dyDescent="0.25">
      <c r="A300" s="30">
        <v>6.7576663540680858E-7</v>
      </c>
    </row>
    <row r="301" spans="1:1" x14ac:dyDescent="0.25">
      <c r="A301" s="30">
        <v>6.0818997186612771E-7</v>
      </c>
    </row>
    <row r="302" spans="1:1" x14ac:dyDescent="0.25">
      <c r="A302" s="30">
        <v>5.4737097467951492E-7</v>
      </c>
    </row>
    <row r="303" spans="1:1" x14ac:dyDescent="0.25">
      <c r="A303" s="30">
        <v>4.9263387721156344E-7</v>
      </c>
    </row>
    <row r="304" spans="1:1" x14ac:dyDescent="0.25">
      <c r="A304" s="30">
        <v>4.4337048949040709E-7</v>
      </c>
    </row>
    <row r="305" spans="1:1" x14ac:dyDescent="0.25">
      <c r="A305" s="30">
        <v>3.9903344054136637E-7</v>
      </c>
    </row>
    <row r="306" spans="1:1" x14ac:dyDescent="0.25">
      <c r="A306" s="30">
        <v>3.5913009648722975E-7</v>
      </c>
    </row>
    <row r="307" spans="1:1" x14ac:dyDescent="0.25">
      <c r="A307" s="30">
        <v>3.2321708683850679E-7</v>
      </c>
    </row>
    <row r="308" spans="1:1" x14ac:dyDescent="0.25">
      <c r="A308" s="30">
        <v>2.908953781546561E-7</v>
      </c>
    </row>
    <row r="309" spans="1:1" x14ac:dyDescent="0.25">
      <c r="A309" s="30">
        <v>2.6180584033919052E-7</v>
      </c>
    </row>
    <row r="310" spans="1:1" x14ac:dyDescent="0.25">
      <c r="A310" s="30">
        <v>2.3562525630527146E-7</v>
      </c>
    </row>
    <row r="311" spans="1:1" x14ac:dyDescent="0.25">
      <c r="A311" s="30">
        <v>2.1206273067474431E-7</v>
      </c>
    </row>
    <row r="312" spans="1:1" x14ac:dyDescent="0.25">
      <c r="A312" s="30">
        <v>1.9085645760726988E-7</v>
      </c>
    </row>
    <row r="313" spans="1:1" x14ac:dyDescent="0.25">
      <c r="A313" s="30">
        <v>1.717708118465429E-7</v>
      </c>
    </row>
    <row r="314" spans="1:1" x14ac:dyDescent="0.25">
      <c r="A314" s="30">
        <v>1.5459373066188861E-7</v>
      </c>
    </row>
    <row r="315" spans="1:1" x14ac:dyDescent="0.25">
      <c r="A315" s="30">
        <v>1.3913435759569975E-7</v>
      </c>
    </row>
    <row r="316" spans="1:1" x14ac:dyDescent="0.25">
      <c r="A316" s="30">
        <v>1.2522092183612977E-7</v>
      </c>
    </row>
    <row r="317" spans="1:1" x14ac:dyDescent="0.25">
      <c r="A317" s="30">
        <v>1.1269882965251679E-7</v>
      </c>
    </row>
    <row r="318" spans="1:1" x14ac:dyDescent="0.25">
      <c r="A318" s="30">
        <v>1.0142894668726512E-7</v>
      </c>
    </row>
    <row r="319" spans="1:1" x14ac:dyDescent="0.25">
      <c r="A319" s="30">
        <v>9.1286052018538604E-8</v>
      </c>
    </row>
    <row r="320" spans="1:1" x14ac:dyDescent="0.25">
      <c r="A320" s="30">
        <v>8.2157446816684752E-8</v>
      </c>
    </row>
    <row r="321" spans="1:1" x14ac:dyDescent="0.25">
      <c r="A321" s="30">
        <v>7.3941702135016276E-8</v>
      </c>
    </row>
    <row r="322" spans="1:1" x14ac:dyDescent="0.25">
      <c r="A322" s="30">
        <v>6.6547531921514646E-8</v>
      </c>
    </row>
    <row r="323" spans="1:1" x14ac:dyDescent="0.25">
      <c r="A323" s="30">
        <v>5.9892778729363178E-8</v>
      </c>
    </row>
    <row r="324" spans="1:1" x14ac:dyDescent="0.25">
      <c r="A324" s="30">
        <v>5.3903500856426864E-8</v>
      </c>
    </row>
    <row r="325" spans="1:1" x14ac:dyDescent="0.25">
      <c r="A325" s="30">
        <v>4.851315077078418E-8</v>
      </c>
    </row>
    <row r="326" spans="1:1" x14ac:dyDescent="0.25">
      <c r="A326" s="30">
        <v>4.3661835693705764E-8</v>
      </c>
    </row>
    <row r="327" spans="1:1" x14ac:dyDescent="0.25">
      <c r="A327" s="30">
        <v>3.929565212433519E-8</v>
      </c>
    </row>
    <row r="328" spans="1:1" x14ac:dyDescent="0.25">
      <c r="A328" s="30">
        <v>3.536608691190167E-8</v>
      </c>
    </row>
    <row r="329" spans="1:1" x14ac:dyDescent="0.25">
      <c r="A329" s="30">
        <v>3.1829478220711501E-8</v>
      </c>
    </row>
    <row r="330" spans="1:1" x14ac:dyDescent="0.25">
      <c r="A330" s="30">
        <v>2.8646530398640351E-8</v>
      </c>
    </row>
    <row r="331" spans="1:1" x14ac:dyDescent="0.25">
      <c r="A331" s="30">
        <v>2.5781877358776315E-8</v>
      </c>
    </row>
    <row r="332" spans="1:1" x14ac:dyDescent="0.25">
      <c r="A332" s="30">
        <v>2.3203689622898683E-8</v>
      </c>
    </row>
    <row r="333" spans="1:1" x14ac:dyDescent="0.25">
      <c r="A333" s="30">
        <v>2.0883320660608816E-8</v>
      </c>
    </row>
    <row r="334" spans="1:1" x14ac:dyDescent="0.25">
      <c r="A334" s="30">
        <v>1.8794988594547934E-8</v>
      </c>
    </row>
    <row r="335" spans="1:1" x14ac:dyDescent="0.25">
      <c r="A335" s="30">
        <v>1.6915489735093139E-8</v>
      </c>
    </row>
    <row r="336" spans="1:1" x14ac:dyDescent="0.25">
      <c r="A336" s="30">
        <v>1.5223940761583825E-8</v>
      </c>
    </row>
    <row r="337" spans="1:1" x14ac:dyDescent="0.25">
      <c r="A337" s="30">
        <v>1.3701546685425444E-8</v>
      </c>
    </row>
    <row r="338" spans="1:1" x14ac:dyDescent="0.25">
      <c r="A338" s="30">
        <v>1.2331392016882899E-8</v>
      </c>
    </row>
    <row r="339" spans="1:1" x14ac:dyDescent="0.25">
      <c r="A339" s="30">
        <v>1.1098252815194609E-8</v>
      </c>
    </row>
    <row r="340" spans="1:1" x14ac:dyDescent="0.25">
      <c r="A340" s="30">
        <v>9.9884275336751485E-9</v>
      </c>
    </row>
    <row r="341" spans="1:1" x14ac:dyDescent="0.25">
      <c r="A341" s="30">
        <v>8.9895847803076335E-9</v>
      </c>
    </row>
    <row r="342" spans="1:1" x14ac:dyDescent="0.25">
      <c r="A342" s="30">
        <v>8.0906263022768703E-9</v>
      </c>
    </row>
    <row r="343" spans="1:1" x14ac:dyDescent="0.25">
      <c r="A343" s="30">
        <v>7.2815636720491835E-9</v>
      </c>
    </row>
    <row r="344" spans="1:1" x14ac:dyDescent="0.25">
      <c r="A344" s="30">
        <v>6.553407304844265E-9</v>
      </c>
    </row>
    <row r="345" spans="1:1" x14ac:dyDescent="0.25">
      <c r="A345" s="30">
        <v>5.8980665743598385E-9</v>
      </c>
    </row>
    <row r="346" spans="1:1" x14ac:dyDescent="0.25">
      <c r="A346" s="30">
        <v>5.3082599169238552E-9</v>
      </c>
    </row>
    <row r="347" spans="1:1" x14ac:dyDescent="0.25">
      <c r="A347" s="30">
        <v>4.7774339252314701E-9</v>
      </c>
    </row>
    <row r="348" spans="1:1" x14ac:dyDescent="0.25">
      <c r="A348" s="30">
        <v>4.2996905327083231E-9</v>
      </c>
    </row>
    <row r="349" spans="1:1" x14ac:dyDescent="0.25">
      <c r="A349" s="30">
        <v>3.8697214794374908E-9</v>
      </c>
    </row>
    <row r="350" spans="1:1" x14ac:dyDescent="0.25">
      <c r="A350" s="30">
        <v>3.4827493314937417E-9</v>
      </c>
    </row>
    <row r="351" spans="1:1" x14ac:dyDescent="0.25">
      <c r="A351" s="30">
        <v>3.1344743983443674E-9</v>
      </c>
    </row>
    <row r="352" spans="1:1" x14ac:dyDescent="0.25">
      <c r="A352" s="30">
        <v>2.8210269585099307E-9</v>
      </c>
    </row>
    <row r="353" spans="1:1" x14ac:dyDescent="0.25">
      <c r="A353" s="30">
        <v>2.5389242626589379E-9</v>
      </c>
    </row>
    <row r="354" spans="1:1" x14ac:dyDescent="0.25">
      <c r="A354" s="30">
        <v>2.285031836393044E-9</v>
      </c>
    </row>
    <row r="355" spans="1:1" x14ac:dyDescent="0.25">
      <c r="A355" s="30">
        <v>2.0565286527537398E-9</v>
      </c>
    </row>
    <row r="356" spans="1:1" x14ac:dyDescent="0.25">
      <c r="A356" s="30">
        <v>1.8508757874783659E-9</v>
      </c>
    </row>
    <row r="357" spans="1:1" x14ac:dyDescent="0.25">
      <c r="A357" s="30">
        <v>1.6657882087305294E-9</v>
      </c>
    </row>
    <row r="358" spans="1:1" x14ac:dyDescent="0.25">
      <c r="A358" s="30">
        <v>1.4992093878574765E-9</v>
      </c>
    </row>
    <row r="359" spans="1:1" x14ac:dyDescent="0.25">
      <c r="A359" s="30">
        <v>1.3492884490717289E-9</v>
      </c>
    </row>
    <row r="360" spans="1:1" x14ac:dyDescent="0.25">
      <c r="A360" s="30">
        <v>1.214359604164556E-9</v>
      </c>
    </row>
    <row r="361" spans="1:1" x14ac:dyDescent="0.25">
      <c r="A361" s="30">
        <v>1.0929236437481004E-9</v>
      </c>
    </row>
    <row r="362" spans="1:1" x14ac:dyDescent="0.25">
      <c r="A362" s="30">
        <v>9.8363127937329029E-10</v>
      </c>
    </row>
    <row r="363" spans="1:1" x14ac:dyDescent="0.25">
      <c r="A363" s="30">
        <v>8.8526815143596126E-10</v>
      </c>
    </row>
    <row r="364" spans="1:1" x14ac:dyDescent="0.25">
      <c r="A364" s="30">
        <v>7.967413362923651E-10</v>
      </c>
    </row>
    <row r="365" spans="1:1" x14ac:dyDescent="0.25">
      <c r="A365" s="30">
        <v>7.1706720266312858E-10</v>
      </c>
    </row>
    <row r="366" spans="1:1" x14ac:dyDescent="0.25">
      <c r="A366" s="30">
        <v>6.4536048239681569E-10</v>
      </c>
    </row>
    <row r="367" spans="1:1" x14ac:dyDescent="0.25">
      <c r="A367" s="30">
        <v>5.8082443415713415E-10</v>
      </c>
    </row>
    <row r="368" spans="1:1" x14ac:dyDescent="0.25">
      <c r="A368" s="30">
        <v>5.2274199074142077E-10</v>
      </c>
    </row>
    <row r="369" spans="1:1" x14ac:dyDescent="0.25">
      <c r="A369" s="30">
        <v>4.7046779166727869E-10</v>
      </c>
    </row>
    <row r="370" spans="1:1" x14ac:dyDescent="0.25">
      <c r="A370" s="30">
        <v>4.2342101250055083E-10</v>
      </c>
    </row>
    <row r="371" spans="1:1" x14ac:dyDescent="0.25">
      <c r="A371" s="30">
        <v>3.8107891125049577E-10</v>
      </c>
    </row>
    <row r="372" spans="1:1" x14ac:dyDescent="0.25">
      <c r="A372" s="30">
        <v>3.4297102012544618E-10</v>
      </c>
    </row>
    <row r="373" spans="1:1" x14ac:dyDescent="0.25">
      <c r="A373" s="30">
        <v>3.0867391811290155E-10</v>
      </c>
    </row>
    <row r="374" spans="1:1" x14ac:dyDescent="0.25">
      <c r="A374" s="30">
        <v>2.7780652630161142E-10</v>
      </c>
    </row>
    <row r="375" spans="1:1" x14ac:dyDescent="0.25">
      <c r="A375" s="30">
        <v>2.5002587367145027E-10</v>
      </c>
    </row>
    <row r="376" spans="1:1" x14ac:dyDescent="0.25">
      <c r="A376" s="30">
        <v>2.2502328630430526E-10</v>
      </c>
    </row>
    <row r="377" spans="1:1" x14ac:dyDescent="0.25">
      <c r="A377" s="30">
        <v>2.0252095767387472E-10</v>
      </c>
    </row>
    <row r="378" spans="1:1" x14ac:dyDescent="0.25">
      <c r="A378" s="30">
        <v>1.8226886190648727E-10</v>
      </c>
    </row>
    <row r="379" spans="1:1" x14ac:dyDescent="0.25">
      <c r="A379" s="30">
        <v>1.6404197571583855E-10</v>
      </c>
    </row>
    <row r="380" spans="1:1" x14ac:dyDescent="0.25">
      <c r="A380" s="30">
        <v>1.4763777814425471E-10</v>
      </c>
    </row>
    <row r="381" spans="1:1" x14ac:dyDescent="0.25">
      <c r="A381" s="30">
        <v>1.3287400032982923E-10</v>
      </c>
    </row>
    <row r="382" spans="1:1" x14ac:dyDescent="0.25">
      <c r="A382" s="30">
        <v>1.1958660029684632E-10</v>
      </c>
    </row>
    <row r="383" spans="1:1" x14ac:dyDescent="0.25">
      <c r="A383" s="30">
        <v>1.0762794026716169E-10</v>
      </c>
    </row>
    <row r="384" spans="1:1" x14ac:dyDescent="0.25">
      <c r="A384" s="30">
        <v>9.686514624044552E-11</v>
      </c>
    </row>
    <row r="385" spans="1:1" x14ac:dyDescent="0.25">
      <c r="A385" s="30">
        <v>8.7178631616400964E-11</v>
      </c>
    </row>
    <row r="386" spans="1:1" x14ac:dyDescent="0.25">
      <c r="A386" s="30">
        <v>7.8460768454760866E-11</v>
      </c>
    </row>
    <row r="387" spans="1:1" x14ac:dyDescent="0.25">
      <c r="A387" s="30">
        <v>7.0614691609284776E-11</v>
      </c>
    </row>
    <row r="388" spans="1:1" x14ac:dyDescent="0.25">
      <c r="A388" s="30">
        <v>6.3553222448356295E-11</v>
      </c>
    </row>
    <row r="389" spans="1:1" x14ac:dyDescent="0.25">
      <c r="A389" s="30">
        <v>5.7197900203520665E-11</v>
      </c>
    </row>
    <row r="390" spans="1:1" x14ac:dyDescent="0.25">
      <c r="A390" s="30">
        <v>5.1478110183168601E-11</v>
      </c>
    </row>
    <row r="391" spans="1:1" x14ac:dyDescent="0.25">
      <c r="A391" s="30">
        <v>4.633029916485174E-11</v>
      </c>
    </row>
    <row r="392" spans="1:1" x14ac:dyDescent="0.25">
      <c r="A392" s="30">
        <v>4.1697269248366565E-11</v>
      </c>
    </row>
    <row r="393" spans="1:1" x14ac:dyDescent="0.25">
      <c r="A393" s="30">
        <v>3.7527542323529907E-11</v>
      </c>
    </row>
    <row r="394" spans="1:1" x14ac:dyDescent="0.25">
      <c r="A394" s="30">
        <v>3.3774788091176915E-11</v>
      </c>
    </row>
    <row r="395" spans="1:1" x14ac:dyDescent="0.25">
      <c r="A395" s="30">
        <v>3.0397309282059222E-11</v>
      </c>
    </row>
    <row r="396" spans="1:1" x14ac:dyDescent="0.25">
      <c r="A396" s="30">
        <v>2.7357578353853301E-11</v>
      </c>
    </row>
    <row r="397" spans="1:1" x14ac:dyDescent="0.25">
      <c r="A397" s="30">
        <v>2.4621820518467972E-11</v>
      </c>
    </row>
    <row r="398" spans="1:1" x14ac:dyDescent="0.25">
      <c r="A398" s="30">
        <v>2.2159638466621177E-11</v>
      </c>
    </row>
    <row r="399" spans="1:1" x14ac:dyDescent="0.25">
      <c r="A399" s="30">
        <v>1.994367461995906E-11</v>
      </c>
    </row>
    <row r="400" spans="1:1" x14ac:dyDescent="0.25">
      <c r="A400" s="30">
        <v>1.7949307157963154E-11</v>
      </c>
    </row>
    <row r="401" spans="1:1" x14ac:dyDescent="0.25">
      <c r="A401" s="30">
        <v>1.615437644216684E-11</v>
      </c>
    </row>
    <row r="402" spans="1:1" x14ac:dyDescent="0.25">
      <c r="A402" s="30">
        <v>1.4538938797950156E-11</v>
      </c>
    </row>
    <row r="403" spans="1:1" x14ac:dyDescent="0.25">
      <c r="A403" s="30">
        <v>1.308504491815514E-11</v>
      </c>
    </row>
    <row r="404" spans="1:1" x14ac:dyDescent="0.25">
      <c r="A404" s="30">
        <v>1.1776540426339626E-11</v>
      </c>
    </row>
    <row r="405" spans="1:1" x14ac:dyDescent="0.25">
      <c r="A405" s="30">
        <v>1.0598886383705664E-11</v>
      </c>
    </row>
    <row r="406" spans="1:1" x14ac:dyDescent="0.25">
      <c r="A406" s="30">
        <v>9.5389977453350987E-12</v>
      </c>
    </row>
    <row r="407" spans="1:1" x14ac:dyDescent="0.25">
      <c r="A407" s="30">
        <v>8.5850979708015893E-12</v>
      </c>
    </row>
    <row r="408" spans="1:1" x14ac:dyDescent="0.25">
      <c r="A408" s="30">
        <v>7.7265881737214303E-12</v>
      </c>
    </row>
    <row r="409" spans="1:1" x14ac:dyDescent="0.25">
      <c r="A409" s="30">
        <v>6.9539293563492874E-12</v>
      </c>
    </row>
    <row r="410" spans="1:1" x14ac:dyDescent="0.25">
      <c r="A410" s="30">
        <v>6.2585364207143591E-12</v>
      </c>
    </row>
    <row r="411" spans="1:1" x14ac:dyDescent="0.25">
      <c r="A411" s="30">
        <v>5.632682778642923E-12</v>
      </c>
    </row>
    <row r="412" spans="1:1" x14ac:dyDescent="0.25">
      <c r="A412" s="30">
        <v>5.0694145007786311E-12</v>
      </c>
    </row>
    <row r="413" spans="1:1" x14ac:dyDescent="0.25">
      <c r="A413" s="30">
        <v>4.5624730507007684E-12</v>
      </c>
    </row>
    <row r="414" spans="1:1" x14ac:dyDescent="0.25">
      <c r="A414" s="30">
        <v>4.1062257456306914E-12</v>
      </c>
    </row>
    <row r="415" spans="1:1" x14ac:dyDescent="0.25">
      <c r="A415" s="30">
        <v>3.6956031710676221E-12</v>
      </c>
    </row>
    <row r="416" spans="1:1" x14ac:dyDescent="0.25">
      <c r="A416" s="30">
        <v>3.3260428539608601E-12</v>
      </c>
    </row>
    <row r="417" spans="1:1" x14ac:dyDescent="0.25">
      <c r="A417" s="30">
        <v>2.9934385685647741E-12</v>
      </c>
    </row>
    <row r="418" spans="1:1" x14ac:dyDescent="0.25">
      <c r="A418" s="30">
        <v>2.6940947117082966E-12</v>
      </c>
    </row>
    <row r="419" spans="1:1" x14ac:dyDescent="0.25">
      <c r="A419" s="30">
        <v>2.4246852405374669E-12</v>
      </c>
    </row>
    <row r="420" spans="1:1" x14ac:dyDescent="0.25">
      <c r="A420" s="30">
        <v>2.1822167164837201E-12</v>
      </c>
    </row>
    <row r="421" spans="1:1" x14ac:dyDescent="0.25">
      <c r="A421" s="30">
        <v>1.9639950448353481E-12</v>
      </c>
    </row>
    <row r="422" spans="1:1" x14ac:dyDescent="0.25">
      <c r="A422" s="30">
        <v>1.7675955403518133E-12</v>
      </c>
    </row>
    <row r="423" spans="1:1" x14ac:dyDescent="0.25">
      <c r="A423" s="30">
        <v>1.5908359863166319E-12</v>
      </c>
    </row>
    <row r="424" spans="1:1" x14ac:dyDescent="0.25">
      <c r="A424" s="30">
        <v>1.4317523876849688E-12</v>
      </c>
    </row>
    <row r="425" spans="1:1" x14ac:dyDescent="0.25">
      <c r="A425" s="30">
        <v>1.2885771489164719E-12</v>
      </c>
    </row>
    <row r="426" spans="1:1" x14ac:dyDescent="0.25">
      <c r="A426" s="30">
        <v>1.1597194340248247E-12</v>
      </c>
    </row>
    <row r="427" spans="1:1" x14ac:dyDescent="0.25">
      <c r="A427" s="30">
        <v>1.0437474906223423E-12</v>
      </c>
    </row>
    <row r="428" spans="1:1" x14ac:dyDescent="0.25">
      <c r="A428" s="30">
        <v>9.3937274156010802E-13</v>
      </c>
    </row>
    <row r="429" spans="1:1" x14ac:dyDescent="0.25">
      <c r="A429" s="30">
        <v>8.4543546740409726E-13</v>
      </c>
    </row>
    <row r="430" spans="1:1" x14ac:dyDescent="0.25">
      <c r="A430" s="30">
        <v>7.608919206636876E-13</v>
      </c>
    </row>
    <row r="431" spans="1:1" x14ac:dyDescent="0.25">
      <c r="A431" s="30">
        <v>6.8480272859731885E-13</v>
      </c>
    </row>
    <row r="432" spans="1:1" x14ac:dyDescent="0.25">
      <c r="A432" s="30">
        <v>6.16322455737587E-13</v>
      </c>
    </row>
    <row r="433" spans="1:1" x14ac:dyDescent="0.25">
      <c r="A433" s="30">
        <v>5.5469021016382834E-13</v>
      </c>
    </row>
    <row r="434" spans="1:1" x14ac:dyDescent="0.25">
      <c r="A434" s="30">
        <v>4.9922118914744555E-13</v>
      </c>
    </row>
    <row r="435" spans="1:1" x14ac:dyDescent="0.25">
      <c r="A435" s="30">
        <v>4.4929907023270098E-13</v>
      </c>
    </row>
    <row r="436" spans="1:1" x14ac:dyDescent="0.25">
      <c r="A436" s="30">
        <v>4.0436916320943091E-13</v>
      </c>
    </row>
    <row r="437" spans="1:1" x14ac:dyDescent="0.25">
      <c r="A437" s="30">
        <v>3.6393224688848781E-13</v>
      </c>
    </row>
    <row r="438" spans="1:1" x14ac:dyDescent="0.25">
      <c r="A438" s="30">
        <v>3.2753902219963903E-13</v>
      </c>
    </row>
    <row r="439" spans="1:1" x14ac:dyDescent="0.25">
      <c r="A439" s="30">
        <v>2.9478511997967513E-13</v>
      </c>
    </row>
    <row r="440" spans="1:1" x14ac:dyDescent="0.25">
      <c r="A440" s="30">
        <v>2.6530660798170763E-13</v>
      </c>
    </row>
    <row r="441" spans="1:1" x14ac:dyDescent="0.25">
      <c r="A441" s="30">
        <v>2.3877594718353686E-13</v>
      </c>
    </row>
    <row r="442" spans="1:1" x14ac:dyDescent="0.25">
      <c r="A442" s="30">
        <v>2.1489835246518316E-13</v>
      </c>
    </row>
    <row r="443" spans="1:1" x14ac:dyDescent="0.25">
      <c r="A443" s="30">
        <v>1.9340851721866486E-13</v>
      </c>
    </row>
    <row r="444" spans="1:1" x14ac:dyDescent="0.25">
      <c r="A444" s="30">
        <v>1.7406766549679839E-13</v>
      </c>
    </row>
    <row r="445" spans="1:1" x14ac:dyDescent="0.25">
      <c r="A445" s="30">
        <v>1.5666089894711856E-13</v>
      </c>
    </row>
    <row r="446" spans="1:1" x14ac:dyDescent="0.25">
      <c r="A446" s="30">
        <v>1.4099480905240672E-13</v>
      </c>
    </row>
    <row r="447" spans="1:1" x14ac:dyDescent="0.25">
      <c r="A447" s="30">
        <v>1.2689532814716606E-13</v>
      </c>
    </row>
    <row r="448" spans="1:1" x14ac:dyDescent="0.25">
      <c r="A448" s="30">
        <v>1.1420579533244944E-13</v>
      </c>
    </row>
    <row r="449" spans="1:1" x14ac:dyDescent="0.25">
      <c r="A449" s="30">
        <v>1.0278521579920451E-13</v>
      </c>
    </row>
    <row r="450" spans="1:1" x14ac:dyDescent="0.25">
      <c r="A450" s="30">
        <v>9.2506694219284062E-14</v>
      </c>
    </row>
    <row r="451" spans="1:1" x14ac:dyDescent="0.25">
      <c r="A451" s="30">
        <v>8.3256024797355662E-14</v>
      </c>
    </row>
    <row r="452" spans="1:1" x14ac:dyDescent="0.25">
      <c r="A452" s="30">
        <v>7.4930422317620103E-14</v>
      </c>
    </row>
    <row r="453" spans="1:1" x14ac:dyDescent="0.25">
      <c r="A453" s="30">
        <v>6.7437380085858099E-14</v>
      </c>
    </row>
    <row r="454" spans="1:1" x14ac:dyDescent="0.25">
      <c r="A454" s="30">
        <v>6.0693642077272288E-14</v>
      </c>
    </row>
    <row r="455" spans="1:1" x14ac:dyDescent="0.25">
      <c r="A455" s="30">
        <v>5.4624277869545061E-14</v>
      </c>
    </row>
    <row r="456" spans="1:1" x14ac:dyDescent="0.25">
      <c r="A456" s="30">
        <v>4.9161850082590553E-14</v>
      </c>
    </row>
    <row r="457" spans="1:1" x14ac:dyDescent="0.25">
      <c r="A457" s="30">
        <v>4.4245665074331497E-14</v>
      </c>
    </row>
    <row r="458" spans="1:1" x14ac:dyDescent="0.25">
      <c r="A458" s="30">
        <v>3.9821098566898348E-14</v>
      </c>
    </row>
    <row r="459" spans="1:1" x14ac:dyDescent="0.25">
      <c r="A459" s="30">
        <v>3.5838988710208514E-14</v>
      </c>
    </row>
    <row r="460" spans="1:1" x14ac:dyDescent="0.25">
      <c r="A460" s="30">
        <v>3.2255089839187663E-14</v>
      </c>
    </row>
    <row r="461" spans="1:1" x14ac:dyDescent="0.25">
      <c r="A461" s="30">
        <v>2.9029580855268898E-14</v>
      </c>
    </row>
    <row r="462" spans="1:1" x14ac:dyDescent="0.25">
      <c r="A462" s="30">
        <v>2.612662276974201E-14</v>
      </c>
    </row>
    <row r="463" spans="1:1" x14ac:dyDescent="0.25">
      <c r="A463" s="30">
        <v>2.3513960492767811E-14</v>
      </c>
    </row>
    <row r="464" spans="1:1" x14ac:dyDescent="0.25">
      <c r="A464" s="30">
        <v>2.1162564443491029E-14</v>
      </c>
    </row>
    <row r="465" spans="1:1" x14ac:dyDescent="0.25">
      <c r="A465" s="30">
        <v>1.9046307999141925E-14</v>
      </c>
    </row>
    <row r="466" spans="1:1" x14ac:dyDescent="0.25">
      <c r="A466" s="30">
        <v>1.7141677199227731E-14</v>
      </c>
    </row>
    <row r="467" spans="1:1" x14ac:dyDescent="0.25">
      <c r="A467" s="30">
        <v>1.5427509479304957E-14</v>
      </c>
    </row>
    <row r="468" spans="1:1" x14ac:dyDescent="0.25">
      <c r="A468" s="30">
        <v>1.3884758531374462E-14</v>
      </c>
    </row>
    <row r="469" spans="1:1" x14ac:dyDescent="0.25">
      <c r="A469" s="30">
        <v>1.2496282678237016E-14</v>
      </c>
    </row>
    <row r="470" spans="1:1" x14ac:dyDescent="0.25">
      <c r="A470" s="30">
        <v>1.1246654410413315E-14</v>
      </c>
    </row>
    <row r="471" spans="1:1" x14ac:dyDescent="0.25">
      <c r="A471" s="30">
        <v>1.0121988969371984E-14</v>
      </c>
    </row>
    <row r="472" spans="1:1" x14ac:dyDescent="0.25">
      <c r="A472" s="30">
        <v>9.1097900724347861E-15</v>
      </c>
    </row>
    <row r="473" spans="1:1" x14ac:dyDescent="0.25">
      <c r="A473" s="30">
        <v>8.1988110651913077E-15</v>
      </c>
    </row>
    <row r="474" spans="1:1" x14ac:dyDescent="0.25">
      <c r="A474" s="30">
        <v>7.3789299586721777E-15</v>
      </c>
    </row>
    <row r="475" spans="1:1" x14ac:dyDescent="0.25">
      <c r="A475" s="30">
        <v>6.6410369628049599E-15</v>
      </c>
    </row>
    <row r="476" spans="1:1" x14ac:dyDescent="0.25">
      <c r="A476" s="30">
        <v>5.9769332665244643E-15</v>
      </c>
    </row>
    <row r="477" spans="1:1" x14ac:dyDescent="0.25">
      <c r="A477" s="30">
        <v>5.3792399398720178E-15</v>
      </c>
    </row>
    <row r="478" spans="1:1" x14ac:dyDescent="0.25">
      <c r="A478" s="30">
        <v>4.8413159458848159E-15</v>
      </c>
    </row>
    <row r="479" spans="1:1" x14ac:dyDescent="0.25">
      <c r="A479" s="30">
        <v>4.3571843512963347E-15</v>
      </c>
    </row>
    <row r="480" spans="1:1" x14ac:dyDescent="0.25">
      <c r="A480" s="30">
        <v>3.921465916166701E-15</v>
      </c>
    </row>
    <row r="481" spans="1:1" x14ac:dyDescent="0.25">
      <c r="A481" s="30">
        <v>3.529319324550031E-15</v>
      </c>
    </row>
    <row r="482" spans="1:1" x14ac:dyDescent="0.25">
      <c r="A482" s="30">
        <v>3.176387392095028E-15</v>
      </c>
    </row>
    <row r="483" spans="1:1" x14ac:dyDescent="0.25">
      <c r="A483" s="30">
        <v>2.8587486528855254E-15</v>
      </c>
    </row>
    <row r="484" spans="1:1" x14ac:dyDescent="0.25">
      <c r="A484" s="30">
        <v>2.5728737875969727E-15</v>
      </c>
    </row>
    <row r="485" spans="1:1" x14ac:dyDescent="0.25">
      <c r="A485" s="30">
        <v>2.3155864088372755E-15</v>
      </c>
    </row>
    <row r="486" spans="1:1" x14ac:dyDescent="0.25">
      <c r="A486" s="30">
        <v>2.0840277679535482E-15</v>
      </c>
    </row>
    <row r="487" spans="1:1" x14ac:dyDescent="0.25">
      <c r="A487" s="30">
        <v>1.8756249911581935E-15</v>
      </c>
    </row>
    <row r="488" spans="1:1" x14ac:dyDescent="0.25">
      <c r="A488" s="30">
        <v>1.6880624920423743E-15</v>
      </c>
    </row>
    <row r="489" spans="1:1" x14ac:dyDescent="0.25">
      <c r="A489" s="30">
        <v>1.519256242838137E-15</v>
      </c>
    </row>
    <row r="490" spans="1:1" x14ac:dyDescent="0.25">
      <c r="A490" s="30">
        <v>1.3673306185543234E-15</v>
      </c>
    </row>
    <row r="491" spans="1:1" x14ac:dyDescent="0.25">
      <c r="A491" s="30">
        <v>1.230597556698891E-15</v>
      </c>
    </row>
    <row r="492" spans="1:1" x14ac:dyDescent="0.25">
      <c r="A492" s="30">
        <v>1.1075378010290018E-15</v>
      </c>
    </row>
    <row r="493" spans="1:1" x14ac:dyDescent="0.25">
      <c r="A493" s="30">
        <v>9.9678402092610166E-16</v>
      </c>
    </row>
    <row r="494" spans="1:1" x14ac:dyDescent="0.25">
      <c r="A494" s="30">
        <v>8.9710561883349156E-16</v>
      </c>
    </row>
    <row r="495" spans="1:1" x14ac:dyDescent="0.25">
      <c r="A495" s="30">
        <v>8.0739505695014242E-16</v>
      </c>
    </row>
    <row r="496" spans="1:1" x14ac:dyDescent="0.25">
      <c r="A496" s="30">
        <v>7.2665555125512816E-16</v>
      </c>
    </row>
    <row r="497" spans="1:1" x14ac:dyDescent="0.25">
      <c r="A497" s="30">
        <v>6.5398999612961539E-16</v>
      </c>
    </row>
    <row r="498" spans="1:1" x14ac:dyDescent="0.25">
      <c r="A498" s="30">
        <v>5.885909965166539E-16</v>
      </c>
    </row>
    <row r="499" spans="1:1" x14ac:dyDescent="0.25">
      <c r="A499" s="30">
        <v>5.2973189686498855E-16</v>
      </c>
    </row>
    <row r="500" spans="1:1" x14ac:dyDescent="0.25">
      <c r="A500" s="30">
        <v>4.767587071784897E-16</v>
      </c>
    </row>
    <row r="501" spans="1:1" x14ac:dyDescent="0.25">
      <c r="A501" s="30">
        <v>4.2908283646064075E-16</v>
      </c>
    </row>
    <row r="502" spans="1:1" x14ac:dyDescent="0.25">
      <c r="A502" s="30">
        <v>3.8617455281457667E-16</v>
      </c>
    </row>
    <row r="503" spans="1:1" x14ac:dyDescent="0.25">
      <c r="A503" s="30">
        <v>3.47557097533119E-16</v>
      </c>
    </row>
    <row r="504" spans="1:1" x14ac:dyDescent="0.25">
      <c r="A504" s="30">
        <v>3.1280138777980711E-16</v>
      </c>
    </row>
    <row r="505" spans="1:1" x14ac:dyDescent="0.25">
      <c r="A505" s="30">
        <v>2.815212490018264E-16</v>
      </c>
    </row>
    <row r="506" spans="1:1" x14ac:dyDescent="0.25">
      <c r="A506" s="30">
        <v>2.5336912410164374E-16</v>
      </c>
    </row>
    <row r="507" spans="1:1" x14ac:dyDescent="0.25">
      <c r="A507" s="30">
        <v>2.2803221169147938E-16</v>
      </c>
    </row>
    <row r="508" spans="1:1" x14ac:dyDescent="0.25">
      <c r="A508" s="30">
        <v>2.0522899052233145E-16</v>
      </c>
    </row>
    <row r="509" spans="1:1" x14ac:dyDescent="0.25">
      <c r="A509" s="30">
        <v>1.8470609147009832E-16</v>
      </c>
    </row>
    <row r="510" spans="1:1" x14ac:dyDescent="0.25">
      <c r="A510" s="30">
        <v>1.6623548232308849E-16</v>
      </c>
    </row>
    <row r="511" spans="1:1" x14ac:dyDescent="0.25">
      <c r="A511" s="30">
        <v>1.4961193409077965E-16</v>
      </c>
    </row>
    <row r="512" spans="1:1" x14ac:dyDescent="0.25">
      <c r="A512" s="30">
        <v>1.3465074068170169E-16</v>
      </c>
    </row>
    <row r="513" spans="1:1" x14ac:dyDescent="0.25">
      <c r="A513" s="30">
        <v>1.2118566661353153E-16</v>
      </c>
    </row>
    <row r="514" spans="1:1" x14ac:dyDescent="0.25">
      <c r="A514" s="30">
        <v>1.0906709995217838E-16</v>
      </c>
    </row>
    <row r="515" spans="1:1" x14ac:dyDescent="0.25">
      <c r="A515" s="30">
        <v>9.8160389956960543E-17</v>
      </c>
    </row>
    <row r="516" spans="1:1" x14ac:dyDescent="0.25">
      <c r="A516" s="30">
        <v>8.8344350961264486E-17</v>
      </c>
    </row>
    <row r="517" spans="1:1" x14ac:dyDescent="0.25">
      <c r="A517" s="30">
        <v>7.9509915865138035E-17</v>
      </c>
    </row>
    <row r="518" spans="1:1" x14ac:dyDescent="0.25">
      <c r="A518" s="30">
        <v>7.1558924278624229E-17</v>
      </c>
    </row>
    <row r="519" spans="1:1" x14ac:dyDescent="0.25">
      <c r="A519" s="30">
        <v>6.440303185076181E-17</v>
      </c>
    </row>
    <row r="520" spans="1:1" x14ac:dyDescent="0.25">
      <c r="A520" s="30">
        <v>5.7962728665685633E-17</v>
      </c>
    </row>
    <row r="521" spans="1:1" x14ac:dyDescent="0.25">
      <c r="A521" s="30">
        <v>5.2166455799117073E-17</v>
      </c>
    </row>
    <row r="522" spans="1:1" x14ac:dyDescent="0.25">
      <c r="A522" s="30">
        <v>4.6949810219205366E-17</v>
      </c>
    </row>
    <row r="523" spans="1:1" x14ac:dyDescent="0.25">
      <c r="A523" s="30">
        <v>4.2254829197284832E-17</v>
      </c>
    </row>
    <row r="524" spans="1:1" x14ac:dyDescent="0.25">
      <c r="A524" s="30">
        <v>3.8029346277556347E-17</v>
      </c>
    </row>
    <row r="525" spans="1:1" x14ac:dyDescent="0.25">
      <c r="A525" s="30">
        <v>3.4226411649800712E-17</v>
      </c>
    </row>
    <row r="526" spans="1:1" x14ac:dyDescent="0.25">
      <c r="A526" s="30">
        <v>3.0803770484820639E-17</v>
      </c>
    </row>
  </sheetData>
  <conditionalFormatting sqref="C136">
    <cfRule type="cellIs" dxfId="31" priority="653" operator="equal">
      <formula>$U$1</formula>
    </cfRule>
    <cfRule type="cellIs" dxfId="30" priority="654" operator="equal">
      <formula>$S$1</formula>
    </cfRule>
  </conditionalFormatting>
  <conditionalFormatting sqref="D136">
    <cfRule type="cellIs" dxfId="29" priority="651" operator="equal">
      <formula>$S$1</formula>
    </cfRule>
    <cfRule type="cellIs" dxfId="28" priority="652" operator="equal">
      <formula>$U$1</formula>
    </cfRule>
  </conditionalFormatting>
  <conditionalFormatting sqref="C102">
    <cfRule type="cellIs" dxfId="27" priority="649" operator="equal">
      <formula>$U$1</formula>
    </cfRule>
    <cfRule type="cellIs" dxfId="26" priority="650" operator="equal">
      <formula>$S$1</formula>
    </cfRule>
  </conditionalFormatting>
  <conditionalFormatting sqref="D102">
    <cfRule type="cellIs" dxfId="25" priority="647" operator="equal">
      <formula>$S$1</formula>
    </cfRule>
    <cfRule type="cellIs" dxfId="24" priority="648" operator="equal">
      <formula>$U$1</formula>
    </cfRule>
  </conditionalFormatting>
  <conditionalFormatting sqref="C77">
    <cfRule type="cellIs" dxfId="23" priority="645" operator="equal">
      <formula>$U$1</formula>
    </cfRule>
    <cfRule type="cellIs" dxfId="22" priority="646" operator="equal">
      <formula>$S$1</formula>
    </cfRule>
  </conditionalFormatting>
  <conditionalFormatting sqref="D77">
    <cfRule type="cellIs" dxfId="21" priority="643" operator="equal">
      <formula>$S$1</formula>
    </cfRule>
    <cfRule type="cellIs" dxfId="20" priority="644" operator="equal">
      <formula>$U$1</formula>
    </cfRule>
  </conditionalFormatting>
  <conditionalFormatting sqref="C52">
    <cfRule type="cellIs" dxfId="19" priority="641" operator="equal">
      <formula>$U$1</formula>
    </cfRule>
    <cfRule type="cellIs" dxfId="18" priority="642" operator="equal">
      <formula>$S$1</formula>
    </cfRule>
  </conditionalFormatting>
  <conditionalFormatting sqref="D52">
    <cfRule type="cellIs" dxfId="17" priority="639" operator="equal">
      <formula>$S$1</formula>
    </cfRule>
    <cfRule type="cellIs" dxfId="16" priority="640" operator="equal">
      <formula>$U$1</formula>
    </cfRule>
  </conditionalFormatting>
  <conditionalFormatting sqref="C26">
    <cfRule type="cellIs" dxfId="15" priority="637" operator="equal">
      <formula>$U$1</formula>
    </cfRule>
    <cfRule type="cellIs" dxfId="14" priority="638" operator="equal">
      <formula>$S$1</formula>
    </cfRule>
  </conditionalFormatting>
  <conditionalFormatting sqref="D26">
    <cfRule type="cellIs" dxfId="13" priority="635" operator="equal">
      <formula>$S$1</formula>
    </cfRule>
    <cfRule type="cellIs" dxfId="12" priority="636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A2C41-9E8C-4891-921C-AF7A35AB979B}">
  <sheetPr codeName="Sheet8"/>
  <dimension ref="A1:E155"/>
  <sheetViews>
    <sheetView topLeftCell="A29" workbookViewId="0">
      <selection activeCell="D68" sqref="D1:D68"/>
    </sheetView>
  </sheetViews>
  <sheetFormatPr defaultRowHeight="15" x14ac:dyDescent="0.25"/>
  <cols>
    <col min="1" max="1" width="12.7109375" customWidth="1"/>
    <col min="4" max="4" width="12.140625" customWidth="1"/>
  </cols>
  <sheetData>
    <row r="1" spans="1:5" x14ac:dyDescent="0.25">
      <c r="A1" s="30">
        <v>76619.065138703256</v>
      </c>
      <c r="B1">
        <v>1.1000000000000001</v>
      </c>
      <c r="D1" s="30">
        <v>100155.44859784204</v>
      </c>
      <c r="E1">
        <v>1.05</v>
      </c>
    </row>
    <row r="2" spans="1:5" x14ac:dyDescent="0.25">
      <c r="A2">
        <v>2605350.751695944</v>
      </c>
      <c r="D2">
        <v>2632434.7683733804</v>
      </c>
    </row>
    <row r="3" spans="1:5" x14ac:dyDescent="0.25">
      <c r="A3">
        <v>2368500.6833599489</v>
      </c>
      <c r="D3">
        <v>2507080.7317841719</v>
      </c>
    </row>
    <row r="4" spans="1:5" x14ac:dyDescent="0.25">
      <c r="A4">
        <v>2153182.4394181352</v>
      </c>
      <c r="D4">
        <v>2387695.9350325447</v>
      </c>
    </row>
    <row r="5" spans="1:5" x14ac:dyDescent="0.25">
      <c r="A5">
        <v>1957438.5812892136</v>
      </c>
      <c r="D5">
        <v>2273996.1286024232</v>
      </c>
    </row>
    <row r="6" spans="1:5" x14ac:dyDescent="0.25">
      <c r="A6">
        <v>1779489.6193538303</v>
      </c>
      <c r="D6">
        <v>2165710.5986689744</v>
      </c>
    </row>
    <row r="7" spans="1:5" x14ac:dyDescent="0.25">
      <c r="A7">
        <v>1617717.8357762094</v>
      </c>
      <c r="D7">
        <v>2062581.5225418801</v>
      </c>
    </row>
    <row r="8" spans="1:5" x14ac:dyDescent="0.25">
      <c r="A8">
        <v>1470652.5779783721</v>
      </c>
      <c r="D8">
        <v>1964363.3548017906</v>
      </c>
    </row>
    <row r="9" spans="1:5" x14ac:dyDescent="0.25">
      <c r="A9">
        <v>1336956.8890712473</v>
      </c>
      <c r="D9">
        <v>1870822.2426683719</v>
      </c>
    </row>
    <row r="10" spans="1:5" x14ac:dyDescent="0.25">
      <c r="A10">
        <v>1215415.3537011337</v>
      </c>
      <c r="D10">
        <v>1781735.4692079732</v>
      </c>
    </row>
    <row r="11" spans="1:5" x14ac:dyDescent="0.25">
      <c r="A11">
        <v>1104923.0488192125</v>
      </c>
      <c r="D11">
        <v>1696890.9230552125</v>
      </c>
    </row>
    <row r="12" spans="1:5" x14ac:dyDescent="0.25">
      <c r="A12">
        <v>1004475.4989265567</v>
      </c>
      <c r="D12">
        <v>1616086.5933859167</v>
      </c>
    </row>
    <row r="13" spans="1:5" x14ac:dyDescent="0.25">
      <c r="A13">
        <v>913159.54447868781</v>
      </c>
      <c r="D13">
        <v>1539130.0889389683</v>
      </c>
    </row>
    <row r="14" spans="1:5" x14ac:dyDescent="0.25">
      <c r="A14">
        <v>830145.04043517064</v>
      </c>
      <c r="D14">
        <v>1465838.1799418745</v>
      </c>
    </row>
    <row r="15" spans="1:5" x14ac:dyDescent="0.25">
      <c r="A15">
        <v>754677.30948651873</v>
      </c>
      <c r="D15">
        <v>1396036.3618494042</v>
      </c>
    </row>
    <row r="16" spans="1:5" x14ac:dyDescent="0.25">
      <c r="A16">
        <v>686070.28135138063</v>
      </c>
      <c r="D16">
        <v>1329558.4398565753</v>
      </c>
    </row>
    <row r="17" spans="1:4" x14ac:dyDescent="0.25">
      <c r="A17">
        <v>623700.25577398238</v>
      </c>
      <c r="D17">
        <v>1266246.1331967383</v>
      </c>
    </row>
    <row r="18" spans="1:4" x14ac:dyDescent="0.25">
      <c r="A18">
        <v>567000.23252180207</v>
      </c>
      <c r="D18">
        <v>1205948.6982826078</v>
      </c>
    </row>
    <row r="19" spans="1:4" x14ac:dyDescent="0.25">
      <c r="A19">
        <v>515454.75683800189</v>
      </c>
      <c r="D19">
        <v>1148522.5697929598</v>
      </c>
    </row>
    <row r="20" spans="1:4" x14ac:dyDescent="0.25">
      <c r="A20">
        <v>468595.23348909261</v>
      </c>
      <c r="D20">
        <v>1093831.0188504378</v>
      </c>
    </row>
    <row r="21" spans="1:4" x14ac:dyDescent="0.25">
      <c r="A21">
        <v>425995.66680826596</v>
      </c>
      <c r="D21">
        <v>1041743.8274766075</v>
      </c>
    </row>
    <row r="22" spans="1:4" x14ac:dyDescent="0.25">
      <c r="A22">
        <v>387268.78800751449</v>
      </c>
      <c r="D22">
        <v>992136.97854914994</v>
      </c>
    </row>
    <row r="23" spans="1:4" x14ac:dyDescent="0.25">
      <c r="A23">
        <v>352062.53455228586</v>
      </c>
      <c r="D23">
        <v>944892.36052299989</v>
      </c>
    </row>
    <row r="24" spans="1:4" x14ac:dyDescent="0.25">
      <c r="A24">
        <v>320056.8495929871</v>
      </c>
      <c r="D24">
        <v>899897.48621238081</v>
      </c>
    </row>
    <row r="25" spans="1:4" x14ac:dyDescent="0.25">
      <c r="A25">
        <v>290960.77235726098</v>
      </c>
      <c r="D25">
        <v>857045.22496417211</v>
      </c>
    </row>
    <row r="26" spans="1:4" x14ac:dyDescent="0.25">
      <c r="A26">
        <v>264509.79305205541</v>
      </c>
      <c r="D26">
        <v>816233.54758492578</v>
      </c>
    </row>
    <row r="27" spans="1:4" x14ac:dyDescent="0.25">
      <c r="A27">
        <v>240463.44822914127</v>
      </c>
      <c r="D27">
        <v>777365.28341421497</v>
      </c>
    </row>
    <row r="28" spans="1:4" x14ac:dyDescent="0.25">
      <c r="A28">
        <v>218603.13475376478</v>
      </c>
      <c r="D28">
        <v>740347.88896591903</v>
      </c>
    </row>
    <row r="29" spans="1:4" x14ac:dyDescent="0.25">
      <c r="A29">
        <v>198730.12250342252</v>
      </c>
      <c r="D29">
        <v>705093.22758658952</v>
      </c>
    </row>
    <row r="30" spans="1:4" x14ac:dyDescent="0.25">
      <c r="A30">
        <v>180663.74773038409</v>
      </c>
      <c r="D30">
        <v>671517.35960627568</v>
      </c>
    </row>
    <row r="31" spans="1:4" x14ac:dyDescent="0.25">
      <c r="A31">
        <v>164239.77066398552</v>
      </c>
      <c r="D31">
        <v>639540.3424821673</v>
      </c>
    </row>
    <row r="32" spans="1:4" x14ac:dyDescent="0.25">
      <c r="A32">
        <v>149308.882421805</v>
      </c>
      <c r="D32">
        <v>609086.04045920691</v>
      </c>
    </row>
    <row r="33" spans="1:4" x14ac:dyDescent="0.25">
      <c r="A33">
        <v>135735.34765618635</v>
      </c>
      <c r="D33">
        <v>580081.94329448277</v>
      </c>
    </row>
    <row r="34" spans="1:4" x14ac:dyDescent="0.25">
      <c r="A34">
        <v>123395.77059653302</v>
      </c>
      <c r="D34">
        <v>552458.99361379305</v>
      </c>
    </row>
    <row r="35" spans="1:4" x14ac:dyDescent="0.25">
      <c r="A35">
        <v>112177.97326957546</v>
      </c>
      <c r="D35">
        <v>526151.42248932668</v>
      </c>
    </row>
    <row r="36" spans="1:4" x14ac:dyDescent="0.25">
      <c r="A36">
        <v>101979.97569961405</v>
      </c>
      <c r="D36">
        <v>501096.59284697776</v>
      </c>
    </row>
    <row r="37" spans="1:4" x14ac:dyDescent="0.25">
      <c r="A37">
        <v>92709.06881783095</v>
      </c>
      <c r="D37">
        <v>477234.850330455</v>
      </c>
    </row>
    <row r="38" spans="1:4" x14ac:dyDescent="0.25">
      <c r="A38">
        <v>84280.971652573586</v>
      </c>
      <c r="D38">
        <v>454509.38126709999</v>
      </c>
    </row>
    <row r="39" spans="1:4" x14ac:dyDescent="0.25">
      <c r="D39">
        <v>432866.07739723806</v>
      </c>
    </row>
    <row r="40" spans="1:4" x14ac:dyDescent="0.25">
      <c r="D40">
        <v>412253.40704498859</v>
      </c>
    </row>
    <row r="41" spans="1:4" x14ac:dyDescent="0.25">
      <c r="D41">
        <v>392622.29242379864</v>
      </c>
    </row>
    <row r="42" spans="1:4" x14ac:dyDescent="0.25">
      <c r="D42">
        <v>373925.99278457015</v>
      </c>
    </row>
    <row r="43" spans="1:4" x14ac:dyDescent="0.25">
      <c r="D43">
        <v>356119.99312816205</v>
      </c>
    </row>
    <row r="44" spans="1:4" x14ac:dyDescent="0.25">
      <c r="D44">
        <v>339161.89821729716</v>
      </c>
    </row>
    <row r="45" spans="1:4" x14ac:dyDescent="0.25">
      <c r="D45">
        <v>323011.33163552108</v>
      </c>
    </row>
    <row r="46" spans="1:4" x14ac:dyDescent="0.25">
      <c r="D46">
        <v>307629.83965287718</v>
      </c>
    </row>
    <row r="47" spans="1:4" x14ac:dyDescent="0.25">
      <c r="D47">
        <v>292980.79966940684</v>
      </c>
    </row>
    <row r="48" spans="1:4" x14ac:dyDescent="0.25">
      <c r="D48">
        <v>279029.33301848272</v>
      </c>
    </row>
    <row r="49" spans="4:4" x14ac:dyDescent="0.25">
      <c r="D49">
        <v>265742.22192236449</v>
      </c>
    </row>
    <row r="50" spans="4:4" x14ac:dyDescent="0.25">
      <c r="D50">
        <v>253087.83040225189</v>
      </c>
    </row>
    <row r="51" spans="4:4" x14ac:dyDescent="0.25">
      <c r="D51">
        <v>241036.02895452559</v>
      </c>
    </row>
    <row r="52" spans="4:4" x14ac:dyDescent="0.25">
      <c r="D52">
        <v>229558.12281383388</v>
      </c>
    </row>
    <row r="53" spans="4:4" x14ac:dyDescent="0.25">
      <c r="D53">
        <v>218626.78363222274</v>
      </c>
    </row>
    <row r="54" spans="4:4" x14ac:dyDescent="0.25">
      <c r="D54">
        <v>208215.9844116407</v>
      </c>
    </row>
    <row r="55" spans="4:4" x14ac:dyDescent="0.25">
      <c r="D55">
        <v>198300.9375348959</v>
      </c>
    </row>
    <row r="56" spans="4:4" x14ac:dyDescent="0.25">
      <c r="D56">
        <v>188858.0357475199</v>
      </c>
    </row>
    <row r="57" spans="4:4" x14ac:dyDescent="0.25">
      <c r="D57">
        <v>179864.79595001895</v>
      </c>
    </row>
    <row r="58" spans="4:4" x14ac:dyDescent="0.25">
      <c r="D58">
        <v>171299.8056666847</v>
      </c>
    </row>
    <row r="59" spans="4:4" x14ac:dyDescent="0.25">
      <c r="D59">
        <v>163142.67206350924</v>
      </c>
    </row>
    <row r="60" spans="4:4" x14ac:dyDescent="0.25">
      <c r="D60">
        <v>155373.97339381831</v>
      </c>
    </row>
    <row r="61" spans="4:4" x14ac:dyDescent="0.25">
      <c r="D61">
        <v>147975.21275601743</v>
      </c>
    </row>
    <row r="62" spans="4:4" x14ac:dyDescent="0.25">
      <c r="D62">
        <v>140928.77405334992</v>
      </c>
    </row>
    <row r="63" spans="4:4" x14ac:dyDescent="0.25">
      <c r="D63">
        <v>134217.88005080944</v>
      </c>
    </row>
    <row r="64" spans="4:4" x14ac:dyDescent="0.25">
      <c r="D64">
        <v>127826.55242934231</v>
      </c>
    </row>
    <row r="65" spans="4:4" x14ac:dyDescent="0.25">
      <c r="D65">
        <v>121739.57374223076</v>
      </c>
    </row>
    <row r="66" spans="4:4" x14ac:dyDescent="0.25">
      <c r="D66">
        <v>115942.4511830769</v>
      </c>
    </row>
    <row r="67" spans="4:4" x14ac:dyDescent="0.25">
      <c r="D67">
        <v>110421.38207912086</v>
      </c>
    </row>
    <row r="68" spans="4:4" x14ac:dyDescent="0.25">
      <c r="D68">
        <v>105163.22102773415</v>
      </c>
    </row>
    <row r="69" spans="4:4" x14ac:dyDescent="0.25">
      <c r="D69">
        <f t="shared" ref="D69:D130" si="0">D68*$E$1</f>
        <v>110421.38207912086</v>
      </c>
    </row>
    <row r="70" spans="4:4" x14ac:dyDescent="0.25">
      <c r="D70">
        <f t="shared" si="0"/>
        <v>115942.4511830769</v>
      </c>
    </row>
    <row r="71" spans="4:4" x14ac:dyDescent="0.25">
      <c r="D71">
        <f t="shared" si="0"/>
        <v>121739.57374223076</v>
      </c>
    </row>
    <row r="72" spans="4:4" x14ac:dyDescent="0.25">
      <c r="D72">
        <f t="shared" si="0"/>
        <v>127826.55242934231</v>
      </c>
    </row>
    <row r="73" spans="4:4" x14ac:dyDescent="0.25">
      <c r="D73">
        <f t="shared" si="0"/>
        <v>134217.88005080944</v>
      </c>
    </row>
    <row r="74" spans="4:4" x14ac:dyDescent="0.25">
      <c r="D74">
        <f t="shared" si="0"/>
        <v>140928.77405334992</v>
      </c>
    </row>
    <row r="75" spans="4:4" x14ac:dyDescent="0.25">
      <c r="D75">
        <f t="shared" si="0"/>
        <v>147975.21275601743</v>
      </c>
    </row>
    <row r="76" spans="4:4" x14ac:dyDescent="0.25">
      <c r="D76">
        <f t="shared" si="0"/>
        <v>155373.97339381831</v>
      </c>
    </row>
    <row r="77" spans="4:4" x14ac:dyDescent="0.25">
      <c r="D77">
        <f t="shared" si="0"/>
        <v>163142.67206350924</v>
      </c>
    </row>
    <row r="78" spans="4:4" x14ac:dyDescent="0.25">
      <c r="D78">
        <f t="shared" si="0"/>
        <v>171299.8056666847</v>
      </c>
    </row>
    <row r="79" spans="4:4" x14ac:dyDescent="0.25">
      <c r="D79">
        <f t="shared" si="0"/>
        <v>179864.79595001895</v>
      </c>
    </row>
    <row r="80" spans="4:4" x14ac:dyDescent="0.25">
      <c r="D80">
        <f t="shared" si="0"/>
        <v>188858.0357475199</v>
      </c>
    </row>
    <row r="81" spans="4:4" x14ac:dyDescent="0.25">
      <c r="D81">
        <f t="shared" si="0"/>
        <v>198300.9375348959</v>
      </c>
    </row>
    <row r="82" spans="4:4" x14ac:dyDescent="0.25">
      <c r="D82">
        <f t="shared" si="0"/>
        <v>208215.9844116407</v>
      </c>
    </row>
    <row r="83" spans="4:4" x14ac:dyDescent="0.25">
      <c r="D83">
        <f t="shared" si="0"/>
        <v>218626.78363222274</v>
      </c>
    </row>
    <row r="84" spans="4:4" x14ac:dyDescent="0.25">
      <c r="D84">
        <f t="shared" si="0"/>
        <v>229558.12281383388</v>
      </c>
    </row>
    <row r="85" spans="4:4" x14ac:dyDescent="0.25">
      <c r="D85">
        <f t="shared" si="0"/>
        <v>241036.02895452559</v>
      </c>
    </row>
    <row r="86" spans="4:4" x14ac:dyDescent="0.25">
      <c r="D86">
        <f t="shared" si="0"/>
        <v>253087.83040225189</v>
      </c>
    </row>
    <row r="87" spans="4:4" x14ac:dyDescent="0.25">
      <c r="D87">
        <f t="shared" si="0"/>
        <v>265742.22192236449</v>
      </c>
    </row>
    <row r="88" spans="4:4" x14ac:dyDescent="0.25">
      <c r="D88">
        <f t="shared" si="0"/>
        <v>279029.33301848272</v>
      </c>
    </row>
    <row r="89" spans="4:4" x14ac:dyDescent="0.25">
      <c r="D89">
        <f t="shared" si="0"/>
        <v>292980.79966940684</v>
      </c>
    </row>
    <row r="90" spans="4:4" x14ac:dyDescent="0.25">
      <c r="D90">
        <f t="shared" si="0"/>
        <v>307629.83965287718</v>
      </c>
    </row>
    <row r="91" spans="4:4" x14ac:dyDescent="0.25">
      <c r="D91">
        <f t="shared" si="0"/>
        <v>323011.33163552108</v>
      </c>
    </row>
    <row r="92" spans="4:4" x14ac:dyDescent="0.25">
      <c r="D92">
        <f t="shared" si="0"/>
        <v>339161.89821729716</v>
      </c>
    </row>
    <row r="93" spans="4:4" x14ac:dyDescent="0.25">
      <c r="D93">
        <f t="shared" si="0"/>
        <v>356119.99312816205</v>
      </c>
    </row>
    <row r="94" spans="4:4" x14ac:dyDescent="0.25">
      <c r="D94">
        <f t="shared" si="0"/>
        <v>373925.99278457015</v>
      </c>
    </row>
    <row r="95" spans="4:4" x14ac:dyDescent="0.25">
      <c r="D95">
        <f t="shared" si="0"/>
        <v>392622.29242379864</v>
      </c>
    </row>
    <row r="96" spans="4:4" x14ac:dyDescent="0.25">
      <c r="D96">
        <f t="shared" si="0"/>
        <v>412253.40704498859</v>
      </c>
    </row>
    <row r="97" spans="4:4" x14ac:dyDescent="0.25">
      <c r="D97">
        <f t="shared" si="0"/>
        <v>432866.07739723806</v>
      </c>
    </row>
    <row r="98" spans="4:4" x14ac:dyDescent="0.25">
      <c r="D98">
        <f t="shared" si="0"/>
        <v>454509.38126709999</v>
      </c>
    </row>
    <row r="99" spans="4:4" x14ac:dyDescent="0.25">
      <c r="D99">
        <f t="shared" si="0"/>
        <v>477234.850330455</v>
      </c>
    </row>
    <row r="100" spans="4:4" x14ac:dyDescent="0.25">
      <c r="D100">
        <f t="shared" si="0"/>
        <v>501096.59284697776</v>
      </c>
    </row>
    <row r="101" spans="4:4" x14ac:dyDescent="0.25">
      <c r="D101">
        <f t="shared" si="0"/>
        <v>526151.42248932668</v>
      </c>
    </row>
    <row r="102" spans="4:4" x14ac:dyDescent="0.25">
      <c r="D102">
        <f t="shared" si="0"/>
        <v>552458.99361379305</v>
      </c>
    </row>
    <row r="103" spans="4:4" x14ac:dyDescent="0.25">
      <c r="D103">
        <f t="shared" si="0"/>
        <v>580081.94329448277</v>
      </c>
    </row>
    <row r="104" spans="4:4" x14ac:dyDescent="0.25">
      <c r="D104">
        <f t="shared" si="0"/>
        <v>609086.04045920691</v>
      </c>
    </row>
    <row r="105" spans="4:4" x14ac:dyDescent="0.25">
      <c r="D105">
        <f t="shared" si="0"/>
        <v>639540.3424821673</v>
      </c>
    </row>
    <row r="106" spans="4:4" x14ac:dyDescent="0.25">
      <c r="D106">
        <f t="shared" si="0"/>
        <v>671517.35960627568</v>
      </c>
    </row>
    <row r="107" spans="4:4" x14ac:dyDescent="0.25">
      <c r="D107">
        <f t="shared" si="0"/>
        <v>705093.22758658952</v>
      </c>
    </row>
    <row r="108" spans="4:4" x14ac:dyDescent="0.25">
      <c r="D108">
        <f t="shared" si="0"/>
        <v>740347.88896591903</v>
      </c>
    </row>
    <row r="109" spans="4:4" x14ac:dyDescent="0.25">
      <c r="D109">
        <f t="shared" si="0"/>
        <v>777365.28341421497</v>
      </c>
    </row>
    <row r="110" spans="4:4" x14ac:dyDescent="0.25">
      <c r="D110">
        <f t="shared" si="0"/>
        <v>816233.54758492578</v>
      </c>
    </row>
    <row r="111" spans="4:4" x14ac:dyDescent="0.25">
      <c r="D111">
        <f t="shared" si="0"/>
        <v>857045.22496417211</v>
      </c>
    </row>
    <row r="112" spans="4:4" x14ac:dyDescent="0.25">
      <c r="D112">
        <f t="shared" si="0"/>
        <v>899897.48621238081</v>
      </c>
    </row>
    <row r="113" spans="4:4" x14ac:dyDescent="0.25">
      <c r="D113">
        <f t="shared" si="0"/>
        <v>944892.36052299989</v>
      </c>
    </row>
    <row r="114" spans="4:4" x14ac:dyDescent="0.25">
      <c r="D114">
        <f t="shared" si="0"/>
        <v>992136.97854914994</v>
      </c>
    </row>
    <row r="115" spans="4:4" x14ac:dyDescent="0.25">
      <c r="D115">
        <f t="shared" si="0"/>
        <v>1041743.8274766075</v>
      </c>
    </row>
    <row r="116" spans="4:4" x14ac:dyDescent="0.25">
      <c r="D116">
        <f t="shared" si="0"/>
        <v>1093831.0188504378</v>
      </c>
    </row>
    <row r="117" spans="4:4" x14ac:dyDescent="0.25">
      <c r="D117">
        <f t="shared" si="0"/>
        <v>1148522.5697929598</v>
      </c>
    </row>
    <row r="118" spans="4:4" x14ac:dyDescent="0.25">
      <c r="D118">
        <f t="shared" si="0"/>
        <v>1205948.6982826078</v>
      </c>
    </row>
    <row r="119" spans="4:4" x14ac:dyDescent="0.25">
      <c r="D119">
        <f t="shared" si="0"/>
        <v>1266246.1331967383</v>
      </c>
    </row>
    <row r="120" spans="4:4" x14ac:dyDescent="0.25">
      <c r="D120">
        <f t="shared" si="0"/>
        <v>1329558.4398565753</v>
      </c>
    </row>
    <row r="121" spans="4:4" x14ac:dyDescent="0.25">
      <c r="D121">
        <f t="shared" si="0"/>
        <v>1396036.3618494042</v>
      </c>
    </row>
    <row r="122" spans="4:4" x14ac:dyDescent="0.25">
      <c r="D122">
        <f t="shared" si="0"/>
        <v>1465838.1799418745</v>
      </c>
    </row>
    <row r="123" spans="4:4" x14ac:dyDescent="0.25">
      <c r="D123">
        <f t="shared" si="0"/>
        <v>1539130.0889389683</v>
      </c>
    </row>
    <row r="124" spans="4:4" x14ac:dyDescent="0.25">
      <c r="D124">
        <f t="shared" si="0"/>
        <v>1616086.5933859167</v>
      </c>
    </row>
    <row r="125" spans="4:4" x14ac:dyDescent="0.25">
      <c r="D125">
        <f t="shared" si="0"/>
        <v>1696890.9230552125</v>
      </c>
    </row>
    <row r="126" spans="4:4" x14ac:dyDescent="0.25">
      <c r="D126">
        <f t="shared" si="0"/>
        <v>1781735.4692079732</v>
      </c>
    </row>
    <row r="127" spans="4:4" x14ac:dyDescent="0.25">
      <c r="D127">
        <f t="shared" si="0"/>
        <v>1870822.2426683719</v>
      </c>
    </row>
    <row r="128" spans="4:4" x14ac:dyDescent="0.25">
      <c r="D128">
        <f t="shared" si="0"/>
        <v>1964363.3548017906</v>
      </c>
    </row>
    <row r="129" spans="4:4" x14ac:dyDescent="0.25">
      <c r="D129">
        <f t="shared" si="0"/>
        <v>2062581.5225418801</v>
      </c>
    </row>
    <row r="130" spans="4:4" x14ac:dyDescent="0.25">
      <c r="D130">
        <f t="shared" si="0"/>
        <v>2165710.5986689744</v>
      </c>
    </row>
    <row r="131" spans="4:4" x14ac:dyDescent="0.25">
      <c r="D131">
        <f t="shared" ref="D131:D155" si="1">D130*$E$1</f>
        <v>2273996.1286024232</v>
      </c>
    </row>
    <row r="132" spans="4:4" x14ac:dyDescent="0.25">
      <c r="D132">
        <f t="shared" si="1"/>
        <v>2387695.9350325447</v>
      </c>
    </row>
    <row r="133" spans="4:4" x14ac:dyDescent="0.25">
      <c r="D133">
        <f t="shared" si="1"/>
        <v>2507080.7317841719</v>
      </c>
    </row>
    <row r="134" spans="4:4" x14ac:dyDescent="0.25">
      <c r="D134">
        <f t="shared" si="1"/>
        <v>2632434.7683733804</v>
      </c>
    </row>
    <row r="135" spans="4:4" x14ac:dyDescent="0.25">
      <c r="D135">
        <f t="shared" si="1"/>
        <v>2764056.5067920494</v>
      </c>
    </row>
    <row r="136" spans="4:4" x14ac:dyDescent="0.25">
      <c r="D136">
        <f t="shared" si="1"/>
        <v>2902259.3321316522</v>
      </c>
    </row>
    <row r="137" spans="4:4" x14ac:dyDescent="0.25">
      <c r="D137">
        <f t="shared" si="1"/>
        <v>3047372.2987382347</v>
      </c>
    </row>
    <row r="138" spans="4:4" x14ac:dyDescent="0.25">
      <c r="D138">
        <f t="shared" si="1"/>
        <v>3199740.9136751466</v>
      </c>
    </row>
    <row r="139" spans="4:4" x14ac:dyDescent="0.25">
      <c r="D139">
        <f t="shared" si="1"/>
        <v>3359727.959358904</v>
      </c>
    </row>
    <row r="140" spans="4:4" x14ac:dyDescent="0.25">
      <c r="D140">
        <f t="shared" si="1"/>
        <v>3527714.3573268494</v>
      </c>
    </row>
    <row r="141" spans="4:4" x14ac:dyDescent="0.25">
      <c r="D141">
        <f t="shared" si="1"/>
        <v>3704100.0751931919</v>
      </c>
    </row>
    <row r="142" spans="4:4" x14ac:dyDescent="0.25">
      <c r="D142">
        <f t="shared" si="1"/>
        <v>3889305.0789528517</v>
      </c>
    </row>
    <row r="143" spans="4:4" x14ac:dyDescent="0.25">
      <c r="D143">
        <f t="shared" si="1"/>
        <v>4083770.3329004943</v>
      </c>
    </row>
    <row r="144" spans="4:4" x14ac:dyDescent="0.25">
      <c r="D144">
        <f t="shared" si="1"/>
        <v>4287958.8495455189</v>
      </c>
    </row>
    <row r="145" spans="4:4" x14ac:dyDescent="0.25">
      <c r="D145">
        <f t="shared" si="1"/>
        <v>4502356.7920227954</v>
      </c>
    </row>
    <row r="146" spans="4:4" x14ac:dyDescent="0.25">
      <c r="D146">
        <f t="shared" si="1"/>
        <v>4727474.631623935</v>
      </c>
    </row>
    <row r="147" spans="4:4" x14ac:dyDescent="0.25">
      <c r="D147">
        <f t="shared" si="1"/>
        <v>4963848.3632051321</v>
      </c>
    </row>
    <row r="148" spans="4:4" x14ac:dyDescent="0.25">
      <c r="D148">
        <f t="shared" si="1"/>
        <v>5212040.781365389</v>
      </c>
    </row>
    <row r="149" spans="4:4" x14ac:dyDescent="0.25">
      <c r="D149">
        <f t="shared" si="1"/>
        <v>5472642.8204336585</v>
      </c>
    </row>
    <row r="150" spans="4:4" x14ac:dyDescent="0.25">
      <c r="D150">
        <f t="shared" si="1"/>
        <v>5746274.9614553414</v>
      </c>
    </row>
    <row r="151" spans="4:4" x14ac:dyDescent="0.25">
      <c r="D151">
        <f t="shared" si="1"/>
        <v>6033588.7095281091</v>
      </c>
    </row>
    <row r="152" spans="4:4" x14ac:dyDescent="0.25">
      <c r="D152">
        <f t="shared" si="1"/>
        <v>6335268.1450045146</v>
      </c>
    </row>
    <row r="153" spans="4:4" x14ac:dyDescent="0.25">
      <c r="D153">
        <f t="shared" si="1"/>
        <v>6652031.5522547411</v>
      </c>
    </row>
    <row r="154" spans="4:4" x14ac:dyDescent="0.25">
      <c r="D154">
        <f t="shared" si="1"/>
        <v>6984633.1298674783</v>
      </c>
    </row>
    <row r="155" spans="4:4" x14ac:dyDescent="0.25">
      <c r="D155">
        <f t="shared" si="1"/>
        <v>7333864.7863608524</v>
      </c>
    </row>
  </sheetData>
  <sortState xmlns:xlrd2="http://schemas.microsoft.com/office/spreadsheetml/2017/richdata2" ref="D2:D68">
    <sortCondition descending="1" ref="D68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2" t="s">
        <v>17</v>
      </c>
      <c r="C1" s="32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</vt:vector>
  </HeadingPairs>
  <TitlesOfParts>
    <vt:vector size="9" baseType="lpstr">
      <vt:lpstr>table (1)</vt:lpstr>
      <vt:lpstr>1%</vt:lpstr>
      <vt:lpstr>2%</vt:lpstr>
      <vt:lpstr>5%</vt:lpstr>
      <vt:lpstr>10%</vt:lpstr>
      <vt:lpstr>Sheet1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2022-01-28T01:18:56Z</dcterms:modified>
</cp:coreProperties>
</file>